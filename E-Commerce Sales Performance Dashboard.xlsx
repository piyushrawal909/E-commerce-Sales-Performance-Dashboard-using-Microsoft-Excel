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929"/>
  <workbookPr hidePivotFieldList="1"/>
  <mc:AlternateContent xmlns:mc="http://schemas.openxmlformats.org/markup-compatibility/2006">
    <mc:Choice Requires="x15">
      <x15ac:absPath xmlns:x15ac="http://schemas.microsoft.com/office/spreadsheetml/2010/11/ac" url="C:\Users\ddudh\OneDrive\Desktop\"/>
    </mc:Choice>
  </mc:AlternateContent>
  <xr:revisionPtr revIDLastSave="0" documentId="13_ncr:1_{1B71B9BB-0523-4C61-8FC7-01B7490B80C7}" xr6:coauthVersionLast="47" xr6:coauthVersionMax="47" xr10:uidLastSave="{00000000-0000-0000-0000-000000000000}"/>
  <bookViews>
    <workbookView xWindow="-108" yWindow="-108" windowWidth="23256" windowHeight="12456" activeTab="2" xr2:uid="{00000000-000D-0000-FFFF-FFFF00000000}"/>
  </bookViews>
  <sheets>
    <sheet name="Sheet1" sheetId="1" r:id="rId1"/>
    <sheet name="Pivot Calc" sheetId="2" r:id="rId2"/>
    <sheet name="Dashboard" sheetId="3" r:id="rId3"/>
  </sheets>
  <definedNames>
    <definedName name="ExternalData_1" localSheetId="0" hidden="1">Sheet1!$A$1:$N$3501</definedName>
    <definedName name="_xlnm.Print_Area" localSheetId="2">Dashboard!$A$1:$AA$39</definedName>
    <definedName name="Slicer_Order_Date__Year">#N/A</definedName>
    <definedName name="Slicer_Product_Name">#N/A</definedName>
  </definedNames>
  <calcPr calcId="191029"/>
  <pivotCaches>
    <pivotCache cacheId="1" r:id="rId4"/>
    <pivotCache cacheId="2" r:id="rId5"/>
    <pivotCache cacheId="3" r:id="rId6"/>
    <pivotCache cacheId="4" r:id="rId7"/>
    <pivotCache cacheId="5" r:id="rId8"/>
    <pivotCache cacheId="6" r:id="rId9"/>
    <pivotCache cacheId="10" r:id="rId10"/>
  </pivotCaches>
  <extLst>
    <ext xmlns:x14="http://schemas.microsoft.com/office/spreadsheetml/2009/9/main" uri="{876F7934-8845-4945-9796-88D515C7AA90}">
      <x14:pivotCaches>
        <pivotCache cacheId="7" r:id="rId11"/>
      </x14:pivotCaches>
    </ext>
    <ext xmlns:x14="http://schemas.microsoft.com/office/spreadsheetml/2009/9/main" uri="{BBE1A952-AA13-448e-AADC-164F8A28A991}">
      <x14:slicerCaches>
        <x14:slicerCache r:id="rId12"/>
        <x14:slicerCache r:id="rId13"/>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ecommerce_sales_data_cda1ec51-78d7-4254-b40a-fc5d26bc514a" name="ecommerce_sales_data" connection="Query - ecommerce_sales_data"/>
        </x15:modelTables>
        <x15:extLst>
          <ext xmlns:x16="http://schemas.microsoft.com/office/spreadsheetml/2014/11/main" uri="{9835A34E-60A6-4A7C-AAB8-D5F71C897F49}">
            <x16:modelTimeGroupings>
              <x16:modelTimeGrouping tableName="ecommerce_sales_data" columnName="Order Date" columnId="Order Date">
                <x16:calculatedTimeColumn columnName="Order Date (Year)" columnId="Order Date (Year)" contentType="years" isSelected="1"/>
                <x16:calculatedTimeColumn columnName="Order Date (Quarter)" columnId="Order Date (Quarter)" contentType="quarters" isSelected="1"/>
                <x16:calculatedTimeColumn columnName="Order Date (Month Index)" columnId="Order Date (Month Index)" contentType="monthsindex" isSelected="1"/>
                <x16:calculatedTimeColumn columnName="Order Date (Month)" columnId="Order 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B14" i="2" l="1"/>
  <c r="A14" i="2"/>
  <c r="C14" i="2"/>
  <c r="D14" i="2"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8CE82ADD-52C8-4B1C-A105-A072D4D8B27A}" keepAlive="1" name="ModelConnection_ExternalData_1" description="Data Model" type="5" refreshedVersion="8" minRefreshableVersion="5" saveData="1">
    <dbPr connection="Data Model Connection" command="ecommerce_sales_data" commandType="3"/>
    <extLst>
      <ext xmlns:x15="http://schemas.microsoft.com/office/spreadsheetml/2010/11/main" uri="{DE250136-89BD-433C-8126-D09CA5730AF9}">
        <x15:connection id="" model="1"/>
      </ext>
    </extLst>
  </connection>
  <connection id="2" xr16:uid="{95C73AD7-1931-45E6-A8E6-50B9BF8D39C9}" name="Query - ecommerce_sales_data" description="Connection to the 'ecommerce_sales_data' query in the workbook." type="100" refreshedVersion="8" minRefreshableVersion="5">
    <extLst>
      <ext xmlns:x15="http://schemas.microsoft.com/office/spreadsheetml/2010/11/main" uri="{DE250136-89BD-433C-8126-D09CA5730AF9}">
        <x15:connection id="5a317a5b-47fe-4a39-a0c9-77b7417038e8"/>
      </ext>
    </extLst>
  </connection>
  <connection id="3" xr16:uid="{08EC2EAC-E290-407C-8083-2EBCC566DBE6}"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<sst xmlns="http://schemas.openxmlformats.org/spreadsheetml/2006/main" count="24569" uniqueCount="67">
  <si>
    <t>Order Date</t>
  </si>
  <si>
    <t>Product Name</t>
  </si>
  <si>
    <t>Category</t>
  </si>
  <si>
    <t>Region</t>
  </si>
  <si>
    <t>Quantity</t>
  </si>
  <si>
    <t>Sales</t>
  </si>
  <si>
    <t>Profit</t>
  </si>
  <si>
    <t>Year</t>
  </si>
  <si>
    <t>Month Name</t>
  </si>
  <si>
    <t>Profit Margin %</t>
  </si>
  <si>
    <t>Camera</t>
  </si>
  <si>
    <t>Electronics</t>
  </si>
  <si>
    <t>West</t>
  </si>
  <si>
    <t>December</t>
  </si>
  <si>
    <t>October</t>
  </si>
  <si>
    <t>March</t>
  </si>
  <si>
    <t>February</t>
  </si>
  <si>
    <t>North</t>
  </si>
  <si>
    <t>November</t>
  </si>
  <si>
    <t>East</t>
  </si>
  <si>
    <t>May</t>
  </si>
  <si>
    <t>September</t>
  </si>
  <si>
    <t>South</t>
  </si>
  <si>
    <t>April</t>
  </si>
  <si>
    <t>August</t>
  </si>
  <si>
    <t>July</t>
  </si>
  <si>
    <t>January</t>
  </si>
  <si>
    <t>June</t>
  </si>
  <si>
    <t>Smartwatch</t>
  </si>
  <si>
    <t>Tablet</t>
  </si>
  <si>
    <t>Laptop</t>
  </si>
  <si>
    <t>Smartphone</t>
  </si>
  <si>
    <t>Headphones</t>
  </si>
  <si>
    <t>Accessories</t>
  </si>
  <si>
    <t>Mouse</t>
  </si>
  <si>
    <t>Keyboard</t>
  </si>
  <si>
    <t>Monitor</t>
  </si>
  <si>
    <t>Printer</t>
  </si>
  <si>
    <t>Office</t>
  </si>
  <si>
    <t>Grand Total</t>
  </si>
  <si>
    <t>2023</t>
  </si>
  <si>
    <t>2024</t>
  </si>
  <si>
    <t>2022</t>
  </si>
  <si>
    <t>Row Labels</t>
  </si>
  <si>
    <t>Sum of Sales</t>
  </si>
  <si>
    <t>Total Sales</t>
  </si>
  <si>
    <t>Sum of Profit</t>
  </si>
  <si>
    <t>Sum of Quantity</t>
  </si>
  <si>
    <t>Order Date (Year)</t>
  </si>
  <si>
    <t>Order Date (Quarter)</t>
  </si>
  <si>
    <t>Order Date (Month Index)</t>
  </si>
  <si>
    <t>Order Date (Month)</t>
  </si>
  <si>
    <t>Qtr4</t>
  </si>
  <si>
    <t>Dec</t>
  </si>
  <si>
    <t>Oct</t>
  </si>
  <si>
    <t>Qtr1</t>
  </si>
  <si>
    <t>Mar</t>
  </si>
  <si>
    <t>Feb</t>
  </si>
  <si>
    <t>Nov</t>
  </si>
  <si>
    <t>Qtr2</t>
  </si>
  <si>
    <t>Qtr3</t>
  </si>
  <si>
    <t>Sep</t>
  </si>
  <si>
    <t>Apr</t>
  </si>
  <si>
    <t>Aug</t>
  </si>
  <si>
    <t>Jul</t>
  </si>
  <si>
    <t>Jan</t>
  </si>
  <si>
    <t>Jun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</si>
</sst>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
    <numFmt numFmtId="166" formatCode="&quot;₹&quot;\ #,##0"/>
  </numFmts>
  <fonts count="3" x14ac:knownFonts="1">
    <font>
      <sz val="11"/>
      <color theme="1"/>
      <name val="Calibri"/>
      <family val="2"/>
      <scheme val="minor"/>
    </font>
    <font>
      <sz val="11"/>
      <color theme="1"/>
      <name val="Calibri"/>
      <family val="2"/>
      <scheme val="minor"/>
    </font>
    <font>
      <sz val="8"/>
      <name val="Calibri"/>
      <family val="2"/>
      <scheme val="minor"/>
    </font>
  </fonts>
  <fills count="3">
    <fill>
      <patternFill patternType="none"/>
    </fill>
    <fill>
      <patternFill patternType="gray125"/>
    </fill>
    <fill>
      <patternFill patternType="solid">
        <fgColor theme="8" tint="-0.249977111117893"/>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9">
    <xf numFmtId="0" fontId="0" fillId="0" borderId="0" xfId="0"/>
    <xf numFmtId="14" fontId="0" fillId="0" borderId="0" xfId="0" applyNumberFormat="1"/>
    <xf numFmtId="0" fontId="0" fillId="0" borderId="0" xfId="0" pivotButton="1"/>
    <xf numFmtId="0" fontId="0" fillId="0" borderId="0" xfId="0" applyAlignment="1">
      <alignment horizontal="left"/>
    </xf>
    <xf numFmtId="9" fontId="0" fillId="0" borderId="0" xfId="1" applyFont="1"/>
    <xf numFmtId="1" fontId="0" fillId="0" borderId="0" xfId="0" applyNumberFormat="1"/>
    <xf numFmtId="0" fontId="0" fillId="2" borderId="0" xfId="0" applyFill="1"/>
    <xf numFmtId="10" fontId="0" fillId="0" borderId="0" xfId="0" applyNumberFormat="1"/>
    <xf numFmtId="166" fontId="0" fillId="0" borderId="0" xfId="0" applyNumberFormat="1"/>
  </cellXfs>
  <cellStyles count="2">
    <cellStyle name="Normal" xfId="0" builtinId="0"/>
    <cellStyle name="Percent" xfId="1" builtinId="5"/>
  </cellStyles>
  <dxfs count="49">
    <dxf>
      <numFmt numFmtId="165" formatCode="&quot;₹&quot;\ #,##0.0"/>
    </dxf>
    <dxf>
      <numFmt numFmtId="166" formatCode="&quot;₹&quot;\ #,##0"/>
    </dxf>
    <dxf>
      <numFmt numFmtId="1" formatCode="0"/>
    </dxf>
    <dxf>
      <numFmt numFmtId="165" formatCode="&quot;₹&quot;\ #,##0.0"/>
    </dxf>
    <dxf>
      <numFmt numFmtId="164" formatCode="&quot;₹&quot;\ #,##0.00"/>
    </dxf>
    <dxf>
      <numFmt numFmtId="1" formatCode="0"/>
    </dxf>
    <dxf>
      <numFmt numFmtId="164" formatCode="&quot;₹&quot;\ #,##0.00"/>
    </dxf>
    <dxf>
      <numFmt numFmtId="1" formatCode="0"/>
    </dxf>
    <dxf>
      <numFmt numFmtId="165" formatCode="&quot;₹&quot;\ #,##0.0"/>
    </dxf>
    <dxf>
      <numFmt numFmtId="166" formatCode="&quot;₹&quot;\ #,##0"/>
    </dxf>
    <dxf>
      <numFmt numFmtId="165" formatCode="&quot;₹&quot;\ #,##0.0"/>
    </dxf>
    <dxf>
      <numFmt numFmtId="164" formatCode="&quot;₹&quot;\ #,##0.00"/>
    </dxf>
    <dxf>
      <numFmt numFmtId="164" formatCode="&quot;₹&quot;\ #,##0.00"/>
    </dxf>
    <dxf>
      <numFmt numFmtId="1" formatCode="0"/>
    </dxf>
    <dxf>
      <numFmt numFmtId="1" formatCode="0"/>
    </dxf>
    <dxf>
      <numFmt numFmtId="165" formatCode="&quot;₹&quot;\ #,##0.0"/>
    </dxf>
    <dxf>
      <numFmt numFmtId="166" formatCode="&quot;₹&quot;\ #,##0"/>
    </dxf>
    <dxf>
      <numFmt numFmtId="164" formatCode="&quot;₹&quot;\ #,##0.00"/>
    </dxf>
    <dxf>
      <numFmt numFmtId="165" formatCode="&quot;₹&quot;\ #,##0.0"/>
    </dxf>
    <dxf>
      <numFmt numFmtId="166" formatCode="&quot;₹&quot;\ #,##0"/>
    </dxf>
    <dxf>
      <numFmt numFmtId="165" formatCode="&quot;₹&quot;\ #,##0.0"/>
    </dxf>
    <dxf>
      <numFmt numFmtId="164" formatCode="&quot;₹&quot;\ #,##0.00"/>
    </dxf>
    <dxf>
      <numFmt numFmtId="164" formatCode="&quot;₹&quot;\ #,##0.00"/>
    </dxf>
    <dxf>
      <numFmt numFmtId="1" formatCode="0"/>
    </dxf>
    <dxf>
      <numFmt numFmtId="1" formatCode="0"/>
    </dxf>
    <dxf>
      <numFmt numFmtId="165" formatCode="&quot;₹&quot;\ #,##0.0"/>
    </dxf>
    <dxf>
      <numFmt numFmtId="166" formatCode="&quot;₹&quot;\ #,##0"/>
    </dxf>
    <dxf>
      <numFmt numFmtId="165" formatCode="&quot;₹&quot;\ #,##0.0"/>
    </dxf>
    <dxf>
      <numFmt numFmtId="164" formatCode="&quot;₹&quot;\ #,##0.00"/>
    </dxf>
    <dxf>
      <numFmt numFmtId="164" formatCode="&quot;₹&quot;\ #,##0.00"/>
    </dxf>
    <dxf>
      <numFmt numFmtId="165" formatCode="&quot;₹&quot;\ #,##0.0"/>
    </dxf>
    <dxf>
      <numFmt numFmtId="166" formatCode="&quot;₹&quot;\ #,##0"/>
    </dxf>
    <dxf>
      <numFmt numFmtId="166" formatCode="&quot;₹&quot;\ #,##0"/>
    </dxf>
    <dxf>
      <numFmt numFmtId="165" formatCode="&quot;₹&quot;\ #,##0.0"/>
    </dxf>
    <dxf>
      <numFmt numFmtId="166" formatCode="&quot;₹&quot;\ #,##0"/>
    </dxf>
    <dxf>
      <numFmt numFmtId="165" formatCode="&quot;₹&quot;\ #,##0.0"/>
    </dxf>
    <dxf>
      <numFmt numFmtId="166" formatCode="&quot;₹&quot;\ #,##0"/>
    </dxf>
    <dxf>
      <numFmt numFmtId="0" formatCode="General"/>
    </dxf>
    <dxf>
      <numFmt numFmtId="0" formatCode="General"/>
    </dxf>
    <dxf>
      <numFmt numFmtId="1" formatCode="0"/>
    </dxf>
    <dxf>
      <numFmt numFmtId="1" formatCode="0"/>
    </dxf>
    <dxf>
      <font>
        <b val="0"/>
        <i val="0"/>
        <strike val="0"/>
        <condense val="0"/>
        <extend val="0"/>
        <outline val="0"/>
        <shadow val="0"/>
        <u val="none"/>
        <vertAlign val="baseline"/>
        <sz val="11"/>
        <color theme="1"/>
        <name val="Calibri"/>
        <family val="2"/>
        <scheme val="minor"/>
      </font>
    </dxf>
    <dxf>
      <numFmt numFmtId="0" formatCode="General"/>
    </dxf>
    <dxf>
      <numFmt numFmtId="0" formatCode="General"/>
    </dxf>
    <dxf>
      <numFmt numFmtId="0" formatCode="General"/>
    </dxf>
    <dxf>
      <numFmt numFmtId="0" formatCode="General"/>
    </dxf>
    <dxf>
      <numFmt numFmtId="19" formatCode="dd/mm/yyyy"/>
    </dxf>
    <dxf>
      <font>
        <b/>
        <color theme="1"/>
      </font>
      <border>
        <bottom style="thin">
          <color theme="4"/>
        </bottom>
        <vertical/>
        <horizontal/>
      </border>
    </dxf>
    <dxf>
      <font>
        <color theme="1"/>
      </font>
      <fill>
        <patternFill>
          <bgColor theme="2"/>
        </patternFill>
      </fill>
      <border>
        <left style="thin">
          <color theme="4"/>
        </left>
        <right style="thin">
          <color theme="4"/>
        </right>
        <top style="thin">
          <color theme="4"/>
        </top>
        <bottom style="thin">
          <color theme="4"/>
        </bottom>
        <vertical/>
        <horizontal/>
      </border>
    </dxf>
  </dxfs>
  <tableStyles count="1" defaultTableStyle="TableStyleMedium2" defaultPivotStyle="PivotStyleLight16">
    <tableStyle name="SlicerStyleLight1 2" pivot="0" table="0" count="10" xr9:uid="{0C81E276-8D6A-4029-821A-A31E2D497365}">
      <tableStyleElement type="wholeTable" dxfId="48"/>
      <tableStyleElement type="headerRow" dxfId="47"/>
    </tableStyle>
  </tableStyles>
  <extLst>
    <ext xmlns:x14="http://schemas.microsoft.com/office/spreadsheetml/2009/9/main" uri="{46F421CA-312F-682f-3DD2-61675219B42D}">
      <x14:dxfs count="8">
        <dxf>
          <font>
            <color rgb="FF000000"/>
          </font>
          <fill>
            <patternFill patternType="solid">
              <fgColor auto="1"/>
              <bgColor theme="8" tint="-0.2499465926084170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8" tint="-0.2499465926084170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8" tint="-0.24994659260841701"/>
            </patternFill>
          </fill>
          <border>
            <left style="thin">
              <color rgb="FF999999"/>
            </left>
            <right style="thin">
              <color rgb="FF999999"/>
            </right>
            <top style="thin">
              <color rgb="FF999999"/>
            </top>
            <bottom style="thin">
              <color rgb="FF999999"/>
            </bottom>
            <vertical/>
            <horizontal/>
          </border>
        </dxf>
        <dxf>
          <font>
            <color rgb="FF000000"/>
          </font>
          <fill>
            <patternFill patternType="solid">
              <fgColor auto="1"/>
              <bgColor theme="8" tint="-0.24994659260841701"/>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theme="4" tint="0.79992065187536243"/>
              <bgColor theme="8" tint="0.39994506668294322"/>
            </patternFill>
          </fill>
          <border>
            <left style="thin">
              <color rgb="FFCCCCCC"/>
            </left>
            <right style="thin">
              <color rgb="FFCCCCCC"/>
            </right>
            <top style="thin">
              <color rgb="FFCCCCCC"/>
            </top>
            <bottom style="thin">
              <color rgb="FFCCCCCC"/>
            </bottom>
            <vertical/>
            <horizontal/>
          </border>
        </dxf>
        <dxf>
          <font>
            <color rgb="FF000000"/>
          </font>
          <fill>
            <patternFill patternType="solid">
              <fgColor theme="4" tint="0.59999389629810485"/>
              <bgColor theme="8" tint="0.39994506668294322"/>
            </patternFill>
          </fill>
          <border>
            <left style="thin">
              <color rgb="FF999999"/>
            </left>
            <right style="thin">
              <color rgb="FF999999"/>
            </right>
            <top style="thin">
              <color rgb="FF999999"/>
            </top>
            <bottom style="thin">
              <color rgb="FF999999"/>
            </bottom>
            <vertical/>
            <horizontal/>
          </border>
        </dxf>
        <dxf>
          <font>
            <color rgb="FF828282"/>
          </font>
          <fill>
            <patternFill patternType="solid">
              <fgColor rgb="FFFFFFFF"/>
              <bgColor theme="2"/>
            </patternFill>
          </fill>
          <border>
            <left style="thin">
              <color rgb="FFE0E0E0"/>
            </left>
            <right style="thin">
              <color rgb="FFE0E0E0"/>
            </right>
            <top style="thin">
              <color rgb="FFE0E0E0"/>
            </top>
            <bottom style="thin">
              <color rgb="FFE0E0E0"/>
            </bottom>
            <vertical/>
            <horizontal/>
          </border>
        </dxf>
        <dxf>
          <font>
            <color rgb="FF000000"/>
          </font>
          <fill>
            <patternFill patternType="solid">
              <fgColor rgb="FFFFFFFF"/>
              <bgColor theme="0" tint="-4.9989318521683403E-2"/>
            </patternFill>
          </fill>
          <border>
            <left style="thin">
              <color rgb="FFCCCCCC"/>
            </left>
            <right style="thin">
              <color rgb="FFCCCCCC"/>
            </right>
            <top style="thin">
              <color rgb="FFCCCCCC"/>
            </top>
            <bottom style="thin">
              <color rgb="FFCCCCCC"/>
            </bottom>
            <vertical/>
            <horizontal/>
          </border>
        </dxf>
      </x14:dxfs>
    </ext>
    <ext xmlns:x14="http://schemas.microsoft.com/office/spreadsheetml/2009/9/main" uri="{EB79DEF2-80B8-43e5-95BD-54CBDDF9020C}">
      <x14:slicerStyles defaultSlicerStyle="SlicerStyleLight1">
        <x14:slicerStyle name="SlicerStyleLight1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pivotCacheDefinition" Target="pivotCache/pivotCacheDefinition5.xml"/><Relationship Id="rId13" Type="http://schemas.microsoft.com/office/2007/relationships/slicerCache" Target="slicerCaches/slicerCache2.xml"/><Relationship Id="rId18" Type="http://schemas.openxmlformats.org/officeDocument/2006/relationships/powerPivotData" Target="model/item.data"/><Relationship Id="rId26" Type="http://schemas.openxmlformats.org/officeDocument/2006/relationships/customXml" Target="../customXml/item7.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pivotCacheDefinition" Target="pivotCache/pivotCacheDefinition4.xml"/><Relationship Id="rId12" Type="http://schemas.microsoft.com/office/2007/relationships/slicerCache" Target="slicerCaches/slicerCache1.xml"/><Relationship Id="rId17" Type="http://schemas.openxmlformats.org/officeDocument/2006/relationships/sharedStrings" Target="sharedStrings.xml"/><Relationship Id="rId25" Type="http://schemas.openxmlformats.org/officeDocument/2006/relationships/customXml" Target="../customXml/item6.xml"/><Relationship Id="rId2" Type="http://schemas.openxmlformats.org/officeDocument/2006/relationships/worksheet" Target="worksheets/sheet2.xml"/><Relationship Id="rId16" Type="http://schemas.openxmlformats.org/officeDocument/2006/relationships/styles" Target="styles.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pivotCacheDefinition" Target="pivotCache/pivotCacheDefinition3.xml"/><Relationship Id="rId11" Type="http://schemas.openxmlformats.org/officeDocument/2006/relationships/pivotCacheDefinition" Target="pivotCache/pivotCacheDefinition8.xml"/><Relationship Id="rId24" Type="http://schemas.openxmlformats.org/officeDocument/2006/relationships/customXml" Target="../customXml/item5.xml"/><Relationship Id="rId5" Type="http://schemas.openxmlformats.org/officeDocument/2006/relationships/pivotCacheDefinition" Target="pivotCache/pivotCacheDefinition2.xml"/><Relationship Id="rId15" Type="http://schemas.openxmlformats.org/officeDocument/2006/relationships/connections" Target="connections.xml"/><Relationship Id="rId23" Type="http://schemas.openxmlformats.org/officeDocument/2006/relationships/customXml" Target="../customXml/item4.xml"/><Relationship Id="rId10" Type="http://schemas.openxmlformats.org/officeDocument/2006/relationships/pivotCacheDefinition" Target="pivotCache/pivotCacheDefinition7.xml"/><Relationship Id="rId19" Type="http://schemas.openxmlformats.org/officeDocument/2006/relationships/calcChain" Target="calcChain.xml"/><Relationship Id="rId4" Type="http://schemas.openxmlformats.org/officeDocument/2006/relationships/pivotCacheDefinition" Target="pivotCache/pivotCacheDefinition1.xml"/><Relationship Id="rId9" Type="http://schemas.openxmlformats.org/officeDocument/2006/relationships/pivotCacheDefinition" Target="pivotCache/pivotCacheDefinition6.xml"/><Relationship Id="rId14" Type="http://schemas.openxmlformats.org/officeDocument/2006/relationships/theme" Target="theme/theme1.xml"/><Relationship Id="rId22" Type="http://schemas.openxmlformats.org/officeDocument/2006/relationships/customXml" Target="../customXml/item3.xml"/><Relationship Id="rId27" Type="http://schemas.openxmlformats.org/officeDocument/2006/relationships/customXml" Target="../customXml/item8.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[excel project.xlsx]Pivot Calc!PivotTable1</c:name>
    <c:fmtId val="4"/>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baseline="0">
                <a:solidFill>
                  <a:schemeClr val="tx1"/>
                </a:solidFill>
              </a:rPr>
              <a:t>Year Wise Sale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5">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Calc'!$B$3</c:f>
              <c:strCache>
                <c:ptCount val="1"/>
                <c:pt idx="0">
                  <c:v>Total</c:v>
                </c:pt>
              </c:strCache>
            </c:strRef>
          </c:tx>
          <c:spPr>
            <a:solidFill>
              <a:schemeClr val="accent5">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Calc'!$A$4:$A$7</c:f>
              <c:strCache>
                <c:ptCount val="3"/>
                <c:pt idx="0">
                  <c:v>2022</c:v>
                </c:pt>
                <c:pt idx="1">
                  <c:v>2023</c:v>
                </c:pt>
                <c:pt idx="2">
                  <c:v>2024</c:v>
                </c:pt>
              </c:strCache>
            </c:strRef>
          </c:cat>
          <c:val>
            <c:numRef>
              <c:f>'Pivot Calc'!$B$4:$B$7</c:f>
              <c:numCache>
                <c:formatCode>"₹"\ #,##0</c:formatCode>
                <c:ptCount val="3"/>
                <c:pt idx="0">
                  <c:v>3255970</c:v>
                </c:pt>
                <c:pt idx="1">
                  <c:v>3786592</c:v>
                </c:pt>
                <c:pt idx="2">
                  <c:v>3625319</c:v>
                </c:pt>
              </c:numCache>
            </c:numRef>
          </c:val>
          <c:extLst>
            <c:ext xmlns:c16="http://schemas.microsoft.com/office/drawing/2014/chart" uri="{C3380CC4-5D6E-409C-BE32-E72D297353CC}">
              <c16:uniqueId val="{00000000-2BE5-4983-AD52-EB71AFCB5E06}"/>
            </c:ext>
          </c:extLst>
        </c:ser>
        <c:dLbls>
          <c:showLegendKey val="0"/>
          <c:showVal val="0"/>
          <c:showCatName val="0"/>
          <c:showSerName val="0"/>
          <c:showPercent val="0"/>
          <c:showBubbleSize val="0"/>
        </c:dLbls>
        <c:gapWidth val="100"/>
        <c:overlap val="-24"/>
        <c:axId val="560211376"/>
        <c:axId val="299848496"/>
      </c:barChart>
      <c:catAx>
        <c:axId val="5602113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99848496"/>
        <c:crosses val="autoZero"/>
        <c:auto val="1"/>
        <c:lblAlgn val="ctr"/>
        <c:lblOffset val="100"/>
        <c:noMultiLvlLbl val="0"/>
      </c:catAx>
      <c:valAx>
        <c:axId val="299848496"/>
        <c:scaling>
          <c:orientation val="minMax"/>
        </c:scaling>
        <c:delete val="0"/>
        <c:axPos val="l"/>
        <c:majorGridlines>
          <c:spPr>
            <a:ln w="9525" cap="flat" cmpd="sng" algn="ctr">
              <a:solidFill>
                <a:schemeClr val="lt1">
                  <a:lumMod val="95000"/>
                  <a:alpha val="10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602113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lumMod val="85000"/>
      </a:schemeClr>
    </a:solidFill>
    <a:ln cap="rnd">
      <a:solidFill>
        <a:schemeClr val="accent5">
          <a:lumMod val="60000"/>
          <a:lumOff val="40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7"/>
    </mc:Choice>
    <mc:Fallback>
      <c:style val="7"/>
    </mc:Fallback>
  </mc:AlternateContent>
  <c:pivotSource>
    <c:name>[excel project.xlsx]Pivot Calc!PivotTable2</c:name>
    <c:fmtId val="16"/>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baseline="0">
                <a:solidFill>
                  <a:schemeClr val="tx1"/>
                </a:solidFill>
              </a:rPr>
              <a:t>Region Wise Sale</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w="9525">
              <a:solidFill>
                <a:schemeClr val="accent5"/>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5">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Calc'!$E$3</c:f>
              <c:strCache>
                <c:ptCount val="1"/>
                <c:pt idx="0">
                  <c:v>Total</c:v>
                </c:pt>
              </c:strCache>
            </c:strRef>
          </c:tx>
          <c:spPr>
            <a:solidFill>
              <a:schemeClr val="accent5">
                <a:lumMod val="75000"/>
              </a:schemeClr>
            </a:solidFill>
            <a:ln>
              <a:noFill/>
            </a:ln>
            <a:effectLst>
              <a:outerShdw blurRad="57150" dist="19050" dir="5400000" algn="ctr" rotWithShape="0">
                <a:srgbClr val="000000">
                  <a:alpha val="63000"/>
                </a:srgbClr>
              </a:outerShdw>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cat>
            <c:strRef>
              <c:f>'Pivot Calc'!$D$4:$D$8</c:f>
              <c:strCache>
                <c:ptCount val="4"/>
                <c:pt idx="0">
                  <c:v>East</c:v>
                </c:pt>
                <c:pt idx="1">
                  <c:v>North</c:v>
                </c:pt>
                <c:pt idx="2">
                  <c:v>South</c:v>
                </c:pt>
                <c:pt idx="3">
                  <c:v>West</c:v>
                </c:pt>
              </c:strCache>
            </c:strRef>
          </c:cat>
          <c:val>
            <c:numRef>
              <c:f>'Pivot Calc'!$E$4:$E$8</c:f>
              <c:numCache>
                <c:formatCode>"₹"\ #,##0</c:formatCode>
                <c:ptCount val="4"/>
                <c:pt idx="0">
                  <c:v>2675110</c:v>
                </c:pt>
                <c:pt idx="1">
                  <c:v>2488773</c:v>
                </c:pt>
                <c:pt idx="2">
                  <c:v>2659548</c:v>
                </c:pt>
                <c:pt idx="3">
                  <c:v>2844450</c:v>
                </c:pt>
              </c:numCache>
            </c:numRef>
          </c:val>
          <c:extLst>
            <c:ext xmlns:c16="http://schemas.microsoft.com/office/drawing/2014/chart" uri="{C3380CC4-5D6E-409C-BE32-E72D297353CC}">
              <c16:uniqueId val="{00000000-407C-4DC3-851A-467F1DB1CD3D}"/>
            </c:ext>
          </c:extLst>
        </c:ser>
        <c:dLbls>
          <c:dLblPos val="outEnd"/>
          <c:showLegendKey val="0"/>
          <c:showVal val="1"/>
          <c:showCatName val="0"/>
          <c:showSerName val="0"/>
          <c:showPercent val="0"/>
          <c:showBubbleSize val="0"/>
        </c:dLbls>
        <c:gapWidth val="100"/>
        <c:overlap val="-24"/>
        <c:axId val="560211376"/>
        <c:axId val="299848496"/>
      </c:barChart>
      <c:catAx>
        <c:axId val="5602113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99848496"/>
        <c:crosses val="autoZero"/>
        <c:auto val="1"/>
        <c:lblAlgn val="ctr"/>
        <c:lblOffset val="100"/>
        <c:noMultiLvlLbl val="0"/>
      </c:catAx>
      <c:valAx>
        <c:axId val="299848496"/>
        <c:scaling>
          <c:orientation val="minMax"/>
        </c:scaling>
        <c:delete val="0"/>
        <c:axPos val="l"/>
        <c:majorGridlines>
          <c:spPr>
            <a:ln w="9525" cap="flat" cmpd="sng" algn="ctr">
              <a:solidFill>
                <a:schemeClr val="lt1">
                  <a:lumMod val="95000"/>
                  <a:alpha val="10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60211376"/>
        <c:crosses val="autoZero"/>
        <c:crossBetween val="between"/>
      </c:valAx>
      <c:spPr>
        <a:noFill/>
        <a:ln>
          <a:noFill/>
        </a:ln>
        <a:effectLst/>
      </c:spPr>
    </c:plotArea>
    <c:plotVisOnly val="1"/>
    <c:dispBlanksAs val="gap"/>
    <c:showDLblsOverMax val="0"/>
    <c:extLst/>
  </c:chart>
  <c:spPr>
    <a:solidFill>
      <a:schemeClr val="bg1">
        <a:lumMod val="85000"/>
      </a:schemeClr>
    </a:solidFill>
    <a:ln>
      <a:solidFill>
        <a:schemeClr val="accent5">
          <a:lumMod val="60000"/>
          <a:lumOff val="40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project.xlsx]Pivot Calc!PivotTable3</c:name>
    <c:fmtId val="25"/>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baseline="0">
                <a:solidFill>
                  <a:schemeClr val="tx1"/>
                </a:solidFill>
              </a:rPr>
              <a:t>Category Wise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a:scene3d>
            <a:camera prst="orthographicFront"/>
            <a:lightRig rig="threePt" dir="t"/>
          </a:scene3d>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a:scene3d>
            <a:camera prst="orthographicFront"/>
            <a:lightRig rig="threePt" dir="t"/>
          </a:scene3d>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a:scene3d>
            <a:camera prst="orthographicFront"/>
            <a:lightRig rig="threePt" dir="t"/>
          </a:scene3d>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a:scene3d>
            <a:camera prst="orthographicFront"/>
            <a:lightRig rig="threePt" dir="t"/>
          </a:scene3d>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a:scene3d>
            <a:camera prst="orthographicFront"/>
            <a:lightRig rig="threePt" dir="t"/>
          </a:scene3d>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a:scene3d>
            <a:camera prst="orthographicFront"/>
            <a:lightRig rig="threePt" dir="t"/>
          </a:scene3d>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a:scene3d>
            <a:camera prst="orthographicFront"/>
            <a:lightRig rig="threePt" dir="t"/>
          </a:scene3d>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a:scene3d>
            <a:camera prst="orthographicFront"/>
            <a:lightRig rig="threePt" dir="t"/>
          </a:scene3d>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a:scene3d>
            <a:camera prst="orthographicFront"/>
            <a:lightRig rig="threePt" dir="t"/>
          </a:scene3d>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1"/>
          <c:showBubbleSize val="0"/>
          <c:separator>
</c:separator>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a:scene3d>
            <a:camera prst="orthographicFront"/>
            <a:lightRig rig="threePt" dir="t"/>
          </a:scene3d>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a:scene3d>
            <a:camera prst="orthographicFront"/>
            <a:lightRig rig="threePt" dir="t"/>
          </a:scene3d>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a:scene3d>
            <a:camera prst="orthographicFront"/>
            <a:lightRig rig="threePt" dir="t"/>
          </a:scene3d>
          <a:sp3d/>
        </c:spPr>
      </c:pivotFmt>
    </c:pivotFmts>
    <c:plotArea>
      <c:layout/>
      <c:pieChart>
        <c:varyColors val="1"/>
        <c:ser>
          <c:idx val="0"/>
          <c:order val="0"/>
          <c:tx>
            <c:strRef>
              <c:f>'Pivot Calc'!$H$3</c:f>
              <c:strCache>
                <c:ptCount val="1"/>
                <c:pt idx="0">
                  <c:v>Total</c:v>
                </c:pt>
              </c:strCache>
            </c:strRef>
          </c:tx>
          <c:spPr>
            <a:effectLst>
              <a:glow rad="63500">
                <a:schemeClr val="accent5">
                  <a:satMod val="175000"/>
                  <a:alpha val="40000"/>
                </a:schemeClr>
              </a:glow>
            </a:effectLst>
            <a:scene3d>
              <a:camera prst="orthographicFront"/>
              <a:lightRig rig="threePt" dir="t"/>
            </a:scene3d>
            <a:sp3d/>
          </c:spPr>
          <c:explosion val="7"/>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a:scene3d>
                <a:camera prst="orthographicFront"/>
                <a:lightRig rig="threePt" dir="t"/>
              </a:scene3d>
              <a:sp3d/>
            </c:spPr>
            <c:extLst>
              <c:ext xmlns:c16="http://schemas.microsoft.com/office/drawing/2014/chart" uri="{C3380CC4-5D6E-409C-BE32-E72D297353CC}">
                <c16:uniqueId val="{00000001-65CA-4C0A-B374-3172EFED1366}"/>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glow rad="63500">
                  <a:schemeClr val="accent5">
                    <a:satMod val="175000"/>
                    <a:alpha val="40000"/>
                  </a:schemeClr>
                </a:glow>
              </a:effectLst>
              <a:scene3d>
                <a:camera prst="orthographicFront"/>
                <a:lightRig rig="threePt" dir="t"/>
              </a:scene3d>
              <a:sp3d/>
            </c:spPr>
            <c:extLst>
              <c:ext xmlns:c16="http://schemas.microsoft.com/office/drawing/2014/chart" uri="{C3380CC4-5D6E-409C-BE32-E72D297353CC}">
                <c16:uniqueId val="{00000003-65CA-4C0A-B374-3172EFED1366}"/>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glow rad="63500">
                  <a:schemeClr val="accent5">
                    <a:satMod val="175000"/>
                    <a:alpha val="40000"/>
                  </a:schemeClr>
                </a:glow>
              </a:effectLst>
              <a:scene3d>
                <a:camera prst="orthographicFront"/>
                <a:lightRig rig="threePt" dir="t"/>
              </a:scene3d>
              <a:sp3d/>
            </c:spPr>
            <c:extLst>
              <c:ext xmlns:c16="http://schemas.microsoft.com/office/drawing/2014/chart" uri="{C3380CC4-5D6E-409C-BE32-E72D297353CC}">
                <c16:uniqueId val="{00000005-65CA-4C0A-B374-3172EFED136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1"/>
            <c:showBubbleSize val="0"/>
            <c:separator>
</c:separator>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Calc'!$G$4:$G$7</c:f>
              <c:strCache>
                <c:ptCount val="3"/>
                <c:pt idx="0">
                  <c:v>Accessories</c:v>
                </c:pt>
                <c:pt idx="1">
                  <c:v>Electronics</c:v>
                </c:pt>
                <c:pt idx="2">
                  <c:v>Office</c:v>
                </c:pt>
              </c:strCache>
            </c:strRef>
          </c:cat>
          <c:val>
            <c:numRef>
              <c:f>'Pivot Calc'!$H$4:$H$7</c:f>
              <c:numCache>
                <c:formatCode>"₹"\ #,##0</c:formatCode>
                <c:ptCount val="3"/>
                <c:pt idx="0">
                  <c:v>736084.74</c:v>
                </c:pt>
                <c:pt idx="1">
                  <c:v>923185.59</c:v>
                </c:pt>
                <c:pt idx="2">
                  <c:v>185394.88</c:v>
                </c:pt>
              </c:numCache>
            </c:numRef>
          </c:val>
          <c:extLst>
            <c:ext xmlns:c16="http://schemas.microsoft.com/office/drawing/2014/chart" uri="{C3380CC4-5D6E-409C-BE32-E72D297353CC}">
              <c16:uniqueId val="{00000006-65CA-4C0A-B374-3172EFED1366}"/>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lumMod val="85000"/>
      </a:schemeClr>
    </a:solidFill>
    <a:ln>
      <a:solidFill>
        <a:schemeClr val="accent5">
          <a:lumMod val="60000"/>
          <a:lumOff val="40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project.xlsx]Pivot Calc!PivotTable6</c:name>
    <c:fmtId val="3"/>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baseline="0">
                <a:solidFill>
                  <a:schemeClr val="tx1"/>
                </a:solidFill>
              </a:rPr>
              <a:t>Product Name Wise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a:scene3d>
            <a:camera prst="orthographicFront"/>
            <a:lightRig rig="threePt" dir="t"/>
          </a:scene3d>
          <a:sp3d/>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a:scene3d>
            <a:camera prst="orthographicFront"/>
            <a:lightRig rig="threePt" dir="t"/>
          </a:scene3d>
          <a:sp3d/>
        </c:spPr>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a:scene3d>
            <a:camera prst="orthographicFront"/>
            <a:lightRig rig="threePt" dir="t"/>
          </a:scene3d>
          <a:sp3d/>
        </c:spPr>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a:scene3d>
            <a:camera prst="orthographicFront"/>
            <a:lightRig rig="threePt" dir="t"/>
          </a:scene3d>
          <a:sp3d/>
        </c:spPr>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a:scene3d>
            <a:camera prst="orthographicFront"/>
            <a:lightRig rig="threePt" dir="t"/>
          </a:scene3d>
          <a:sp3d/>
        </c:spPr>
      </c:pivotFmt>
      <c:pivotFmt>
        <c:idx val="1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a:scene3d>
            <a:camera prst="orthographicFront"/>
            <a:lightRig rig="threePt" dir="t"/>
          </a:scene3d>
          <a:sp3d/>
        </c:spPr>
      </c:pivotFmt>
      <c:pivotFmt>
        <c:idx val="2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a:scene3d>
            <a:camera prst="orthographicFront"/>
            <a:lightRig rig="threePt" dir="t"/>
          </a:scene3d>
          <a:sp3d/>
        </c:spPr>
      </c:pivotFmt>
      <c:pivotFmt>
        <c:idx val="2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a:scene3d>
            <a:camera prst="orthographicFront"/>
            <a:lightRig rig="threePt" dir="t"/>
          </a:scene3d>
          <a:sp3d/>
        </c:spPr>
      </c:pivotFmt>
      <c:pivotFmt>
        <c:idx val="2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a:scene3d>
            <a:camera prst="orthographicFront"/>
            <a:lightRig rig="threePt" dir="t"/>
          </a:scene3d>
          <a:sp3d/>
        </c:spPr>
      </c:pivotFmt>
      <c:pivotFmt>
        <c:idx val="2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a:scene3d>
            <a:camera prst="orthographicFront"/>
            <a:lightRig rig="threePt" dir="t"/>
          </a:scene3d>
          <a:sp3d/>
        </c:spPr>
      </c:pivotFmt>
      <c:pivotFmt>
        <c:idx val="2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a:scene3d>
            <a:camera prst="orthographicFront"/>
            <a:lightRig rig="threePt" dir="t"/>
          </a:scene3d>
          <a:sp3d/>
        </c:spPr>
      </c:pivotFmt>
      <c:pivotFmt>
        <c:idx val="2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a:scene3d>
            <a:camera prst="orthographicFront"/>
            <a:lightRig rig="threePt" dir="t"/>
          </a:scene3d>
          <a:sp3d/>
        </c:spPr>
      </c:pivotFmt>
      <c:pivotFmt>
        <c:idx val="2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2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a:scene3d>
            <a:camera prst="orthographicFront"/>
            <a:lightRig rig="threePt" dir="t"/>
          </a:scene3d>
          <a:sp3d/>
        </c:spPr>
      </c:pivotFmt>
      <c:pivotFmt>
        <c:idx val="3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a:scene3d>
            <a:camera prst="orthographicFront"/>
            <a:lightRig rig="threePt" dir="t"/>
          </a:scene3d>
          <a:sp3d/>
        </c:spPr>
      </c:pivotFmt>
      <c:pivotFmt>
        <c:idx val="3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a:scene3d>
            <a:camera prst="orthographicFront"/>
            <a:lightRig rig="threePt" dir="t"/>
          </a:scene3d>
          <a:sp3d/>
        </c:spPr>
      </c:pivotFmt>
      <c:pivotFmt>
        <c:idx val="3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1"/>
          <c:showCatName val="0"/>
          <c:showSerName val="0"/>
          <c:showPercent val="0"/>
          <c:showBubbleSize val="0"/>
          <c:extLst>
            <c:ext xmlns:c15="http://schemas.microsoft.com/office/drawing/2012/chart" uri="{CE6537A1-D6FC-4f65-9D91-7224C49458BB}"/>
          </c:extLst>
        </c:dLbl>
      </c:pivotFmt>
      <c:pivotFmt>
        <c:idx val="3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a:scene3d>
            <a:camera prst="orthographicFront"/>
            <a:lightRig rig="threePt" dir="t"/>
          </a:scene3d>
          <a:sp3d/>
        </c:spPr>
      </c:pivotFmt>
      <c:pivotFmt>
        <c:idx val="3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a:scene3d>
            <a:camera prst="orthographicFront"/>
            <a:lightRig rig="threePt" dir="t"/>
          </a:scene3d>
          <a:sp3d/>
        </c:spPr>
      </c:pivotFmt>
      <c:pivotFmt>
        <c:idx val="3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glow rad="63500">
              <a:schemeClr val="accent5">
                <a:satMod val="175000"/>
                <a:alpha val="40000"/>
              </a:schemeClr>
            </a:glow>
          </a:effectLst>
          <a:scene3d>
            <a:camera prst="orthographicFront"/>
            <a:lightRig rig="threePt" dir="t"/>
          </a:scene3d>
          <a:sp3d/>
        </c:spPr>
      </c:pivotFmt>
      <c:pivotFmt>
        <c:idx val="3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cene3d>
            <a:camera prst="orthographicFront"/>
            <a:lightRig rig="threePt" dir="t"/>
          </a:scene3d>
          <a:sp3d/>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extLst>
            <c:ext xmlns:c15="http://schemas.microsoft.com/office/drawing/2012/chart" uri="{CE6537A1-D6FC-4f65-9D91-7224C49458BB}"/>
          </c:extLst>
        </c:dLbl>
      </c:pivotFmt>
      <c:pivotFmt>
        <c:idx val="3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cene3d>
            <a:camera prst="orthographicFront"/>
            <a:lightRig rig="threePt" dir="t"/>
          </a:scene3d>
          <a:sp3d/>
        </c:spPr>
      </c:pivotFmt>
      <c:pivotFmt>
        <c:idx val="3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cene3d>
            <a:camera prst="orthographicFront"/>
            <a:lightRig rig="threePt" dir="t"/>
          </a:scene3d>
          <a:sp3d/>
        </c:spPr>
      </c:pivotFmt>
      <c:pivotFmt>
        <c:idx val="3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cene3d>
            <a:camera prst="orthographicFront"/>
            <a:lightRig rig="threePt" dir="t"/>
          </a:scene3d>
          <a:sp3d/>
        </c:spPr>
      </c:pivotFmt>
      <c:pivotFmt>
        <c:idx val="4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cene3d>
            <a:camera prst="orthographicFront"/>
            <a:lightRig rig="threePt" dir="t"/>
          </a:scene3d>
          <a:sp3d/>
        </c:spPr>
      </c:pivotFmt>
      <c:pivotFmt>
        <c:idx val="4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cene3d>
            <a:camera prst="orthographicFront"/>
            <a:lightRig rig="threePt" dir="t"/>
          </a:scene3d>
          <a:sp3d/>
        </c:spPr>
      </c:pivotFmt>
      <c:pivotFmt>
        <c:idx val="4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cene3d>
            <a:camera prst="orthographicFront"/>
            <a:lightRig rig="threePt" dir="t"/>
          </a:scene3d>
          <a:sp3d/>
        </c:spPr>
      </c:pivotFmt>
      <c:pivotFmt>
        <c:idx val="4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cene3d>
            <a:camera prst="orthographicFront"/>
            <a:lightRig rig="threePt" dir="t"/>
          </a:scene3d>
          <a:sp3d/>
        </c:spPr>
      </c:pivotFmt>
      <c:pivotFmt>
        <c:idx val="4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cene3d>
            <a:camera prst="orthographicFront"/>
            <a:lightRig rig="threePt" dir="t"/>
          </a:scene3d>
          <a:sp3d/>
        </c:spPr>
      </c:pivotFmt>
      <c:pivotFmt>
        <c:idx val="4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cene3d>
            <a:camera prst="orthographicFront"/>
            <a:lightRig rig="threePt" dir="t"/>
          </a:scene3d>
          <a:sp3d/>
        </c:spPr>
      </c:pivotFmt>
      <c:pivotFmt>
        <c:idx val="4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cene3d>
            <a:camera prst="orthographicFront"/>
            <a:lightRig rig="threePt" dir="t"/>
          </a:scene3d>
          <a:sp3d/>
        </c:spPr>
      </c:pivotFmt>
    </c:pivotFmts>
    <c:plotArea>
      <c:layout/>
      <c:pieChart>
        <c:varyColors val="1"/>
        <c:ser>
          <c:idx val="0"/>
          <c:order val="0"/>
          <c:tx>
            <c:strRef>
              <c:f>'Pivot Calc'!$O$3</c:f>
              <c:strCache>
                <c:ptCount val="1"/>
                <c:pt idx="0">
                  <c:v>Total</c:v>
                </c:pt>
              </c:strCache>
            </c:strRef>
          </c:tx>
          <c:spPr>
            <a:effectLst/>
            <a:scene3d>
              <a:camera prst="orthographicFront"/>
              <a:lightRig rig="threePt" dir="t"/>
            </a:scene3d>
            <a:sp3d/>
          </c:spPr>
          <c:explosion val="10"/>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scene3d>
                <a:camera prst="orthographicFront"/>
                <a:lightRig rig="threePt" dir="t"/>
              </a:scene3d>
              <a:sp3d/>
            </c:spPr>
            <c:extLst>
              <c:ext xmlns:c16="http://schemas.microsoft.com/office/drawing/2014/chart" uri="{C3380CC4-5D6E-409C-BE32-E72D297353CC}">
                <c16:uniqueId val="{0000002F-BB28-48ED-B802-EA9912A6E8EA}"/>
              </c:ext>
            </c:extLst>
          </c:dPt>
          <c:dPt>
            <c:idx val="1"/>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a:scene3d>
                <a:camera prst="orthographicFront"/>
                <a:lightRig rig="threePt" dir="t"/>
              </a:scene3d>
              <a:sp3d/>
            </c:spPr>
            <c:extLst>
              <c:ext xmlns:c16="http://schemas.microsoft.com/office/drawing/2014/chart" uri="{C3380CC4-5D6E-409C-BE32-E72D297353CC}">
                <c16:uniqueId val="{00000031-BB28-48ED-B802-EA9912A6E8EA}"/>
              </c:ext>
            </c:extLst>
          </c:dPt>
          <c:dPt>
            <c:idx val="2"/>
            <c:bubble3D val="0"/>
            <c:spPr>
              <a:gradFill rotWithShape="1">
                <a:gsLst>
                  <a:gs pos="0">
                    <a:schemeClr val="accent5">
                      <a:satMod val="103000"/>
                      <a:lumMod val="102000"/>
                      <a:tint val="94000"/>
                    </a:schemeClr>
                  </a:gs>
                  <a:gs pos="50000">
                    <a:schemeClr val="accent5">
                      <a:satMod val="110000"/>
                      <a:lumMod val="100000"/>
                      <a:shade val="100000"/>
                    </a:schemeClr>
                  </a:gs>
                  <a:gs pos="100000">
                    <a:schemeClr val="accent5">
                      <a:lumMod val="99000"/>
                      <a:satMod val="120000"/>
                      <a:shade val="78000"/>
                    </a:schemeClr>
                  </a:gs>
                </a:gsLst>
                <a:lin ang="5400000" scaled="0"/>
              </a:gradFill>
              <a:ln>
                <a:noFill/>
              </a:ln>
              <a:effectLst/>
              <a:scene3d>
                <a:camera prst="orthographicFront"/>
                <a:lightRig rig="threePt" dir="t"/>
              </a:scene3d>
              <a:sp3d/>
            </c:spPr>
            <c:extLst>
              <c:ext xmlns:c16="http://schemas.microsoft.com/office/drawing/2014/chart" uri="{C3380CC4-5D6E-409C-BE32-E72D297353CC}">
                <c16:uniqueId val="{00000033-BB28-48ED-B802-EA9912A6E8EA}"/>
              </c:ext>
            </c:extLst>
          </c:dPt>
          <c:dPt>
            <c:idx val="3"/>
            <c:bubble3D val="0"/>
            <c:spPr>
              <a:gradFill rotWithShape="1">
                <a:gsLst>
                  <a:gs pos="0">
                    <a:schemeClr val="accent1">
                      <a:lumMod val="60000"/>
                      <a:satMod val="103000"/>
                      <a:lumMod val="102000"/>
                      <a:tint val="94000"/>
                    </a:schemeClr>
                  </a:gs>
                  <a:gs pos="50000">
                    <a:schemeClr val="accent1">
                      <a:lumMod val="60000"/>
                      <a:satMod val="110000"/>
                      <a:lumMod val="100000"/>
                      <a:shade val="100000"/>
                    </a:schemeClr>
                  </a:gs>
                  <a:gs pos="100000">
                    <a:schemeClr val="accent1">
                      <a:lumMod val="60000"/>
                      <a:lumMod val="99000"/>
                      <a:satMod val="120000"/>
                      <a:shade val="78000"/>
                    </a:schemeClr>
                  </a:gs>
                </a:gsLst>
                <a:lin ang="5400000" scaled="0"/>
              </a:gradFill>
              <a:ln>
                <a:noFill/>
              </a:ln>
              <a:effectLst/>
              <a:scene3d>
                <a:camera prst="orthographicFront"/>
                <a:lightRig rig="threePt" dir="t"/>
              </a:scene3d>
              <a:sp3d/>
            </c:spPr>
            <c:extLst>
              <c:ext xmlns:c16="http://schemas.microsoft.com/office/drawing/2014/chart" uri="{C3380CC4-5D6E-409C-BE32-E72D297353CC}">
                <c16:uniqueId val="{00000007-D234-4F0A-9383-BC60AA259FA4}"/>
              </c:ext>
            </c:extLst>
          </c:dPt>
          <c:dPt>
            <c:idx val="4"/>
            <c:bubble3D val="0"/>
            <c:spPr>
              <a:gradFill rotWithShape="1">
                <a:gsLst>
                  <a:gs pos="0">
                    <a:schemeClr val="accent3">
                      <a:lumMod val="60000"/>
                      <a:satMod val="103000"/>
                      <a:lumMod val="102000"/>
                      <a:tint val="94000"/>
                    </a:schemeClr>
                  </a:gs>
                  <a:gs pos="50000">
                    <a:schemeClr val="accent3">
                      <a:lumMod val="60000"/>
                      <a:satMod val="110000"/>
                      <a:lumMod val="100000"/>
                      <a:shade val="100000"/>
                    </a:schemeClr>
                  </a:gs>
                  <a:gs pos="100000">
                    <a:schemeClr val="accent3">
                      <a:lumMod val="60000"/>
                      <a:lumMod val="99000"/>
                      <a:satMod val="120000"/>
                      <a:shade val="78000"/>
                    </a:schemeClr>
                  </a:gs>
                </a:gsLst>
                <a:lin ang="5400000" scaled="0"/>
              </a:gradFill>
              <a:ln>
                <a:noFill/>
              </a:ln>
              <a:effectLst/>
              <a:scene3d>
                <a:camera prst="orthographicFront"/>
                <a:lightRig rig="threePt" dir="t"/>
              </a:scene3d>
              <a:sp3d/>
            </c:spPr>
            <c:extLst>
              <c:ext xmlns:c16="http://schemas.microsoft.com/office/drawing/2014/chart" uri="{C3380CC4-5D6E-409C-BE32-E72D297353CC}">
                <c16:uniqueId val="{00000009-D234-4F0A-9383-BC60AA259FA4}"/>
              </c:ext>
            </c:extLst>
          </c:dPt>
          <c:dPt>
            <c:idx val="5"/>
            <c:bubble3D val="0"/>
            <c:spPr>
              <a:gradFill rotWithShape="1">
                <a:gsLst>
                  <a:gs pos="0">
                    <a:schemeClr val="accent5">
                      <a:lumMod val="60000"/>
                      <a:satMod val="103000"/>
                      <a:lumMod val="102000"/>
                      <a:tint val="94000"/>
                    </a:schemeClr>
                  </a:gs>
                  <a:gs pos="50000">
                    <a:schemeClr val="accent5">
                      <a:lumMod val="60000"/>
                      <a:satMod val="110000"/>
                      <a:lumMod val="100000"/>
                      <a:shade val="100000"/>
                    </a:schemeClr>
                  </a:gs>
                  <a:gs pos="100000">
                    <a:schemeClr val="accent5">
                      <a:lumMod val="60000"/>
                      <a:lumMod val="99000"/>
                      <a:satMod val="120000"/>
                      <a:shade val="78000"/>
                    </a:schemeClr>
                  </a:gs>
                </a:gsLst>
                <a:lin ang="5400000" scaled="0"/>
              </a:gradFill>
              <a:ln>
                <a:noFill/>
              </a:ln>
              <a:effectLst/>
              <a:scene3d>
                <a:camera prst="orthographicFront"/>
                <a:lightRig rig="threePt" dir="t"/>
              </a:scene3d>
              <a:sp3d/>
            </c:spPr>
            <c:extLst>
              <c:ext xmlns:c16="http://schemas.microsoft.com/office/drawing/2014/chart" uri="{C3380CC4-5D6E-409C-BE32-E72D297353CC}">
                <c16:uniqueId val="{0000000B-D234-4F0A-9383-BC60AA259FA4}"/>
              </c:ext>
            </c:extLst>
          </c:dPt>
          <c:dPt>
            <c:idx val="6"/>
            <c:bubble3D val="0"/>
            <c:spPr>
              <a:gradFill rotWithShape="1">
                <a:gsLst>
                  <a:gs pos="0">
                    <a:schemeClr val="accent1">
                      <a:lumMod val="80000"/>
                      <a:lumOff val="20000"/>
                      <a:satMod val="103000"/>
                      <a:lumMod val="102000"/>
                      <a:tint val="94000"/>
                    </a:schemeClr>
                  </a:gs>
                  <a:gs pos="50000">
                    <a:schemeClr val="accent1">
                      <a:lumMod val="80000"/>
                      <a:lumOff val="20000"/>
                      <a:satMod val="110000"/>
                      <a:lumMod val="100000"/>
                      <a:shade val="100000"/>
                    </a:schemeClr>
                  </a:gs>
                  <a:gs pos="100000">
                    <a:schemeClr val="accent1">
                      <a:lumMod val="80000"/>
                      <a:lumOff val="20000"/>
                      <a:lumMod val="99000"/>
                      <a:satMod val="120000"/>
                      <a:shade val="78000"/>
                    </a:schemeClr>
                  </a:gs>
                </a:gsLst>
                <a:lin ang="5400000" scaled="0"/>
              </a:gradFill>
              <a:ln>
                <a:noFill/>
              </a:ln>
              <a:effectLst/>
              <a:scene3d>
                <a:camera prst="orthographicFront"/>
                <a:lightRig rig="threePt" dir="t"/>
              </a:scene3d>
              <a:sp3d/>
            </c:spPr>
            <c:extLst>
              <c:ext xmlns:c16="http://schemas.microsoft.com/office/drawing/2014/chart" uri="{C3380CC4-5D6E-409C-BE32-E72D297353CC}">
                <c16:uniqueId val="{0000000D-D234-4F0A-9383-BC60AA259FA4}"/>
              </c:ext>
            </c:extLst>
          </c:dPt>
          <c:dPt>
            <c:idx val="7"/>
            <c:bubble3D val="0"/>
            <c:spPr>
              <a:gradFill rotWithShape="1">
                <a:gsLst>
                  <a:gs pos="0">
                    <a:schemeClr val="accent3">
                      <a:lumMod val="80000"/>
                      <a:lumOff val="20000"/>
                      <a:satMod val="103000"/>
                      <a:lumMod val="102000"/>
                      <a:tint val="94000"/>
                    </a:schemeClr>
                  </a:gs>
                  <a:gs pos="50000">
                    <a:schemeClr val="accent3">
                      <a:lumMod val="80000"/>
                      <a:lumOff val="20000"/>
                      <a:satMod val="110000"/>
                      <a:lumMod val="100000"/>
                      <a:shade val="100000"/>
                    </a:schemeClr>
                  </a:gs>
                  <a:gs pos="100000">
                    <a:schemeClr val="accent3">
                      <a:lumMod val="80000"/>
                      <a:lumOff val="20000"/>
                      <a:lumMod val="99000"/>
                      <a:satMod val="120000"/>
                      <a:shade val="78000"/>
                    </a:schemeClr>
                  </a:gs>
                </a:gsLst>
                <a:lin ang="5400000" scaled="0"/>
              </a:gradFill>
              <a:ln>
                <a:noFill/>
              </a:ln>
              <a:effectLst/>
              <a:scene3d>
                <a:camera prst="orthographicFront"/>
                <a:lightRig rig="threePt" dir="t"/>
              </a:scene3d>
              <a:sp3d/>
            </c:spPr>
            <c:extLst>
              <c:ext xmlns:c16="http://schemas.microsoft.com/office/drawing/2014/chart" uri="{C3380CC4-5D6E-409C-BE32-E72D297353CC}">
                <c16:uniqueId val="{0000000F-D234-4F0A-9383-BC60AA259FA4}"/>
              </c:ext>
            </c:extLst>
          </c:dPt>
          <c:dPt>
            <c:idx val="8"/>
            <c:bubble3D val="0"/>
            <c:spPr>
              <a:gradFill rotWithShape="1">
                <a:gsLst>
                  <a:gs pos="0">
                    <a:schemeClr val="accent5">
                      <a:lumMod val="80000"/>
                      <a:lumOff val="20000"/>
                      <a:satMod val="103000"/>
                      <a:lumMod val="102000"/>
                      <a:tint val="94000"/>
                    </a:schemeClr>
                  </a:gs>
                  <a:gs pos="50000">
                    <a:schemeClr val="accent5">
                      <a:lumMod val="80000"/>
                      <a:lumOff val="20000"/>
                      <a:satMod val="110000"/>
                      <a:lumMod val="100000"/>
                      <a:shade val="100000"/>
                    </a:schemeClr>
                  </a:gs>
                  <a:gs pos="100000">
                    <a:schemeClr val="accent5">
                      <a:lumMod val="80000"/>
                      <a:lumOff val="20000"/>
                      <a:lumMod val="99000"/>
                      <a:satMod val="120000"/>
                      <a:shade val="78000"/>
                    </a:schemeClr>
                  </a:gs>
                </a:gsLst>
                <a:lin ang="5400000" scaled="0"/>
              </a:gradFill>
              <a:ln>
                <a:noFill/>
              </a:ln>
              <a:effectLst/>
              <a:scene3d>
                <a:camera prst="orthographicFront"/>
                <a:lightRig rig="threePt" dir="t"/>
              </a:scene3d>
              <a:sp3d/>
            </c:spPr>
            <c:extLst>
              <c:ext xmlns:c16="http://schemas.microsoft.com/office/drawing/2014/chart" uri="{C3380CC4-5D6E-409C-BE32-E72D297353CC}">
                <c16:uniqueId val="{00000011-D234-4F0A-9383-BC60AA259FA4}"/>
              </c:ext>
            </c:extLst>
          </c:dPt>
          <c:dPt>
            <c:idx val="9"/>
            <c:bubble3D val="0"/>
            <c:spPr>
              <a:gradFill rotWithShape="1">
                <a:gsLst>
                  <a:gs pos="0">
                    <a:schemeClr val="accent1">
                      <a:lumMod val="80000"/>
                      <a:satMod val="103000"/>
                      <a:lumMod val="102000"/>
                      <a:tint val="94000"/>
                    </a:schemeClr>
                  </a:gs>
                  <a:gs pos="50000">
                    <a:schemeClr val="accent1">
                      <a:lumMod val="80000"/>
                      <a:satMod val="110000"/>
                      <a:lumMod val="100000"/>
                      <a:shade val="100000"/>
                    </a:schemeClr>
                  </a:gs>
                  <a:gs pos="100000">
                    <a:schemeClr val="accent1">
                      <a:lumMod val="80000"/>
                      <a:lumMod val="99000"/>
                      <a:satMod val="120000"/>
                      <a:shade val="78000"/>
                    </a:schemeClr>
                  </a:gs>
                </a:gsLst>
                <a:lin ang="5400000" scaled="0"/>
              </a:gradFill>
              <a:ln>
                <a:noFill/>
              </a:ln>
              <a:effectLst/>
              <a:scene3d>
                <a:camera prst="orthographicFront"/>
                <a:lightRig rig="threePt" dir="t"/>
              </a:scene3d>
              <a:sp3d/>
            </c:spPr>
            <c:extLst>
              <c:ext xmlns:c16="http://schemas.microsoft.com/office/drawing/2014/chart" uri="{C3380CC4-5D6E-409C-BE32-E72D297353CC}">
                <c16:uniqueId val="{00000013-D234-4F0A-9383-BC60AA259FA4}"/>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bestFit"/>
            <c:showLegendKey val="0"/>
            <c:showVal val="0"/>
            <c:showCatName val="0"/>
            <c:showSerName val="0"/>
            <c:showPercent val="1"/>
            <c:showBubbleSize val="0"/>
            <c:showLeaderLines val="1"/>
            <c:leaderLines>
              <c:spPr>
                <a:ln w="9525">
                  <a:solidFill>
                    <a:schemeClr val="lt1">
                      <a:lumMod val="95000"/>
                      <a:alpha val="54000"/>
                    </a:schemeClr>
                  </a:solidFill>
                </a:ln>
                <a:effectLst/>
              </c:spPr>
            </c:leaderLines>
            <c:extLst>
              <c:ext xmlns:c15="http://schemas.microsoft.com/office/drawing/2012/chart" uri="{CE6537A1-D6FC-4f65-9D91-7224C49458BB}"/>
            </c:extLst>
          </c:dLbls>
          <c:cat>
            <c:strRef>
              <c:f>'Pivot Calc'!$N$4:$N$14</c:f>
              <c:strCache>
                <c:ptCount val="10"/>
                <c:pt idx="0">
                  <c:v>Camera</c:v>
                </c:pt>
                <c:pt idx="1">
                  <c:v>Headphones</c:v>
                </c:pt>
                <c:pt idx="2">
                  <c:v>Keyboard</c:v>
                </c:pt>
                <c:pt idx="3">
                  <c:v>Laptop</c:v>
                </c:pt>
                <c:pt idx="4">
                  <c:v>Monitor</c:v>
                </c:pt>
                <c:pt idx="5">
                  <c:v>Mouse</c:v>
                </c:pt>
                <c:pt idx="6">
                  <c:v>Printer</c:v>
                </c:pt>
                <c:pt idx="7">
                  <c:v>Smartphone</c:v>
                </c:pt>
                <c:pt idx="8">
                  <c:v>Smartwatch</c:v>
                </c:pt>
                <c:pt idx="9">
                  <c:v>Tablet</c:v>
                </c:pt>
              </c:strCache>
            </c:strRef>
          </c:cat>
          <c:val>
            <c:numRef>
              <c:f>'Pivot Calc'!$O$4:$O$14</c:f>
              <c:numCache>
                <c:formatCode>"₹"\ #,##0</c:formatCode>
                <c:ptCount val="10"/>
                <c:pt idx="0">
                  <c:v>207630.99</c:v>
                </c:pt>
                <c:pt idx="1">
                  <c:v>172478.2</c:v>
                </c:pt>
                <c:pt idx="2">
                  <c:v>175814.68</c:v>
                </c:pt>
                <c:pt idx="3">
                  <c:v>185756.81</c:v>
                </c:pt>
                <c:pt idx="4">
                  <c:v>202028.17</c:v>
                </c:pt>
                <c:pt idx="5">
                  <c:v>185763.69</c:v>
                </c:pt>
                <c:pt idx="6">
                  <c:v>185394.88</c:v>
                </c:pt>
                <c:pt idx="7">
                  <c:v>183296.97</c:v>
                </c:pt>
                <c:pt idx="8">
                  <c:v>178995.81</c:v>
                </c:pt>
                <c:pt idx="9">
                  <c:v>167505.01</c:v>
                </c:pt>
              </c:numCache>
            </c:numRef>
          </c:val>
          <c:extLst>
            <c:ext xmlns:c16="http://schemas.microsoft.com/office/drawing/2014/chart" uri="{C3380CC4-5D6E-409C-BE32-E72D297353CC}">
              <c16:uniqueId val="{00000034-BB28-48ED-B802-EA9912A6E8EA}"/>
            </c:ext>
          </c:extLst>
        </c:ser>
        <c:dLbls>
          <c:dLblPos val="bestFit"/>
          <c:showLegendKey val="0"/>
          <c:showVal val="1"/>
          <c:showCatName val="0"/>
          <c:showSerName val="0"/>
          <c:showPercent val="0"/>
          <c:showBubbleSize val="0"/>
          <c:showLeaderLines val="1"/>
        </c:dLbls>
        <c:firstSliceAng val="0"/>
      </c:pie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lumMod val="85000"/>
      </a:schemeClr>
    </a:solidFill>
    <a:ln>
      <a:solidFill>
        <a:schemeClr val="accent5">
          <a:lumMod val="60000"/>
          <a:lumOff val="40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project.xlsx]Pivot Calc!PivotTable4</c:name>
    <c:fmtId val="17"/>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baseline="0">
                <a:solidFill>
                  <a:schemeClr val="tx1"/>
                </a:solidFill>
              </a:rPr>
              <a:t>Product Name Wise Sale &amp; Profit</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5">
              <a:lumMod val="75000"/>
            </a:schemeClr>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Calc'!$K$3</c:f>
              <c:strCache>
                <c:ptCount val="1"/>
                <c:pt idx="0">
                  <c:v>Sales</c:v>
                </c:pt>
              </c:strCache>
            </c:strRef>
          </c:tx>
          <c:spPr>
            <a:solidFill>
              <a:schemeClr val="accent5">
                <a:lumMod val="75000"/>
              </a:schemeClr>
            </a:solidFill>
            <a:ln>
              <a:noFill/>
            </a:ln>
            <a:effectLst>
              <a:outerShdw blurRad="57150" dist="19050" dir="5400000" algn="ctr" rotWithShape="0">
                <a:srgbClr val="000000">
                  <a:alpha val="63000"/>
                </a:srgbClr>
              </a:outerShdw>
            </a:effectLst>
          </c:spPr>
          <c:invertIfNegative val="0"/>
          <c:cat>
            <c:strRef>
              <c:f>'Pivot Calc'!$J$4:$J$14</c:f>
              <c:strCache>
                <c:ptCount val="10"/>
                <c:pt idx="0">
                  <c:v>Camera</c:v>
                </c:pt>
                <c:pt idx="1">
                  <c:v>Headphones</c:v>
                </c:pt>
                <c:pt idx="2">
                  <c:v>Keyboard</c:v>
                </c:pt>
                <c:pt idx="3">
                  <c:v>Laptop</c:v>
                </c:pt>
                <c:pt idx="4">
                  <c:v>Monitor</c:v>
                </c:pt>
                <c:pt idx="5">
                  <c:v>Mouse</c:v>
                </c:pt>
                <c:pt idx="6">
                  <c:v>Printer</c:v>
                </c:pt>
                <c:pt idx="7">
                  <c:v>Smartphone</c:v>
                </c:pt>
                <c:pt idx="8">
                  <c:v>Smartwatch</c:v>
                </c:pt>
                <c:pt idx="9">
                  <c:v>Tablet</c:v>
                </c:pt>
              </c:strCache>
            </c:strRef>
          </c:cat>
          <c:val>
            <c:numRef>
              <c:f>'Pivot Calc'!$K$4:$K$14</c:f>
              <c:numCache>
                <c:formatCode>"₹"\ #,##0</c:formatCode>
                <c:ptCount val="10"/>
                <c:pt idx="0">
                  <c:v>1177381</c:v>
                </c:pt>
                <c:pt idx="1">
                  <c:v>988638</c:v>
                </c:pt>
                <c:pt idx="2">
                  <c:v>1024507</c:v>
                </c:pt>
                <c:pt idx="3">
                  <c:v>1005873</c:v>
                </c:pt>
                <c:pt idx="4">
                  <c:v>1160048</c:v>
                </c:pt>
                <c:pt idx="5">
                  <c:v>1074398</c:v>
                </c:pt>
                <c:pt idx="6">
                  <c:v>1094216</c:v>
                </c:pt>
                <c:pt idx="7">
                  <c:v>1069681</c:v>
                </c:pt>
                <c:pt idx="8">
                  <c:v>1049211</c:v>
                </c:pt>
                <c:pt idx="9">
                  <c:v>1023928</c:v>
                </c:pt>
              </c:numCache>
            </c:numRef>
          </c:val>
          <c:extLst>
            <c:ext xmlns:c16="http://schemas.microsoft.com/office/drawing/2014/chart" uri="{C3380CC4-5D6E-409C-BE32-E72D297353CC}">
              <c16:uniqueId val="{00000006-B903-4F90-B7BA-92524E26C4F9}"/>
            </c:ext>
          </c:extLst>
        </c:ser>
        <c:ser>
          <c:idx val="1"/>
          <c:order val="1"/>
          <c:tx>
            <c:strRef>
              <c:f>'Pivot Calc'!$L$3</c:f>
              <c:strCache>
                <c:ptCount val="1"/>
                <c:pt idx="0">
                  <c:v>Profit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a:outerShdw blurRad="57150" dist="19050" dir="5400000" algn="ctr" rotWithShape="0">
                <a:srgbClr val="000000">
                  <a:alpha val="63000"/>
                </a:srgbClr>
              </a:outerShdw>
            </a:effectLst>
          </c:spPr>
          <c:invertIfNegative val="0"/>
          <c:cat>
            <c:strRef>
              <c:f>'Pivot Calc'!$J$4:$J$14</c:f>
              <c:strCache>
                <c:ptCount val="10"/>
                <c:pt idx="0">
                  <c:v>Camera</c:v>
                </c:pt>
                <c:pt idx="1">
                  <c:v>Headphones</c:v>
                </c:pt>
                <c:pt idx="2">
                  <c:v>Keyboard</c:v>
                </c:pt>
                <c:pt idx="3">
                  <c:v>Laptop</c:v>
                </c:pt>
                <c:pt idx="4">
                  <c:v>Monitor</c:v>
                </c:pt>
                <c:pt idx="5">
                  <c:v>Mouse</c:v>
                </c:pt>
                <c:pt idx="6">
                  <c:v>Printer</c:v>
                </c:pt>
                <c:pt idx="7">
                  <c:v>Smartphone</c:v>
                </c:pt>
                <c:pt idx="8">
                  <c:v>Smartwatch</c:v>
                </c:pt>
                <c:pt idx="9">
                  <c:v>Tablet</c:v>
                </c:pt>
              </c:strCache>
            </c:strRef>
          </c:cat>
          <c:val>
            <c:numRef>
              <c:f>'Pivot Calc'!$L$4:$L$14</c:f>
              <c:numCache>
                <c:formatCode>"₹"\ #,##0</c:formatCode>
                <c:ptCount val="10"/>
                <c:pt idx="0">
                  <c:v>207630.99</c:v>
                </c:pt>
                <c:pt idx="1">
                  <c:v>172478.2</c:v>
                </c:pt>
                <c:pt idx="2">
                  <c:v>175814.68</c:v>
                </c:pt>
                <c:pt idx="3">
                  <c:v>185756.81</c:v>
                </c:pt>
                <c:pt idx="4">
                  <c:v>202028.17</c:v>
                </c:pt>
                <c:pt idx="5">
                  <c:v>185763.69</c:v>
                </c:pt>
                <c:pt idx="6">
                  <c:v>185394.88</c:v>
                </c:pt>
                <c:pt idx="7">
                  <c:v>183296.97</c:v>
                </c:pt>
                <c:pt idx="8">
                  <c:v>178995.81</c:v>
                </c:pt>
                <c:pt idx="9">
                  <c:v>167505.01</c:v>
                </c:pt>
              </c:numCache>
            </c:numRef>
          </c:val>
          <c:extLst>
            <c:ext xmlns:c16="http://schemas.microsoft.com/office/drawing/2014/chart" uri="{C3380CC4-5D6E-409C-BE32-E72D297353CC}">
              <c16:uniqueId val="{00000007-B903-4F90-B7BA-92524E26C4F9}"/>
            </c:ext>
          </c:extLst>
        </c:ser>
        <c:dLbls>
          <c:showLegendKey val="0"/>
          <c:showVal val="0"/>
          <c:showCatName val="0"/>
          <c:showSerName val="0"/>
          <c:showPercent val="0"/>
          <c:showBubbleSize val="0"/>
        </c:dLbls>
        <c:gapWidth val="100"/>
        <c:overlap val="-24"/>
        <c:axId val="560211376"/>
        <c:axId val="299848496"/>
      </c:barChart>
      <c:catAx>
        <c:axId val="5602113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99848496"/>
        <c:crosses val="autoZero"/>
        <c:auto val="1"/>
        <c:lblAlgn val="ctr"/>
        <c:lblOffset val="100"/>
        <c:noMultiLvlLbl val="0"/>
      </c:catAx>
      <c:valAx>
        <c:axId val="299848496"/>
        <c:scaling>
          <c:orientation val="minMax"/>
        </c:scaling>
        <c:delete val="0"/>
        <c:axPos val="l"/>
        <c:majorGridlines>
          <c:spPr>
            <a:ln w="9525" cap="flat" cmpd="sng" algn="ctr">
              <a:solidFill>
                <a:schemeClr val="lt1">
                  <a:lumMod val="95000"/>
                  <a:alpha val="10000"/>
                </a:schemeClr>
              </a:solidFill>
              <a:round/>
            </a:ln>
            <a:effectLst/>
          </c:spPr>
        </c:majorGridlines>
        <c:numFmt formatCode="&quot;₹&quot;\ #,##0"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60211376"/>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1" i="0" u="none" strike="noStrike" kern="1200" baseline="0">
              <a:solidFill>
                <a:sysClr val="windowText" lastClr="000000"/>
              </a:solidFill>
              <a:latin typeface="+mn-lt"/>
              <a:ea typeface="+mn-ea"/>
              <a:cs typeface="+mn-cs"/>
            </a:defRPr>
          </a:pPr>
          <a:endParaRPr lang="en-US"/>
        </a:p>
      </c:txPr>
    </c:legend>
    <c:plotVisOnly val="1"/>
    <c:dispBlanksAs val="gap"/>
    <c:showDLblsOverMax val="0"/>
    <c:extLst/>
  </c:chart>
  <c:spPr>
    <a:solidFill>
      <a:schemeClr val="bg1">
        <a:lumMod val="85000"/>
      </a:schemeClr>
    </a:solidFill>
    <a:ln>
      <a:solidFill>
        <a:schemeClr val="accent5">
          <a:lumMod val="60000"/>
          <a:lumOff val="40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[excel project.xlsx]Pivot Calc!PivotTable7</c:name>
    <c:fmtId val="5"/>
  </c:pivotSource>
  <c:chart>
    <c:title>
      <c:tx>
        <c:rich>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r>
              <a:rPr lang="en-US" baseline="0">
                <a:solidFill>
                  <a:schemeClr val="tx1"/>
                </a:solidFill>
              </a:rPr>
              <a:t>Category Wise Quantity</a:t>
            </a:r>
          </a:p>
        </c:rich>
      </c:tx>
      <c:overlay val="0"/>
      <c:spPr>
        <a:noFill/>
        <a:ln>
          <a:noFill/>
        </a:ln>
        <a:effectLst/>
      </c:spPr>
      <c:txPr>
        <a:bodyPr rot="0" spcFirstLastPara="1" vertOverflow="ellipsis" vert="horz" wrap="square" anchor="ctr" anchorCtr="1"/>
        <a:lstStyle/>
        <a:p>
          <a:pPr>
            <a:defRPr sz="1600" b="1" i="0" u="none" strike="noStrike" kern="1200" spc="100" baseline="0">
              <a:solidFill>
                <a:schemeClr val="tx1"/>
              </a:solidFill>
              <a:effectLst>
                <a:outerShdw blurRad="50800" dist="38100" dir="5400000" algn="t" rotWithShape="0">
                  <a:prstClr val="black">
                    <a:alpha val="40000"/>
                  </a:prstClr>
                </a:outerShdw>
              </a:effectLst>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9525">
              <a:solidFill>
                <a:schemeClr val="accent1"/>
              </a:solidFill>
              <a:round/>
            </a:ln>
            <a:effectLst>
              <a:outerShdw blurRad="57150" dist="19050" dir="5400000" algn="ctr" rotWithShape="0">
                <a:srgbClr val="000000">
                  <a:alpha val="63000"/>
                </a:srgbClr>
              </a:outerShd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1"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dLblPos val="outEnd"/>
          <c:showLegendKey val="0"/>
          <c:showVal val="0"/>
          <c:showCatName val="0"/>
          <c:showSerName val="0"/>
          <c:showPercent val="0"/>
          <c:showBubbleSize val="0"/>
          <c:extLst>
            <c:ext xmlns:c15="http://schemas.microsoft.com/office/drawing/2012/chart" uri="{CE6537A1-D6FC-4f65-9D91-7224C49458BB}"/>
          </c:extLst>
        </c:dLbl>
      </c:pivotFmt>
      <c:pivotFmt>
        <c:idx val="1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8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9"/>
        <c:spPr>
          <a:ln w="34925" cap="rnd">
            <a:solidFill>
              <a:schemeClr val="accent5">
                <a:lumMod val="75000"/>
              </a:schemeClr>
            </a:solidFill>
            <a:round/>
          </a:ln>
          <a:effectLst>
            <a:glow rad="127000">
              <a:schemeClr val="accent5">
                <a:lumMod val="40000"/>
                <a:lumOff val="60000"/>
              </a:schemeClr>
            </a:glow>
          </a:effectLst>
        </c:spPr>
        <c:marker>
          <c:symbol val="circle"/>
          <c:size val="6"/>
          <c:spPr>
            <a:solidFill>
              <a:schemeClr val="accent4"/>
            </a:solidFill>
            <a:ln w="9525">
              <a:solidFill>
                <a:schemeClr val="accent1"/>
              </a:solidFill>
              <a:round/>
            </a:ln>
            <a:effectLst>
              <a:glow rad="127000">
                <a:schemeClr val="accent5">
                  <a:lumMod val="40000"/>
                  <a:lumOff val="60000"/>
                </a:schemeClr>
              </a:glow>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0"/>
        <c:spPr>
          <a:ln w="34925" cap="rnd">
            <a:solidFill>
              <a:schemeClr val="accent5">
                <a:lumMod val="75000"/>
              </a:schemeClr>
            </a:solidFill>
            <a:round/>
          </a:ln>
          <a:effectLst>
            <a:glow rad="127000">
              <a:schemeClr val="accent5">
                <a:lumMod val="40000"/>
                <a:lumOff val="60000"/>
              </a:schemeClr>
            </a:glow>
          </a:effectLst>
        </c:spPr>
        <c:marker>
          <c:symbol val="circle"/>
          <c:size val="6"/>
          <c:spPr>
            <a:solidFill>
              <a:schemeClr val="accent4"/>
            </a:solidFill>
            <a:ln w="9525">
              <a:solidFill>
                <a:schemeClr val="accent1"/>
              </a:solidFill>
              <a:round/>
            </a:ln>
            <a:effectLst>
              <a:glow rad="127000">
                <a:schemeClr val="accent5">
                  <a:lumMod val="40000"/>
                  <a:lumOff val="60000"/>
                </a:schemeClr>
              </a:glow>
            </a:effectLst>
          </c:spPr>
        </c:marker>
      </c:pivotFmt>
    </c:pivotFmts>
    <c:plotArea>
      <c:layout/>
      <c:lineChart>
        <c:grouping val="standard"/>
        <c:varyColors val="0"/>
        <c:ser>
          <c:idx val="0"/>
          <c:order val="0"/>
          <c:tx>
            <c:strRef>
              <c:f>'Pivot Calc'!$F$13</c:f>
              <c:strCache>
                <c:ptCount val="1"/>
                <c:pt idx="0">
                  <c:v>Total</c:v>
                </c:pt>
              </c:strCache>
            </c:strRef>
          </c:tx>
          <c:spPr>
            <a:ln w="34925" cap="rnd">
              <a:solidFill>
                <a:schemeClr val="accent5">
                  <a:lumMod val="75000"/>
                </a:schemeClr>
              </a:solidFill>
              <a:round/>
            </a:ln>
            <a:effectLst>
              <a:glow rad="127000">
                <a:schemeClr val="accent5">
                  <a:lumMod val="40000"/>
                  <a:lumOff val="60000"/>
                </a:schemeClr>
              </a:glow>
            </a:effectLst>
          </c:spPr>
          <c:marker>
            <c:symbol val="circle"/>
            <c:size val="6"/>
            <c:spPr>
              <a:solidFill>
                <a:schemeClr val="accent4"/>
              </a:solidFill>
              <a:ln w="9525">
                <a:solidFill>
                  <a:schemeClr val="accent1"/>
                </a:solidFill>
                <a:round/>
              </a:ln>
              <a:effectLst>
                <a:glow rad="127000">
                  <a:schemeClr val="accent5">
                    <a:lumMod val="40000"/>
                    <a:lumOff val="60000"/>
                  </a:schemeClr>
                </a:glow>
              </a:effectLst>
            </c:spPr>
          </c:marke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ysClr val="windowText" lastClr="000000"/>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lt1">
                          <a:lumMod val="95000"/>
                          <a:alpha val="54000"/>
                        </a:schemeClr>
                      </a:solidFill>
                    </a:ln>
                    <a:effectLst/>
                  </c:spPr>
                </c15:leaderLines>
              </c:ext>
            </c:extLst>
          </c:dLbls>
          <c:errBars>
            <c:errDir val="y"/>
            <c:errBarType val="both"/>
            <c:errValType val="stdErr"/>
            <c:noEndCap val="0"/>
            <c:spPr>
              <a:noFill/>
              <a:ln w="9525" cap="flat" cmpd="sng" algn="ctr">
                <a:solidFill>
                  <a:schemeClr val="lt1">
                    <a:lumMod val="95000"/>
                  </a:schemeClr>
                </a:solidFill>
                <a:round/>
              </a:ln>
              <a:effectLst/>
            </c:spPr>
          </c:errBars>
          <c:cat>
            <c:strRef>
              <c:f>'Pivot Calc'!$E$14:$E$17</c:f>
              <c:strCache>
                <c:ptCount val="3"/>
                <c:pt idx="0">
                  <c:v>Accessories</c:v>
                </c:pt>
                <c:pt idx="1">
                  <c:v>Electronics</c:v>
                </c:pt>
                <c:pt idx="2">
                  <c:v>Office</c:v>
                </c:pt>
              </c:strCache>
            </c:strRef>
          </c:cat>
          <c:val>
            <c:numRef>
              <c:f>'Pivot Calc'!$F$14:$F$17</c:f>
              <c:numCache>
                <c:formatCode>General</c:formatCode>
                <c:ptCount val="3"/>
                <c:pt idx="0">
                  <c:v>6917</c:v>
                </c:pt>
                <c:pt idx="1">
                  <c:v>8610</c:v>
                </c:pt>
                <c:pt idx="2">
                  <c:v>1734</c:v>
                </c:pt>
              </c:numCache>
            </c:numRef>
          </c:val>
          <c:smooth val="0"/>
          <c:extLst>
            <c:ext xmlns:c16="http://schemas.microsoft.com/office/drawing/2014/chart" uri="{C3380CC4-5D6E-409C-BE32-E72D297353CC}">
              <c16:uniqueId val="{00000006-BA52-46FB-A9D4-07FF2DE66C6C}"/>
            </c:ext>
          </c:extLst>
        </c:ser>
        <c:dLbls>
          <c:dLblPos val="t"/>
          <c:showLegendKey val="0"/>
          <c:showVal val="1"/>
          <c:showCatName val="0"/>
          <c:showSerName val="0"/>
          <c:showPercent val="0"/>
          <c:showBubbleSize val="0"/>
        </c:dLbls>
        <c:marker val="1"/>
        <c:smooth val="0"/>
        <c:axId val="560211376"/>
        <c:axId val="299848496"/>
      </c:lineChart>
      <c:catAx>
        <c:axId val="560211376"/>
        <c:scaling>
          <c:orientation val="minMax"/>
        </c:scaling>
        <c:delete val="0"/>
        <c:axPos val="b"/>
        <c:numFmt formatCode="General" sourceLinked="1"/>
        <c:majorTickMark val="none"/>
        <c:minorTickMark val="none"/>
        <c:tickLblPos val="nextTo"/>
        <c:spPr>
          <a:noFill/>
          <a:ln w="12700" cap="flat" cmpd="sng" algn="ctr">
            <a:solidFill>
              <a:schemeClr val="lt1">
                <a:lumMod val="95000"/>
                <a:alpha val="54000"/>
              </a:schemeClr>
            </a:solidFill>
            <a:round/>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299848496"/>
        <c:crosses val="autoZero"/>
        <c:auto val="1"/>
        <c:lblAlgn val="ctr"/>
        <c:lblOffset val="100"/>
        <c:noMultiLvlLbl val="0"/>
      </c:catAx>
      <c:valAx>
        <c:axId val="299848496"/>
        <c:scaling>
          <c:orientation val="minMax"/>
        </c:scaling>
        <c:delete val="0"/>
        <c:axPos val="l"/>
        <c:majorGridlines>
          <c:spPr>
            <a:ln w="9525" cap="flat" cmpd="sng" algn="ctr">
              <a:solidFill>
                <a:schemeClr val="lt1">
                  <a:lumMod val="95000"/>
                  <a:alpha val="10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1" i="0" u="none" strike="noStrike" kern="1200" baseline="0">
                <a:solidFill>
                  <a:schemeClr val="tx1"/>
                </a:solidFill>
                <a:latin typeface="+mn-lt"/>
                <a:ea typeface="+mn-ea"/>
                <a:cs typeface="+mn-cs"/>
              </a:defRPr>
            </a:pPr>
            <a:endParaRPr lang="en-US"/>
          </a:p>
        </c:txPr>
        <c:crossAx val="560211376"/>
        <c:crosses val="autoZero"/>
        <c:crossBetween val="between"/>
      </c:valAx>
      <c:spPr>
        <a:noFill/>
        <a:ln>
          <a:noFill/>
        </a:ln>
        <a:effectLst/>
      </c:spPr>
    </c:plotArea>
    <c:plotVisOnly val="1"/>
    <c:dispBlanksAs val="gap"/>
    <c:showDLblsOverMax val="0"/>
    <c:extLst/>
  </c:chart>
  <c:spPr>
    <a:solidFill>
      <a:schemeClr val="bg1">
        <a:lumMod val="85000"/>
      </a:schemeClr>
    </a:solidFill>
    <a:ln>
      <a:solidFill>
        <a:schemeClr val="accent5">
          <a:lumMod val="60000"/>
          <a:lumOff val="40000"/>
        </a:schemeClr>
      </a:solidFil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withinLinear" id="18">
  <a:schemeClr val="accent5"/>
</cs:colorStyle>
</file>

<file path=xl/charts/colors2.xml><?xml version="1.0" encoding="utf-8"?>
<cs:colorStyle xmlns:cs="http://schemas.microsoft.com/office/drawing/2012/chartStyle" xmlns:a="http://schemas.openxmlformats.org/drawingml/2006/main" meth="withinLinear" id="18">
  <a:schemeClr val="accent5"/>
</cs:colorStyle>
</file>

<file path=xl/charts/colors3.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1">
  <a:schemeClr val="accent1"/>
  <a:schemeClr val="accent3"/>
  <a:schemeClr val="accent5"/>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2.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5.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charts/style6.xml><?xml version="1.0" encoding="utf-8"?>
<cs:chartStyle xmlns:cs="http://schemas.microsoft.com/office/drawing/2012/chartStyle" xmlns:a="http://schemas.openxmlformats.org/drawingml/2006/main" id="209">
  <cs:axisTitle>
    <cs:lnRef idx="0"/>
    <cs:fillRef idx="0"/>
    <cs:effectRef idx="0"/>
    <cs:fontRef idx="minor">
      <a:schemeClr val="lt1">
        <a:lumMod val="85000"/>
      </a:schemeClr>
    </cs:fontRef>
    <cs:defRPr sz="900" b="1" kern="1200" cap="all"/>
  </cs:axisTitle>
  <cs:category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categoryAxis>
  <cs:chartArea>
    <cs:lnRef idx="0"/>
    <cs:fillRef idx="0"/>
    <cs:effectRef idx="0"/>
    <cs:fontRef idx="minor">
      <a:schemeClr val="dk1"/>
    </cs:fontRef>
    <cs:spPr>
      <a:gradFill flip="none" rotWithShape="1">
        <a:gsLst>
          <a:gs pos="0">
            <a:schemeClr val="dk1">
              <a:lumMod val="65000"/>
              <a:lumOff val="35000"/>
            </a:schemeClr>
          </a:gs>
          <a:gs pos="100000">
            <a:schemeClr val="dk1">
              <a:lumMod val="85000"/>
              <a:lumOff val="15000"/>
            </a:schemeClr>
          </a:gs>
        </a:gsLst>
        <a:path path="circle">
          <a:fillToRect l="50000" t="50000" r="50000" b="50000"/>
        </a:path>
        <a:tileRect/>
      </a:gradFill>
    </cs:spPr>
    <cs:defRPr sz="1000" kern="1200"/>
  </cs:chartArea>
  <cs:dataLabel>
    <cs:lnRef idx="0"/>
    <cs:fillRef idx="0"/>
    <cs:effectRef idx="0"/>
    <cs:fontRef idx="minor">
      <a:schemeClr val="lt1">
        <a:lumMod val="85000"/>
      </a:schemeClr>
    </cs:fontRef>
    <cs:defRPr sz="900" kern="1200"/>
  </cs:dataLabel>
  <cs:dataLabelCallout>
    <cs:lnRef idx="0"/>
    <cs:fillRef idx="0"/>
    <cs:effectRef idx="0"/>
    <cs:fontRef idx="minor">
      <a:schemeClr val="dk1">
        <a:lumMod val="65000"/>
        <a:lumOff val="35000"/>
      </a:schemeClr>
    </cs:fontRef>
    <cs:spPr>
      <a:solidFill>
        <a:schemeClr val="lt1"/>
      </a:solidFill>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lt1"/>
    </cs:fontRef>
  </cs:dataPoint>
  <cs:dataPoint3D>
    <cs:lnRef idx="0"/>
    <cs:fillRef idx="3">
      <cs:styleClr val="auto"/>
    </cs:fillRef>
    <cs:effectRef idx="3"/>
    <cs:fontRef idx="minor">
      <a:schemeClr val="lt1"/>
    </cs:fontRef>
  </cs:dataPoint3D>
  <cs:dataPointLine>
    <cs:lnRef idx="0">
      <cs:styleClr val="auto"/>
    </cs:lnRef>
    <cs:fillRef idx="3"/>
    <cs:effectRef idx="3"/>
    <cs:fontRef idx="minor">
      <a:schemeClr val="lt1"/>
    </cs:fontRef>
    <cs:spPr>
      <a:ln w="34925" cap="rnd">
        <a:solidFill>
          <a:schemeClr val="phClr"/>
        </a:solidFill>
        <a:round/>
      </a:ln>
    </cs:spPr>
  </cs:dataPointLine>
  <cs:dataPointMarker>
    <cs:lnRef idx="0">
      <cs:styleClr val="auto"/>
    </cs:lnRef>
    <cs:fillRef idx="3">
      <cs:styleClr val="auto"/>
    </cs:fillRef>
    <cs:effectRef idx="3"/>
    <cs:fontRef idx="minor">
      <a:schemeClr val="lt1"/>
    </cs:fontRef>
    <cs:spPr>
      <a:ln w="9525">
        <a:solidFill>
          <a:schemeClr val="phClr"/>
        </a:solidFill>
        <a:round/>
      </a:ln>
    </cs:spPr>
  </cs:dataPointMarker>
  <cs:dataPointMarkerLayout symbol="circle" size="6"/>
  <cs:dataPointWireframe>
    <cs:lnRef idx="0">
      <cs:styleClr val="auto"/>
    </cs:lnRef>
    <cs:fillRef idx="3"/>
    <cs:effectRef idx="3"/>
    <cs:fontRef idx="minor">
      <a:schemeClr val="lt1"/>
    </cs:fontRef>
    <cs:spPr>
      <a:ln w="9525" cap="rnd">
        <a:solidFill>
          <a:schemeClr val="phClr"/>
        </a:solidFill>
        <a:round/>
      </a:ln>
    </cs:spPr>
  </cs:dataPointWireframe>
  <cs:dataTable>
    <cs:lnRef idx="0"/>
    <cs:fillRef idx="0"/>
    <cs:effectRef idx="0"/>
    <cs:fontRef idx="minor">
      <a:schemeClr val="lt1">
        <a:lumMod val="85000"/>
      </a:schemeClr>
    </cs:fontRef>
    <cs:spPr>
      <a:ln w="9525">
        <a:solidFill>
          <a:schemeClr val="lt1">
            <a:lumMod val="95000"/>
            <a:alpha val="54000"/>
          </a:schemeClr>
        </a:solidFill>
      </a:ln>
    </cs:spPr>
    <cs:defRPr sz="900" kern="1200"/>
  </cs:dataTable>
  <cs:downBar>
    <cs:lnRef idx="0"/>
    <cs:fillRef idx="0"/>
    <cs:effectRef idx="0"/>
    <cs:fontRef idx="minor">
      <a:schemeClr val="lt1"/>
    </cs:fontRef>
    <cs:spPr>
      <a:solidFill>
        <a:schemeClr val="dk1">
          <a:lumMod val="75000"/>
          <a:lumOff val="25000"/>
        </a:schemeClr>
      </a:solidFill>
      <a:ln w="9525">
        <a:solidFill>
          <a:schemeClr val="lt1">
            <a:lumMod val="95000"/>
            <a:alpha val="54000"/>
          </a:schemeClr>
        </a:solidFill>
      </a:ln>
    </cs:spPr>
  </cs:downBar>
  <cs:dropLine>
    <cs:lnRef idx="0"/>
    <cs:fillRef idx="0"/>
    <cs:effectRef idx="0"/>
    <cs:fontRef idx="minor">
      <a:schemeClr val="lt1"/>
    </cs:fontRef>
    <cs:spPr>
      <a:ln w="9525">
        <a:solidFill>
          <a:schemeClr val="lt1">
            <a:lumMod val="95000"/>
            <a:alpha val="54000"/>
          </a:schemeClr>
        </a:solidFill>
        <a:prstDash val="dash"/>
      </a:ln>
    </cs:spPr>
  </cs:dropLine>
  <cs:errorBar>
    <cs:lnRef idx="0"/>
    <cs:fillRef idx="0"/>
    <cs:effectRef idx="0"/>
    <cs:fontRef idx="minor">
      <a:schemeClr val="lt1"/>
    </cs:fontRef>
    <cs:spPr>
      <a:ln w="9525" cap="flat" cmpd="sng" algn="ctr">
        <a:solidFill>
          <a:schemeClr val="lt1">
            <a:lumMod val="95000"/>
          </a:schemeClr>
        </a:solidFill>
        <a:round/>
      </a:ln>
    </cs:spPr>
  </cs:errorBar>
  <cs:floor>
    <cs:lnRef idx="0"/>
    <cs:fillRef idx="0"/>
    <cs:effectRef idx="0"/>
    <cs:fontRef idx="minor">
      <a:schemeClr val="lt1"/>
    </cs:fontRef>
  </cs:floor>
  <cs:gridlineMajor>
    <cs:lnRef idx="0"/>
    <cs:fillRef idx="0"/>
    <cs:effectRef idx="0"/>
    <cs:fontRef idx="minor">
      <a:schemeClr val="lt1"/>
    </cs:fontRef>
    <cs:spPr>
      <a:ln w="9525" cap="flat" cmpd="sng" algn="ctr">
        <a:solidFill>
          <a:schemeClr val="lt1">
            <a:lumMod val="95000"/>
            <a:alpha val="10000"/>
          </a:schemeClr>
        </a:solidFill>
        <a:round/>
      </a:ln>
    </cs:spPr>
  </cs:gridlineMajor>
  <cs:gridlineMinor>
    <cs:lnRef idx="0"/>
    <cs:fillRef idx="0"/>
    <cs:effectRef idx="0"/>
    <cs:fontRef idx="minor">
      <a:schemeClr val="lt1"/>
    </cs:fontRef>
    <cs:spPr>
      <a:ln>
        <a:solidFill>
          <a:schemeClr val="lt1">
            <a:lumMod val="95000"/>
            <a:alpha val="5000"/>
          </a:schemeClr>
        </a:solidFill>
      </a:ln>
    </cs:spPr>
  </cs:gridlineMinor>
  <cs:hiLoLine>
    <cs:lnRef idx="0"/>
    <cs:fillRef idx="0"/>
    <cs:effectRef idx="0"/>
    <cs:fontRef idx="minor">
      <a:schemeClr val="lt1"/>
    </cs:fontRef>
    <cs:spPr>
      <a:ln w="9525">
        <a:solidFill>
          <a:schemeClr val="lt1">
            <a:lumMod val="95000"/>
            <a:alpha val="54000"/>
          </a:schemeClr>
        </a:solidFill>
        <a:prstDash val="dash"/>
      </a:ln>
    </cs:spPr>
  </cs:hiLoLine>
  <cs:leaderLine>
    <cs:lnRef idx="0"/>
    <cs:fillRef idx="0"/>
    <cs:effectRef idx="0"/>
    <cs:fontRef idx="minor">
      <a:schemeClr val="lt1"/>
    </cs:fontRef>
    <cs:spPr>
      <a:ln w="9525">
        <a:solidFill>
          <a:schemeClr val="lt1">
            <a:lumMod val="95000"/>
            <a:alpha val="54000"/>
          </a:schemeClr>
        </a:solidFill>
      </a:ln>
    </cs:spPr>
  </cs:leaderLine>
  <cs:legend>
    <cs:lnRef idx="0"/>
    <cs:fillRef idx="0"/>
    <cs:effectRef idx="0"/>
    <cs:fontRef idx="minor">
      <a:schemeClr val="lt1">
        <a:lumMod val="8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lt1">
        <a:lumMod val="85000"/>
      </a:schemeClr>
    </cs:fontRef>
    <cs:spPr>
      <a:ln w="12700" cap="flat" cmpd="sng" algn="ctr">
        <a:solidFill>
          <a:schemeClr val="lt1">
            <a:lumMod val="95000"/>
            <a:alpha val="54000"/>
          </a:schemeClr>
        </a:solidFill>
        <a:round/>
      </a:ln>
    </cs:spPr>
    <cs:defRPr sz="900" kern="1200"/>
  </cs:seriesAxis>
  <cs:seriesLine>
    <cs:lnRef idx="0"/>
    <cs:fillRef idx="0"/>
    <cs:effectRef idx="0"/>
    <cs:fontRef idx="minor">
      <a:schemeClr val="lt1"/>
    </cs:fontRef>
    <cs:spPr>
      <a:ln w="9525" cap="flat" cmpd="sng" algn="ctr">
        <a:solidFill>
          <a:schemeClr val="lt1">
            <a:lumMod val="95000"/>
            <a:alpha val="54000"/>
          </a:schemeClr>
        </a:solidFill>
        <a:round/>
      </a:ln>
    </cs:spPr>
  </cs:seriesLine>
  <cs:title>
    <cs:lnRef idx="0"/>
    <cs:fillRef idx="0"/>
    <cs:effectRef idx="0"/>
    <cs:fontRef idx="minor">
      <a:schemeClr val="lt1">
        <a:lumMod val="95000"/>
      </a:schemeClr>
    </cs:fontRef>
    <cs:defRPr sz="1600" b="1" kern="1200" spc="100" baseline="0">
      <a:effectLst>
        <a:outerShdw blurRad="50800" dist="38100" dir="5400000" algn="t" rotWithShape="0">
          <a:prstClr val="black">
            <a:alpha val="40000"/>
          </a:prstClr>
        </a:outerShdw>
      </a:effectLst>
    </cs:defRPr>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lt1">
        <a:lumMod val="85000"/>
      </a:schemeClr>
    </cs:fontRef>
    <cs:defRPr sz="900" kern="1200"/>
  </cs:trendlineLabel>
  <cs:upBar>
    <cs:lnRef idx="0"/>
    <cs:fillRef idx="0"/>
    <cs:effectRef idx="0"/>
    <cs:fontRef idx="minor">
      <a:schemeClr val="lt1"/>
    </cs:fontRef>
    <cs:spPr>
      <a:solidFill>
        <a:schemeClr val="lt1"/>
      </a:solidFill>
      <a:ln w="9525">
        <a:solidFill>
          <a:schemeClr val="lt1">
            <a:lumMod val="95000"/>
            <a:alpha val="54000"/>
          </a:schemeClr>
        </a:solidFill>
      </a:ln>
    </cs:spPr>
  </cs:upBar>
  <cs:valueAxis>
    <cs:lnRef idx="0"/>
    <cs:fillRef idx="0"/>
    <cs:effectRef idx="0"/>
    <cs:fontRef idx="minor">
      <a:schemeClr val="lt1">
        <a:lumMod val="85000"/>
      </a:schemeClr>
    </cs:fontRef>
    <cs:defRPr sz="900" kern="1200"/>
  </cs:valueAxis>
  <cs:wall>
    <cs:lnRef idx="0"/>
    <cs:fillRef idx="0"/>
    <cs:effectRef idx="0"/>
    <cs:fontRef idx="minor">
      <a:schemeClr val="lt1"/>
    </cs:fontRef>
  </cs:wall>
</cs:chartStyle>
</file>

<file path=xl/drawings/_rels/drawing1.xml.rels><?xml version="1.0" encoding="UTF-8" standalone="yes"?>
<Relationships xmlns="http://schemas.openxmlformats.org/package/2006/relationships"><Relationship Id="rId8" Type="http://schemas.openxmlformats.org/officeDocument/2006/relationships/image" Target="../media/image2.svg"/><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xdr:from>
      <xdr:col>3</xdr:col>
      <xdr:colOff>275992</xdr:colOff>
      <xdr:row>6</xdr:row>
      <xdr:rowOff>68503</xdr:rowOff>
    </xdr:from>
    <xdr:to>
      <xdr:col>10</xdr:col>
      <xdr:colOff>487875</xdr:colOff>
      <xdr:row>22</xdr:row>
      <xdr:rowOff>43293</xdr:rowOff>
    </xdr:to>
    <xdr:graphicFrame macro="">
      <xdr:nvGraphicFramePr>
        <xdr:cNvPr id="2" name="Chart 1">
          <a:extLst>
            <a:ext uri="{FF2B5EF4-FFF2-40B4-BE49-F238E27FC236}">
              <a16:creationId xmlns:a16="http://schemas.microsoft.com/office/drawing/2014/main" id="{EF0F4307-8562-4712-9C6A-E767BC6CC67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275988</xdr:colOff>
      <xdr:row>22</xdr:row>
      <xdr:rowOff>150678</xdr:rowOff>
    </xdr:from>
    <xdr:to>
      <xdr:col>10</xdr:col>
      <xdr:colOff>487871</xdr:colOff>
      <xdr:row>38</xdr:row>
      <xdr:rowOff>125972</xdr:rowOff>
    </xdr:to>
    <xdr:graphicFrame macro="">
      <xdr:nvGraphicFramePr>
        <xdr:cNvPr id="9" name="Chart 8">
          <a:extLst>
            <a:ext uri="{FF2B5EF4-FFF2-40B4-BE49-F238E27FC236}">
              <a16:creationId xmlns:a16="http://schemas.microsoft.com/office/drawing/2014/main" id="{518CA574-1008-4736-9DDE-D789FF5B38E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10</xdr:col>
      <xdr:colOff>597208</xdr:colOff>
      <xdr:row>6</xdr:row>
      <xdr:rowOff>83444</xdr:rowOff>
    </xdr:from>
    <xdr:to>
      <xdr:col>18</xdr:col>
      <xdr:colOff>201202</xdr:colOff>
      <xdr:row>22</xdr:row>
      <xdr:rowOff>58234</xdr:rowOff>
    </xdr:to>
    <xdr:graphicFrame macro="">
      <xdr:nvGraphicFramePr>
        <xdr:cNvPr id="10" name="Chart 9">
          <a:extLst>
            <a:ext uri="{FF2B5EF4-FFF2-40B4-BE49-F238E27FC236}">
              <a16:creationId xmlns:a16="http://schemas.microsoft.com/office/drawing/2014/main" id="{20C8D24C-3BC3-4854-87CD-4DA5DEC8E0F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18</xdr:col>
      <xdr:colOff>308043</xdr:colOff>
      <xdr:row>6</xdr:row>
      <xdr:rowOff>77065</xdr:rowOff>
    </xdr:from>
    <xdr:to>
      <xdr:col>25</xdr:col>
      <xdr:colOff>519925</xdr:colOff>
      <xdr:row>22</xdr:row>
      <xdr:rowOff>51855</xdr:rowOff>
    </xdr:to>
    <xdr:graphicFrame macro="">
      <xdr:nvGraphicFramePr>
        <xdr:cNvPr id="11" name="Chart 10">
          <a:extLst>
            <a:ext uri="{FF2B5EF4-FFF2-40B4-BE49-F238E27FC236}">
              <a16:creationId xmlns:a16="http://schemas.microsoft.com/office/drawing/2014/main" id="{5D47A5AA-CC9A-4B0F-983E-FA095C01F1B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10</xdr:col>
      <xdr:colOff>597371</xdr:colOff>
      <xdr:row>22</xdr:row>
      <xdr:rowOff>150673</xdr:rowOff>
    </xdr:from>
    <xdr:to>
      <xdr:col>18</xdr:col>
      <xdr:colOff>201365</xdr:colOff>
      <xdr:row>38</xdr:row>
      <xdr:rowOff>125967</xdr:rowOff>
    </xdr:to>
    <xdr:graphicFrame macro="">
      <xdr:nvGraphicFramePr>
        <xdr:cNvPr id="12" name="Chart 11">
          <a:extLst>
            <a:ext uri="{FF2B5EF4-FFF2-40B4-BE49-F238E27FC236}">
              <a16:creationId xmlns:a16="http://schemas.microsoft.com/office/drawing/2014/main" id="{3C364BBA-61BF-4DC0-AA62-A4AA11B9D2A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18</xdr:col>
      <xdr:colOff>316606</xdr:colOff>
      <xdr:row>22</xdr:row>
      <xdr:rowOff>150673</xdr:rowOff>
    </xdr:from>
    <xdr:to>
      <xdr:col>25</xdr:col>
      <xdr:colOff>528488</xdr:colOff>
      <xdr:row>38</xdr:row>
      <xdr:rowOff>125967</xdr:rowOff>
    </xdr:to>
    <xdr:graphicFrame macro="">
      <xdr:nvGraphicFramePr>
        <xdr:cNvPr id="13" name="Chart 12">
          <a:extLst>
            <a:ext uri="{FF2B5EF4-FFF2-40B4-BE49-F238E27FC236}">
              <a16:creationId xmlns:a16="http://schemas.microsoft.com/office/drawing/2014/main" id="{0A8C65AF-56C1-4C1E-9EB7-5A1FD9DE794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editAs="oneCell">
    <xdr:from>
      <xdr:col>0</xdr:col>
      <xdr:colOff>231173</xdr:colOff>
      <xdr:row>15</xdr:row>
      <xdr:rowOff>132304</xdr:rowOff>
    </xdr:from>
    <xdr:to>
      <xdr:col>3</xdr:col>
      <xdr:colOff>189559</xdr:colOff>
      <xdr:row>38</xdr:row>
      <xdr:rowOff>128427</xdr:rowOff>
    </xdr:to>
    <mc:AlternateContent xmlns:mc="http://schemas.openxmlformats.org/markup-compatibility/2006">
      <mc:Choice xmlns:a14="http://schemas.microsoft.com/office/drawing/2010/main" Requires="a14">
        <xdr:graphicFrame macro="">
          <xdr:nvGraphicFramePr>
            <xdr:cNvPr id="15" name="Product Name 1">
              <a:extLst>
                <a:ext uri="{FF2B5EF4-FFF2-40B4-BE49-F238E27FC236}">
                  <a16:creationId xmlns:a16="http://schemas.microsoft.com/office/drawing/2014/main" id="{080543EC-B640-4C08-B255-EAE23178C8AA}"/>
                </a:ext>
              </a:extLst>
            </xdr:cNvPr>
            <xdr:cNvGraphicFramePr/>
          </xdr:nvGraphicFramePr>
          <xdr:xfrm>
            <a:off x="0" y="0"/>
            <a:ext cx="0" cy="0"/>
          </xdr:xfrm>
          <a:graphic>
            <a:graphicData uri="http://schemas.microsoft.com/office/drawing/2010/slicer">
              <sle:slicer xmlns:sle="http://schemas.microsoft.com/office/drawing/2010/slicer" name="Product Name 1"/>
            </a:graphicData>
          </a:graphic>
        </xdr:graphicFrame>
      </mc:Choice>
      <mc:Fallback>
        <xdr:sp macro="" textlink="">
          <xdr:nvSpPr>
            <xdr:cNvPr id="0" name=""/>
            <xdr:cNvSpPr>
              <a:spLocks noTextEdit="1"/>
            </xdr:cNvSpPr>
          </xdr:nvSpPr>
          <xdr:spPr>
            <a:xfrm>
              <a:off x="231173" y="2829270"/>
              <a:ext cx="1782049" cy="4131472"/>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231172</xdr:colOff>
      <xdr:row>6</xdr:row>
      <xdr:rowOff>79076</xdr:rowOff>
    </xdr:from>
    <xdr:to>
      <xdr:col>3</xdr:col>
      <xdr:colOff>171509</xdr:colOff>
      <xdr:row>15</xdr:row>
      <xdr:rowOff>25687</xdr:rowOff>
    </xdr:to>
    <mc:AlternateContent xmlns:mc="http://schemas.openxmlformats.org/markup-compatibility/2006">
      <mc:Choice xmlns:a14="http://schemas.microsoft.com/office/drawing/2010/main" Requires="a14">
        <xdr:graphicFrame macro="">
          <xdr:nvGraphicFramePr>
            <xdr:cNvPr id="17" name="Order Date (Year) 1">
              <a:extLst>
                <a:ext uri="{FF2B5EF4-FFF2-40B4-BE49-F238E27FC236}">
                  <a16:creationId xmlns:a16="http://schemas.microsoft.com/office/drawing/2014/main" id="{BC5F425B-B791-413E-AB53-CD7614E2011C}"/>
                </a:ext>
              </a:extLst>
            </xdr:cNvPr>
            <xdr:cNvGraphicFramePr>
              <a:graphicFrameLocks/>
            </xdr:cNvGraphicFramePr>
          </xdr:nvGraphicFramePr>
          <xdr:xfrm>
            <a:off x="0" y="0"/>
            <a:ext cx="0" cy="0"/>
          </xdr:xfrm>
          <a:graphic>
            <a:graphicData uri="http://schemas.microsoft.com/office/drawing/2010/slicer">
              <sle:slicer xmlns:sle="http://schemas.microsoft.com/office/drawing/2010/slicer" name="Order Date (Year) 1"/>
            </a:graphicData>
          </a:graphic>
        </xdr:graphicFrame>
      </mc:Choice>
      <mc:Fallback>
        <xdr:sp macro="" textlink="">
          <xdr:nvSpPr>
            <xdr:cNvPr id="0" name=""/>
            <xdr:cNvSpPr>
              <a:spLocks noTextEdit="1"/>
            </xdr:cNvSpPr>
          </xdr:nvSpPr>
          <xdr:spPr>
            <a:xfrm>
              <a:off x="231172" y="1157863"/>
              <a:ext cx="1764000" cy="1564790"/>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9</xdr:col>
      <xdr:colOff>607881</xdr:colOff>
      <xdr:row>1</xdr:row>
      <xdr:rowOff>145553</xdr:rowOff>
    </xdr:from>
    <xdr:to>
      <xdr:col>13</xdr:col>
      <xdr:colOff>522283</xdr:colOff>
      <xdr:row>5</xdr:row>
      <xdr:rowOff>102743</xdr:rowOff>
    </xdr:to>
    <xdr:sp macro="" textlink="'Pivot Calc'!A14">
      <xdr:nvSpPr>
        <xdr:cNvPr id="3" name="Rectangle: Rounded Corners 2">
          <a:extLst>
            <a:ext uri="{FF2B5EF4-FFF2-40B4-BE49-F238E27FC236}">
              <a16:creationId xmlns:a16="http://schemas.microsoft.com/office/drawing/2014/main" id="{A4342CC4-A05E-230C-5B12-B8C9CE0FE471}"/>
            </a:ext>
          </a:extLst>
        </xdr:cNvPr>
        <xdr:cNvSpPr/>
      </xdr:nvSpPr>
      <xdr:spPr>
        <a:xfrm>
          <a:off x="6078870" y="325351"/>
          <a:ext cx="2345952" cy="676381"/>
        </a:xfrm>
        <a:prstGeom prst="roundRect">
          <a:avLst/>
        </a:prstGeom>
        <a:ln w="38100">
          <a:solidFill>
            <a:schemeClr val="accent5">
              <a:lumMod val="60000"/>
              <a:lumOff val="40000"/>
            </a:schemeClr>
          </a:solidFill>
        </a:ln>
      </xdr:spPr>
      <xdr:style>
        <a:lnRef idx="2">
          <a:schemeClr val="accent3"/>
        </a:lnRef>
        <a:fillRef idx="1001">
          <a:schemeClr val="lt2"/>
        </a:fillRef>
        <a:effectRef idx="0">
          <a:schemeClr val="accent3"/>
        </a:effectRef>
        <a:fontRef idx="minor">
          <a:schemeClr val="dk1"/>
        </a:fontRef>
      </xdr:style>
      <xdr:txBody>
        <a:bodyPr vertOverflow="clip" horzOverflow="clip" rtlCol="0" anchor="t"/>
        <a:lstStyle/>
        <a:p>
          <a:pPr algn="ctr"/>
          <a:r>
            <a:rPr lang="en-US" sz="1600" b="1" i="0">
              <a:solidFill>
                <a:schemeClr val="dk1"/>
              </a:solidFill>
              <a:effectLst/>
              <a:latin typeface="+mn-lt"/>
              <a:ea typeface="+mn-ea"/>
              <a:cs typeface="+mn-cs"/>
            </a:rPr>
            <a:t>Total Sale</a:t>
          </a:r>
          <a:endParaRPr lang="en-US" sz="1600" b="1" i="0" u="none" strike="noStrike">
            <a:solidFill>
              <a:srgbClr val="000000"/>
            </a:solidFill>
            <a:latin typeface="Calibri"/>
            <a:ea typeface="Calibri"/>
            <a:cs typeface="Calibri"/>
          </a:endParaRPr>
        </a:p>
        <a:p>
          <a:pPr algn="ctr"/>
          <a:fld id="{C1CC9C10-2E1E-4323-833F-6D1AF86309CF}" type="TxLink">
            <a:rPr lang="en-US" sz="1600" b="1" i="0" u="none" strike="noStrike">
              <a:solidFill>
                <a:srgbClr val="000000"/>
              </a:solidFill>
              <a:latin typeface="Calibri"/>
              <a:ea typeface="Calibri"/>
              <a:cs typeface="Calibri"/>
            </a:rPr>
            <a:t>₹ 1,06,67,881</a:t>
          </a:fld>
          <a:endParaRPr lang="en-IN" sz="3600" b="1">
            <a:solidFill>
              <a:sysClr val="windowText" lastClr="000000"/>
            </a:solidFill>
          </a:endParaRPr>
        </a:p>
      </xdr:txBody>
    </xdr:sp>
    <xdr:clientData/>
  </xdr:twoCellAnchor>
  <xdr:twoCellAnchor>
    <xdr:from>
      <xdr:col>13</xdr:col>
      <xdr:colOff>597613</xdr:colOff>
      <xdr:row>1</xdr:row>
      <xdr:rowOff>152402</xdr:rowOff>
    </xdr:from>
    <xdr:to>
      <xdr:col>17</xdr:col>
      <xdr:colOff>512014</xdr:colOff>
      <xdr:row>5</xdr:row>
      <xdr:rowOff>109592</xdr:rowOff>
    </xdr:to>
    <xdr:sp macro="" textlink="'Pivot Calc'!B14">
      <xdr:nvSpPr>
        <xdr:cNvPr id="5" name="Rectangle: Rounded Corners 4">
          <a:extLst>
            <a:ext uri="{FF2B5EF4-FFF2-40B4-BE49-F238E27FC236}">
              <a16:creationId xmlns:a16="http://schemas.microsoft.com/office/drawing/2014/main" id="{31AF53C8-C36A-42D1-8F69-3D6675BAE878}"/>
            </a:ext>
          </a:extLst>
        </xdr:cNvPr>
        <xdr:cNvSpPr/>
      </xdr:nvSpPr>
      <xdr:spPr>
        <a:xfrm>
          <a:off x="8500152" y="332200"/>
          <a:ext cx="2345952" cy="676381"/>
        </a:xfrm>
        <a:prstGeom prst="roundRect">
          <a:avLst/>
        </a:prstGeom>
        <a:ln w="38100">
          <a:solidFill>
            <a:schemeClr val="accent5">
              <a:lumMod val="60000"/>
              <a:lumOff val="40000"/>
            </a:schemeClr>
          </a:solidFill>
        </a:ln>
      </xdr:spPr>
      <xdr:style>
        <a:lnRef idx="2">
          <a:schemeClr val="accent3"/>
        </a:lnRef>
        <a:fillRef idx="1001">
          <a:schemeClr val="lt2"/>
        </a:fillRef>
        <a:effectRef idx="0">
          <a:schemeClr val="accent3"/>
        </a:effectRef>
        <a:fontRef idx="minor">
          <a:schemeClr val="dk1"/>
        </a:fontRef>
      </xdr:style>
      <xdr:txBody>
        <a:bodyPr vertOverflow="clip" horzOverflow="clip" rtlCol="0" anchor="t"/>
        <a:lstStyle/>
        <a:p>
          <a:pPr algn="ctr"/>
          <a:r>
            <a:rPr lang="en-US" sz="1600" b="1" i="0">
              <a:solidFill>
                <a:schemeClr val="dk1"/>
              </a:solidFill>
              <a:effectLst/>
              <a:latin typeface="+mn-lt"/>
              <a:ea typeface="+mn-ea"/>
              <a:cs typeface="+mn-cs"/>
            </a:rPr>
            <a:t>Total Profit</a:t>
          </a:r>
          <a:endParaRPr lang="en-US" sz="1600" b="1" i="0" u="none" strike="noStrike">
            <a:solidFill>
              <a:srgbClr val="000000"/>
            </a:solidFill>
            <a:latin typeface="Calibri"/>
            <a:ea typeface="Calibri"/>
            <a:cs typeface="Calibri"/>
          </a:endParaRPr>
        </a:p>
        <a:p>
          <a:pPr algn="ctr"/>
          <a:fld id="{751B2D33-C9DD-42DF-9F9A-F5A6C1C72B0A}" type="TxLink">
            <a:rPr lang="en-US" sz="1600" b="1" i="0" u="none" strike="noStrike">
              <a:solidFill>
                <a:srgbClr val="000000"/>
              </a:solidFill>
              <a:latin typeface="Calibri"/>
              <a:ea typeface="Calibri"/>
              <a:cs typeface="Calibri"/>
            </a:rPr>
            <a:t>₹ 18,44,665</a:t>
          </a:fld>
          <a:endParaRPr lang="en-IN" sz="3600" b="1">
            <a:solidFill>
              <a:sysClr val="windowText" lastClr="000000"/>
            </a:solidFill>
          </a:endParaRPr>
        </a:p>
      </xdr:txBody>
    </xdr:sp>
    <xdr:clientData/>
  </xdr:twoCellAnchor>
  <xdr:twoCellAnchor>
    <xdr:from>
      <xdr:col>17</xdr:col>
      <xdr:colOff>595894</xdr:colOff>
      <xdr:row>1</xdr:row>
      <xdr:rowOff>150690</xdr:rowOff>
    </xdr:from>
    <xdr:to>
      <xdr:col>21</xdr:col>
      <xdr:colOff>510296</xdr:colOff>
      <xdr:row>5</xdr:row>
      <xdr:rowOff>107880</xdr:rowOff>
    </xdr:to>
    <xdr:sp macro="" textlink="'Pivot Calc'!C14">
      <xdr:nvSpPr>
        <xdr:cNvPr id="6" name="Rectangle: Rounded Corners 5">
          <a:extLst>
            <a:ext uri="{FF2B5EF4-FFF2-40B4-BE49-F238E27FC236}">
              <a16:creationId xmlns:a16="http://schemas.microsoft.com/office/drawing/2014/main" id="{C7BC677E-24D4-4612-87DD-B1A6BA033DCE}"/>
            </a:ext>
          </a:extLst>
        </xdr:cNvPr>
        <xdr:cNvSpPr/>
      </xdr:nvSpPr>
      <xdr:spPr>
        <a:xfrm>
          <a:off x="10929984" y="330488"/>
          <a:ext cx="2345952" cy="676381"/>
        </a:xfrm>
        <a:prstGeom prst="roundRect">
          <a:avLst/>
        </a:prstGeom>
        <a:ln w="38100">
          <a:solidFill>
            <a:schemeClr val="accent5">
              <a:lumMod val="60000"/>
              <a:lumOff val="40000"/>
            </a:schemeClr>
          </a:solidFill>
        </a:ln>
      </xdr:spPr>
      <xdr:style>
        <a:lnRef idx="2">
          <a:schemeClr val="accent3"/>
        </a:lnRef>
        <a:fillRef idx="1001">
          <a:schemeClr val="lt2"/>
        </a:fillRef>
        <a:effectRef idx="0">
          <a:schemeClr val="accent3"/>
        </a:effectRef>
        <a:fontRef idx="minor">
          <a:schemeClr val="dk1"/>
        </a:fontRef>
      </xdr:style>
      <xdr:txBody>
        <a:bodyPr vertOverflow="clip" horzOverflow="clip" rtlCol="0" anchor="t"/>
        <a:lstStyle/>
        <a:p>
          <a:pPr algn="ctr"/>
          <a:r>
            <a:rPr lang="en-US" sz="1600" b="1" i="0" u="none" strike="noStrike">
              <a:solidFill>
                <a:sysClr val="windowText" lastClr="000000"/>
              </a:solidFill>
              <a:latin typeface="+mn-lt"/>
              <a:ea typeface="Calibri"/>
              <a:cs typeface="Calibri"/>
            </a:rPr>
            <a:t>Total Quantity</a:t>
          </a:r>
        </a:p>
        <a:p>
          <a:pPr algn="ctr"/>
          <a:fld id="{46B8EB1B-6FD2-4204-A88E-E4D0CAB3FBD5}" type="TxLink">
            <a:rPr lang="en-US" sz="1600" b="1" i="0" u="none" strike="noStrike">
              <a:solidFill>
                <a:sysClr val="windowText" lastClr="000000"/>
              </a:solidFill>
              <a:latin typeface="Calibri"/>
              <a:ea typeface="Calibri"/>
              <a:cs typeface="Calibri"/>
            </a:rPr>
            <a:pPr algn="ctr"/>
            <a:t>17261</a:t>
          </a:fld>
          <a:endParaRPr lang="en-IN" sz="3600" b="1">
            <a:solidFill>
              <a:sysClr val="windowText" lastClr="000000"/>
            </a:solidFill>
          </a:endParaRPr>
        </a:p>
      </xdr:txBody>
    </xdr:sp>
    <xdr:clientData/>
  </xdr:twoCellAnchor>
  <xdr:twoCellAnchor>
    <xdr:from>
      <xdr:col>21</xdr:col>
      <xdr:colOff>602745</xdr:colOff>
      <xdr:row>1</xdr:row>
      <xdr:rowOff>157540</xdr:rowOff>
    </xdr:from>
    <xdr:to>
      <xdr:col>25</xdr:col>
      <xdr:colOff>517146</xdr:colOff>
      <xdr:row>5</xdr:row>
      <xdr:rowOff>114730</xdr:rowOff>
    </xdr:to>
    <xdr:sp macro="" textlink="'Pivot Calc'!D14">
      <xdr:nvSpPr>
        <xdr:cNvPr id="7" name="Rectangle: Rounded Corners 6">
          <a:extLst>
            <a:ext uri="{FF2B5EF4-FFF2-40B4-BE49-F238E27FC236}">
              <a16:creationId xmlns:a16="http://schemas.microsoft.com/office/drawing/2014/main" id="{EF45D07C-2C1F-4391-8B1E-4DEE9C44BF5E}"/>
            </a:ext>
          </a:extLst>
        </xdr:cNvPr>
        <xdr:cNvSpPr/>
      </xdr:nvSpPr>
      <xdr:spPr>
        <a:xfrm>
          <a:off x="13368385" y="337338"/>
          <a:ext cx="2345952" cy="676381"/>
        </a:xfrm>
        <a:prstGeom prst="roundRect">
          <a:avLst/>
        </a:prstGeom>
        <a:ln w="38100">
          <a:solidFill>
            <a:schemeClr val="accent5">
              <a:lumMod val="60000"/>
              <a:lumOff val="40000"/>
            </a:schemeClr>
          </a:solidFill>
        </a:ln>
      </xdr:spPr>
      <xdr:style>
        <a:lnRef idx="2">
          <a:schemeClr val="accent3"/>
        </a:lnRef>
        <a:fillRef idx="1001">
          <a:schemeClr val="lt2"/>
        </a:fillRef>
        <a:effectRef idx="0">
          <a:schemeClr val="accent3"/>
        </a:effectRef>
        <a:fontRef idx="minor">
          <a:schemeClr val="dk1"/>
        </a:fontRef>
      </xdr:style>
      <xdr:txBody>
        <a:bodyPr vertOverflow="clip" horzOverflow="clip" rtlCol="0" anchor="t"/>
        <a:lstStyle/>
        <a:p>
          <a:pPr algn="ctr"/>
          <a:r>
            <a:rPr lang="en-US" sz="1600" b="1" i="0" u="none" strike="noStrike">
              <a:solidFill>
                <a:sysClr val="windowText" lastClr="000000"/>
              </a:solidFill>
              <a:latin typeface="Calibri"/>
              <a:ea typeface="Calibri"/>
              <a:cs typeface="Calibri"/>
            </a:rPr>
            <a:t>Profit Margin</a:t>
          </a:r>
        </a:p>
        <a:p>
          <a:pPr algn="ctr"/>
          <a:fld id="{C5E632E0-FC66-44B6-95AF-0B3E54E0A0C1}" type="TxLink">
            <a:rPr lang="en-US" sz="1600" b="1" i="0" u="none" strike="noStrike">
              <a:solidFill>
                <a:sysClr val="windowText" lastClr="000000"/>
              </a:solidFill>
              <a:latin typeface="Calibri"/>
              <a:ea typeface="Calibri"/>
              <a:cs typeface="Calibri"/>
            </a:rPr>
            <a:pPr algn="ctr"/>
            <a:t>17.29%</a:t>
          </a:fld>
          <a:endParaRPr lang="en-IN" sz="4800" b="1">
            <a:solidFill>
              <a:sysClr val="windowText" lastClr="000000"/>
            </a:solidFill>
          </a:endParaRPr>
        </a:p>
      </xdr:txBody>
    </xdr:sp>
    <xdr:clientData/>
  </xdr:twoCellAnchor>
  <xdr:twoCellAnchor>
    <xdr:from>
      <xdr:col>0</xdr:col>
      <xdr:colOff>265416</xdr:colOff>
      <xdr:row>1</xdr:row>
      <xdr:rowOff>145553</xdr:rowOff>
    </xdr:from>
    <xdr:to>
      <xdr:col>9</xdr:col>
      <xdr:colOff>513708</xdr:colOff>
      <xdr:row>5</xdr:row>
      <xdr:rowOff>102743</xdr:rowOff>
    </xdr:to>
    <xdr:sp macro="" textlink="">
      <xdr:nvSpPr>
        <xdr:cNvPr id="8" name="Rectangle: Rounded Corners 7">
          <a:extLst>
            <a:ext uri="{FF2B5EF4-FFF2-40B4-BE49-F238E27FC236}">
              <a16:creationId xmlns:a16="http://schemas.microsoft.com/office/drawing/2014/main" id="{256BF371-394A-4ABE-B82F-C5247CD3D24C}"/>
            </a:ext>
          </a:extLst>
        </xdr:cNvPr>
        <xdr:cNvSpPr/>
      </xdr:nvSpPr>
      <xdr:spPr>
        <a:xfrm>
          <a:off x="265416" y="325351"/>
          <a:ext cx="5719281" cy="676381"/>
        </a:xfrm>
        <a:prstGeom prst="roundRect">
          <a:avLst/>
        </a:prstGeom>
        <a:ln w="38100">
          <a:solidFill>
            <a:schemeClr val="accent5">
              <a:lumMod val="60000"/>
              <a:lumOff val="40000"/>
            </a:schemeClr>
          </a:solidFill>
        </a:ln>
      </xdr:spPr>
      <xdr:style>
        <a:lnRef idx="2">
          <a:schemeClr val="accent3"/>
        </a:lnRef>
        <a:fillRef idx="1001">
          <a:schemeClr val="lt2"/>
        </a:fillRef>
        <a:effectRef idx="0">
          <a:schemeClr val="accent3"/>
        </a:effectRef>
        <a:fontRef idx="minor">
          <a:schemeClr val="dk1"/>
        </a:fontRef>
      </xdr:style>
      <xdr:txBody>
        <a:bodyPr vertOverflow="clip" horzOverflow="clip" rtlCol="0" anchor="ctr"/>
        <a:lstStyle/>
        <a:p>
          <a:pPr algn="l"/>
          <a:r>
            <a:rPr lang="en-IN" sz="2000" b="1">
              <a:solidFill>
                <a:sysClr val="windowText" lastClr="000000"/>
              </a:solidFill>
            </a:rPr>
            <a:t>E-Commerce Sales Performance Dashboard</a:t>
          </a:r>
          <a:endParaRPr lang="en-US" sz="2000" b="1" i="0" u="none" strike="noStrike">
            <a:solidFill>
              <a:sysClr val="windowText" lastClr="000000"/>
            </a:solidFill>
            <a:latin typeface="Calibri"/>
            <a:ea typeface="Calibri"/>
            <a:cs typeface="Calibri"/>
          </a:endParaRPr>
        </a:p>
      </xdr:txBody>
    </xdr:sp>
    <xdr:clientData/>
  </xdr:twoCellAnchor>
  <xdr:twoCellAnchor editAs="oneCell">
    <xdr:from>
      <xdr:col>8</xdr:col>
      <xdr:colOff>222603</xdr:colOff>
      <xdr:row>1</xdr:row>
      <xdr:rowOff>94180</xdr:rowOff>
    </xdr:from>
    <xdr:to>
      <xdr:col>9</xdr:col>
      <xdr:colOff>417811</xdr:colOff>
      <xdr:row>5</xdr:row>
      <xdr:rowOff>178085</xdr:rowOff>
    </xdr:to>
    <xdr:pic>
      <xdr:nvPicPr>
        <xdr:cNvPr id="19" name="Graphic 18" descr="Bar chart with solid fill">
          <a:extLst>
            <a:ext uri="{FF2B5EF4-FFF2-40B4-BE49-F238E27FC236}">
              <a16:creationId xmlns:a16="http://schemas.microsoft.com/office/drawing/2014/main" id="{E5AC615E-5055-E95C-236E-E1E1B7B7818F}"/>
            </a:ext>
          </a:extLst>
        </xdr:cNvPr>
        <xdr:cNvPicPr>
          <a:picLocks noChangeAspect="1"/>
        </xdr:cNvPicPr>
      </xdr:nvPicPr>
      <xdr:blipFill>
        <a:blip xmlns:r="http://schemas.openxmlformats.org/officeDocument/2006/relationships" r:embed="rId7">
          <a:extLst>
            <a:ext uri="{96DAC541-7B7A-43D3-8B79-37D633B846F1}">
              <asvg:svgBlip xmlns:asvg="http://schemas.microsoft.com/office/drawing/2016/SVG/main" r:embed="rId8"/>
            </a:ext>
          </a:extLst>
        </a:blip>
        <a:stretch>
          <a:fillRect/>
        </a:stretch>
      </xdr:blipFill>
      <xdr:spPr>
        <a:xfrm>
          <a:off x="5085704" y="273978"/>
          <a:ext cx="803096" cy="803096"/>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rmesh Dudhat" refreshedDate="46159.904453009258" backgroundQuery="1" createdVersion="8" refreshedVersion="8" minRefreshableVersion="3" recordCount="0" supportSubquery="1" supportAdvancedDrill="1" xr:uid="{94D957B0-B20B-4F1E-A047-4CF35CA35BD1}">
  <cacheSource type="external" connectionId="3"/>
  <cacheFields count="3">
    <cacheField name="[ecommerce_sales_data].[Region].[Region]" caption="Region" numFmtId="0" hierarchy="3" level="1">
      <sharedItems count="4">
        <s v="East"/>
        <s v="North"/>
        <s v="South"/>
        <s v="West"/>
      </sharedItems>
    </cacheField>
    <cacheField name="[Measures].[Sum of Sales]" caption="Sum of Sales" numFmtId="0" hierarchy="14" level="32767"/>
    <cacheField name="[ecommerce_sales_data].[Order Date (Year)].[Order Date (Year)]" caption="Order Date (Year)" numFmtId="0" hierarchy="10" level="1">
      <sharedItems containsSemiMixedTypes="0" containsNonDate="0" containsString="0"/>
    </cacheField>
  </cacheFields>
  <cacheHierarchies count="22">
    <cacheHierarchy uniqueName="[ecommerce_sales_data].[Order Date]" caption="Order Date" attribute="1" time="1" defaultMemberUniqueName="[ecommerce_sales_data].[Order Date].[All]" allUniqueName="[ecommerce_sales_data].[Order Date].[All]" dimensionUniqueName="[ecommerce_sales_data]" displayFolder="" count="0" memberValueDatatype="7" unbalanced="0"/>
    <cacheHierarchy uniqueName="[ecommerce_sales_data].[Product Name]" caption="Product Name" attribute="1" defaultMemberUniqueName="[ecommerce_sales_data].[Product Name].[All]" allUniqueName="[ecommerce_sales_data].[Product Name].[All]" dimensionUniqueName="[ecommerce_sales_data]" displayFolder="" count="2" memberValueDatatype="130" unbalanced="0"/>
    <cacheHierarchy uniqueName="[ecommerce_sales_data].[Category]" caption="Category" attribute="1" defaultMemberUniqueName="[ecommerce_sales_data].[Category].[All]" allUniqueName="[ecommerce_sales_data].[Category].[All]" dimensionUniqueName="[ecommerce_sales_data]" displayFolder="" count="0" memberValueDatatype="130" unbalanced="0"/>
    <cacheHierarchy uniqueName="[ecommerce_sales_data].[Region]" caption="Region" attribute="1" defaultMemberUniqueName="[ecommerce_sales_data].[Region].[All]" allUniqueName="[ecommerce_sales_data].[Region].[All]" dimensionUniqueName="[ecommerce_sales_data]" displayFolder="" count="2" memberValueDatatype="130" unbalanced="0">
      <fieldsUsage count="2">
        <fieldUsage x="-1"/>
        <fieldUsage x="0"/>
      </fieldsUsage>
    </cacheHierarchy>
    <cacheHierarchy uniqueName="[ecommerce_sales_data].[Quantity]" caption="Quantity" attribute="1" defaultMemberUniqueName="[ecommerce_sales_data].[Quantity].[All]" allUniqueName="[ecommerce_sales_data].[Quantity].[All]" dimensionUniqueName="[ecommerce_sales_data]" displayFolder="" count="0" memberValueDatatype="20" unbalanced="0"/>
    <cacheHierarchy uniqueName="[ecommerce_sales_data].[Sales]" caption="Sales" attribute="1" defaultMemberUniqueName="[ecommerce_sales_data].[Sales].[All]" allUniqueName="[ecommerce_sales_data].[Sales].[All]" dimensionUniqueName="[ecommerce_sales_data]" displayFolder="" count="0" memberValueDatatype="20" unbalanced="0"/>
    <cacheHierarchy uniqueName="[ecommerce_sales_data].[Profit]" caption="Profit" attribute="1" defaultMemberUniqueName="[ecommerce_sales_data].[Profit].[All]" allUniqueName="[ecommerce_sales_data].[Profit].[All]" dimensionUniqueName="[ecommerce_sales_data]" displayFolder="" count="0" memberValueDatatype="5" unbalanced="0"/>
    <cacheHierarchy uniqueName="[ecommerce_sales_data].[Year]" caption="Year" attribute="1" defaultMemberUniqueName="[ecommerce_sales_data].[Year].[All]" allUniqueName="[ecommerce_sales_data].[Year].[All]" dimensionUniqueName="[ecommerce_sales_data]" displayFolder="" count="0" memberValueDatatype="20" unbalanced="0"/>
    <cacheHierarchy uniqueName="[ecommerce_sales_data].[Month Name]" caption="Month Name" attribute="1" defaultMemberUniqueName="[ecommerce_sales_data].[Month Name].[All]" allUniqueName="[ecommerce_sales_data].[Month Name].[All]" dimensionUniqueName="[ecommerce_sales_data]" displayFolder="" count="0" memberValueDatatype="130" unbalanced="0"/>
    <cacheHierarchy uniqueName="[ecommerce_sales_data].[Profit Margin %]" caption="Profit Margin %" attribute="1" defaultMemberUniqueName="[ecommerce_sales_data].[Profit Margin %].[All]" allUniqueName="[ecommerce_sales_data].[Profit Margin %].[All]" dimensionUniqueName="[ecommerce_sales_data]" displayFolder="" count="0" memberValueDatatype="5" unbalanced="0"/>
    <cacheHierarchy uniqueName="[ecommerce_sales_data].[Order Date (Year)]" caption="Order Date (Year)" attribute="1" defaultMemberUniqueName="[ecommerce_sales_data].[Order Date (Year)].[All]" allUniqueName="[ecommerce_sales_data].[Order Date (Year)].[All]" dimensionUniqueName="[ecommerce_sales_data]" displayFolder="" count="2" memberValueDatatype="130" unbalanced="0">
      <fieldsUsage count="2">
        <fieldUsage x="-1"/>
        <fieldUsage x="2"/>
      </fieldsUsage>
    </cacheHierarchy>
    <cacheHierarchy uniqueName="[ecommerce_sales_data].[Order Date (Quarter)]" caption="Order Date (Quarter)" attribute="1" defaultMemberUniqueName="[ecommerce_sales_data].[Order Date (Quarter)].[All]" allUniqueName="[ecommerce_sales_data].[Order Date (Quarter)].[All]" dimensionUniqueName="[ecommerce_sales_data]" displayFolder="" count="0" memberValueDatatype="130" unbalanced="0"/>
    <cacheHierarchy uniqueName="[ecommerce_sales_data].[Order Date (Month)]" caption="Order Date (Month)" attribute="1" defaultMemberUniqueName="[ecommerce_sales_data].[Order Date (Month)].[All]" allUniqueName="[ecommerce_sales_data].[Order Date (Month)].[All]" dimensionUniqueName="[ecommerce_sales_data]" displayFolder="" count="0" memberValueDatatype="130" unbalanced="0"/>
    <cacheHierarchy uniqueName="[ecommerce_sales_data].[Order Date (Month Index)]" caption="Order Date (Month Index)" attribute="1" defaultMemberUniqueName="[ecommerce_sales_data].[Order Date (Month Index)].[All]" allUniqueName="[ecommerce_sales_data].[Order Date (Month Index)].[All]" dimensionUniqueName="[ecommerce_sales_data]" displayFolder="" count="0" memberValueDatatype="20" unbalanced="0" hidden="1"/>
    <cacheHierarchy uniqueName="[Measures].[Sum of Sales]" caption="Sum of Sales" measure="1" displayFolder="" measureGroup="ecommerce_sales_data" count="0" oneField="1">
      <fieldsUsage count="1">
        <fieldUsage x="1"/>
      </fieldsUsage>
      <extLst>
        <ext xmlns:x15="http://schemas.microsoft.com/office/spreadsheetml/2010/11/main" uri="{B97F6D7D-B522-45F9-BDA1-12C45D357490}">
          <x15:cacheHierarchy aggregatedColumn="5"/>
        </ext>
      </extLst>
    </cacheHierarchy>
    <cacheHierarchy uniqueName="[Measures].[Sum of Profit]" caption="Sum of Profit" measure="1" displayFolder="" measureGroup="ecommerce_sales_data" count="0">
      <extLst>
        <ext xmlns:x15="http://schemas.microsoft.com/office/spreadsheetml/2010/11/main" uri="{B97F6D7D-B522-45F9-BDA1-12C45D357490}">
          <x15:cacheHierarchy aggregatedColumn="6"/>
        </ext>
      </extLst>
    </cacheHierarchy>
    <cacheHierarchy uniqueName="[Measures].[Sum of Quantity]" caption="Sum of Quantity" measure="1" displayFolder="" measureGroup="ecommerce_sales_data" count="0">
      <extLst>
        <ext xmlns:x15="http://schemas.microsoft.com/office/spreadsheetml/2010/11/main" uri="{B97F6D7D-B522-45F9-BDA1-12C45D357490}">
          <x15:cacheHierarchy aggregatedColumn="4"/>
        </ext>
      </extLst>
    </cacheHierarchy>
    <cacheHierarchy uniqueName="[Measures].[Sum of Profit Margin %]" caption="Sum of Profit Margin %" measure="1" displayFolder="" measureGroup="ecommerce_sales_data" count="0">
      <extLst>
        <ext xmlns:x15="http://schemas.microsoft.com/office/spreadsheetml/2010/11/main" uri="{B97F6D7D-B522-45F9-BDA1-12C45D357490}">
          <x15:cacheHierarchy aggregatedColumn="9"/>
        </ext>
      </extLst>
    </cacheHierarchy>
    <cacheHierarchy uniqueName="[Measures].[Average of Profit Margin %]" caption="Average of Profit Margin %" measure="1" displayFolder="" measureGroup="ecommerce_sales_data" count="0">
      <extLst>
        <ext xmlns:x15="http://schemas.microsoft.com/office/spreadsheetml/2010/11/main" uri="{B97F6D7D-B522-45F9-BDA1-12C45D357490}">
          <x15:cacheHierarchy aggregatedColumn="9"/>
        </ext>
      </extLst>
    </cacheHierarchy>
    <cacheHierarchy uniqueName="[Measures].[Profit Margin]" caption="Profit Margin" measure="1" displayFolder="" measureGroup="ecommerce_sales_data" count="0"/>
    <cacheHierarchy uniqueName="[Measures].[__XL_Count ecommerce_sales_data]" caption="__XL_Count ecommerce_sales_data" measure="1" displayFolder="" measureGroup="ecommerce_sales_data" count="0" hidden="1"/>
    <cacheHierarchy uniqueName="[Measures].[__No measures defined]" caption="__No measures defined" measure="1" displayFolder="" count="0" hidden="1"/>
  </cacheHierarchies>
  <kpis count="0"/>
  <dimensions count="2">
    <dimension name="ecommerce_sales_data" uniqueName="[ecommerce_sales_data]" caption="ecommerce_sales_data"/>
    <dimension measure="1" name="Measures" uniqueName="[Measures]" caption="Measures"/>
  </dimensions>
  <measureGroups count="1">
    <measureGroup name="ecommerce_sales_data" caption="ecommerce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rmesh Dudhat" refreshedDate="46159.904453356481" backgroundQuery="1" createdVersion="8" refreshedVersion="8" minRefreshableVersion="3" recordCount="0" supportSubquery="1" supportAdvancedDrill="1" xr:uid="{B33E5005-7DCC-460E-9D79-5E9E0CCE36D9}">
  <cacheSource type="external" connectionId="3"/>
  <cacheFields count="3">
    <cacheField name="[ecommerce_sales_data].[Category].[Category]" caption="Category" numFmtId="0" hierarchy="2" level="1">
      <sharedItems count="3">
        <s v="Accessories"/>
        <s v="Electronics"/>
        <s v="Office"/>
      </sharedItems>
    </cacheField>
    <cacheField name="[Measures].[Sum of Profit]" caption="Sum of Profit" numFmtId="0" hierarchy="15" level="32767"/>
    <cacheField name="[ecommerce_sales_data].[Order Date (Year)].[Order Date (Year)]" caption="Order Date (Year)" numFmtId="0" hierarchy="10" level="1">
      <sharedItems containsSemiMixedTypes="0" containsNonDate="0" containsString="0"/>
    </cacheField>
  </cacheFields>
  <cacheHierarchies count="22">
    <cacheHierarchy uniqueName="[ecommerce_sales_data].[Order Date]" caption="Order Date" attribute="1" time="1" defaultMemberUniqueName="[ecommerce_sales_data].[Order Date].[All]" allUniqueName="[ecommerce_sales_data].[Order Date].[All]" dimensionUniqueName="[ecommerce_sales_data]" displayFolder="" count="0" memberValueDatatype="7" unbalanced="0"/>
    <cacheHierarchy uniqueName="[ecommerce_sales_data].[Product Name]" caption="Product Name" attribute="1" defaultMemberUniqueName="[ecommerce_sales_data].[Product Name].[All]" allUniqueName="[ecommerce_sales_data].[Product Name].[All]" dimensionUniqueName="[ecommerce_sales_data]" displayFolder="" count="2" memberValueDatatype="130" unbalanced="0"/>
    <cacheHierarchy uniqueName="[ecommerce_sales_data].[Category]" caption="Category" attribute="1" defaultMemberUniqueName="[ecommerce_sales_data].[Category].[All]" allUniqueName="[ecommerce_sales_data].[Category].[All]" dimensionUniqueName="[ecommerce_sales_data]" displayFolder="" count="2" memberValueDatatype="130" unbalanced="0">
      <fieldsUsage count="2">
        <fieldUsage x="-1"/>
        <fieldUsage x="0"/>
      </fieldsUsage>
    </cacheHierarchy>
    <cacheHierarchy uniqueName="[ecommerce_sales_data].[Region]" caption="Region" attribute="1" defaultMemberUniqueName="[ecommerce_sales_data].[Region].[All]" allUniqueName="[ecommerce_sales_data].[Region].[All]" dimensionUniqueName="[ecommerce_sales_data]" displayFolder="" count="0" memberValueDatatype="130" unbalanced="0"/>
    <cacheHierarchy uniqueName="[ecommerce_sales_data].[Quantity]" caption="Quantity" attribute="1" defaultMemberUniqueName="[ecommerce_sales_data].[Quantity].[All]" allUniqueName="[ecommerce_sales_data].[Quantity].[All]" dimensionUniqueName="[ecommerce_sales_data]" displayFolder="" count="0" memberValueDatatype="20" unbalanced="0"/>
    <cacheHierarchy uniqueName="[ecommerce_sales_data].[Sales]" caption="Sales" attribute="1" defaultMemberUniqueName="[ecommerce_sales_data].[Sales].[All]" allUniqueName="[ecommerce_sales_data].[Sales].[All]" dimensionUniqueName="[ecommerce_sales_data]" displayFolder="" count="0" memberValueDatatype="20" unbalanced="0"/>
    <cacheHierarchy uniqueName="[ecommerce_sales_data].[Profit]" caption="Profit" attribute="1" defaultMemberUniqueName="[ecommerce_sales_data].[Profit].[All]" allUniqueName="[ecommerce_sales_data].[Profit].[All]" dimensionUniqueName="[ecommerce_sales_data]" displayFolder="" count="0" memberValueDatatype="5" unbalanced="0"/>
    <cacheHierarchy uniqueName="[ecommerce_sales_data].[Year]" caption="Year" attribute="1" defaultMemberUniqueName="[ecommerce_sales_data].[Year].[All]" allUniqueName="[ecommerce_sales_data].[Year].[All]" dimensionUniqueName="[ecommerce_sales_data]" displayFolder="" count="0" memberValueDatatype="20" unbalanced="0"/>
    <cacheHierarchy uniqueName="[ecommerce_sales_data].[Month Name]" caption="Month Name" attribute="1" defaultMemberUniqueName="[ecommerce_sales_data].[Month Name].[All]" allUniqueName="[ecommerce_sales_data].[Month Name].[All]" dimensionUniqueName="[ecommerce_sales_data]" displayFolder="" count="0" memberValueDatatype="130" unbalanced="0"/>
    <cacheHierarchy uniqueName="[ecommerce_sales_data].[Profit Margin %]" caption="Profit Margin %" attribute="1" defaultMemberUniqueName="[ecommerce_sales_data].[Profit Margin %].[All]" allUniqueName="[ecommerce_sales_data].[Profit Margin %].[All]" dimensionUniqueName="[ecommerce_sales_data]" displayFolder="" count="0" memberValueDatatype="5" unbalanced="0"/>
    <cacheHierarchy uniqueName="[ecommerce_sales_data].[Order Date (Year)]" caption="Order Date (Year)" attribute="1" defaultMemberUniqueName="[ecommerce_sales_data].[Order Date (Year)].[All]" allUniqueName="[ecommerce_sales_data].[Order Date (Year)].[All]" dimensionUniqueName="[ecommerce_sales_data]" displayFolder="" count="2" memberValueDatatype="130" unbalanced="0">
      <fieldsUsage count="2">
        <fieldUsage x="-1"/>
        <fieldUsage x="2"/>
      </fieldsUsage>
    </cacheHierarchy>
    <cacheHierarchy uniqueName="[ecommerce_sales_data].[Order Date (Quarter)]" caption="Order Date (Quarter)" attribute="1" defaultMemberUniqueName="[ecommerce_sales_data].[Order Date (Quarter)].[All]" allUniqueName="[ecommerce_sales_data].[Order Date (Quarter)].[All]" dimensionUniqueName="[ecommerce_sales_data]" displayFolder="" count="0" memberValueDatatype="130" unbalanced="0"/>
    <cacheHierarchy uniqueName="[ecommerce_sales_data].[Order Date (Month)]" caption="Order Date (Month)" attribute="1" defaultMemberUniqueName="[ecommerce_sales_data].[Order Date (Month)].[All]" allUniqueName="[ecommerce_sales_data].[Order Date (Month)].[All]" dimensionUniqueName="[ecommerce_sales_data]" displayFolder="" count="0" memberValueDatatype="130" unbalanced="0"/>
    <cacheHierarchy uniqueName="[ecommerce_sales_data].[Order Date (Month Index)]" caption="Order Date (Month Index)" attribute="1" defaultMemberUniqueName="[ecommerce_sales_data].[Order Date (Month Index)].[All]" allUniqueName="[ecommerce_sales_data].[Order Date (Month Index)].[All]" dimensionUniqueName="[ecommerce_sales_data]" displayFolder="" count="0" memberValueDatatype="20" unbalanced="0" hidden="1"/>
    <cacheHierarchy uniqueName="[Measures].[Sum of Sales]" caption="Sum of Sales" measure="1" displayFolder="" measureGroup="ecommerce_sales_data" count="0">
      <extLst>
        <ext xmlns:x15="http://schemas.microsoft.com/office/spreadsheetml/2010/11/main" uri="{B97F6D7D-B522-45F9-BDA1-12C45D357490}">
          <x15:cacheHierarchy aggregatedColumn="5"/>
        </ext>
      </extLst>
    </cacheHierarchy>
    <cacheHierarchy uniqueName="[Measures].[Sum of Profit]" caption="Sum of Profit" measure="1" displayFolder="" measureGroup="ecommerce_sales_data" count="0" oneField="1">
      <fieldsUsage count="1">
        <fieldUsage x="1"/>
      </fieldsUsage>
      <extLst>
        <ext xmlns:x15="http://schemas.microsoft.com/office/spreadsheetml/2010/11/main" uri="{B97F6D7D-B522-45F9-BDA1-12C45D357490}">
          <x15:cacheHierarchy aggregatedColumn="6"/>
        </ext>
      </extLst>
    </cacheHierarchy>
    <cacheHierarchy uniqueName="[Measures].[Sum of Quantity]" caption="Sum of Quantity" measure="1" displayFolder="" measureGroup="ecommerce_sales_data" count="0">
      <extLst>
        <ext xmlns:x15="http://schemas.microsoft.com/office/spreadsheetml/2010/11/main" uri="{B97F6D7D-B522-45F9-BDA1-12C45D357490}">
          <x15:cacheHierarchy aggregatedColumn="4"/>
        </ext>
      </extLst>
    </cacheHierarchy>
    <cacheHierarchy uniqueName="[Measures].[Sum of Profit Margin %]" caption="Sum of Profit Margin %" measure="1" displayFolder="" measureGroup="ecommerce_sales_data" count="0">
      <extLst>
        <ext xmlns:x15="http://schemas.microsoft.com/office/spreadsheetml/2010/11/main" uri="{B97F6D7D-B522-45F9-BDA1-12C45D357490}">
          <x15:cacheHierarchy aggregatedColumn="9"/>
        </ext>
      </extLst>
    </cacheHierarchy>
    <cacheHierarchy uniqueName="[Measures].[Average of Profit Margin %]" caption="Average of Profit Margin %" measure="1" displayFolder="" measureGroup="ecommerce_sales_data" count="0">
      <extLst>
        <ext xmlns:x15="http://schemas.microsoft.com/office/spreadsheetml/2010/11/main" uri="{B97F6D7D-B522-45F9-BDA1-12C45D357490}">
          <x15:cacheHierarchy aggregatedColumn="9"/>
        </ext>
      </extLst>
    </cacheHierarchy>
    <cacheHierarchy uniqueName="[Measures].[Profit Margin]" caption="Profit Margin" measure="1" displayFolder="" measureGroup="ecommerce_sales_data" count="0"/>
    <cacheHierarchy uniqueName="[Measures].[__XL_Count ecommerce_sales_data]" caption="__XL_Count ecommerce_sales_data" measure="1" displayFolder="" measureGroup="ecommerce_sales_data" count="0" hidden="1"/>
    <cacheHierarchy uniqueName="[Measures].[__No measures defined]" caption="__No measures defined" measure="1" displayFolder="" count="0" hidden="1"/>
  </cacheHierarchies>
  <kpis count="0"/>
  <dimensions count="2">
    <dimension name="ecommerce_sales_data" uniqueName="[ecommerce_sales_data]" caption="ecommerce_sales_data"/>
    <dimension measure="1" name="Measures" uniqueName="[Measures]" caption="Measures"/>
  </dimensions>
  <measureGroups count="1">
    <measureGroup name="ecommerce_sales_data" caption="ecommerce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rmesh Dudhat" refreshedDate="46159.904453703704" backgroundQuery="1" createdVersion="8" refreshedVersion="8" minRefreshableVersion="3" recordCount="0" supportSubquery="1" supportAdvancedDrill="1" xr:uid="{F319032F-EFB6-464D-B286-513EE486E438}">
  <cacheSource type="external" connectionId="3"/>
  <cacheFields count="4">
    <cacheField name="[ecommerce_sales_data].[Product Name].[Product Name]" caption="Product Name" numFmtId="0" hierarchy="1" level="1">
      <sharedItems count="10">
        <s v="Camera"/>
        <s v="Headphones"/>
        <s v="Keyboard"/>
        <s v="Laptop"/>
        <s v="Monitor"/>
        <s v="Mouse"/>
        <s v="Printer"/>
        <s v="Smartphone"/>
        <s v="Smartwatch"/>
        <s v="Tablet"/>
      </sharedItems>
    </cacheField>
    <cacheField name="[Measures].[Sum of Sales]" caption="Sum of Sales" numFmtId="0" hierarchy="14" level="32767"/>
    <cacheField name="[Measures].[Sum of Profit]" caption="Sum of Profit" numFmtId="0" hierarchy="15" level="32767"/>
    <cacheField name="[ecommerce_sales_data].[Order Date (Year)].[Order Date (Year)]" caption="Order Date (Year)" numFmtId="0" hierarchy="10" level="1">
      <sharedItems containsSemiMixedTypes="0" containsNonDate="0" containsString="0"/>
    </cacheField>
  </cacheFields>
  <cacheHierarchies count="22">
    <cacheHierarchy uniqueName="[ecommerce_sales_data].[Order Date]" caption="Order Date" attribute="1" time="1" defaultMemberUniqueName="[ecommerce_sales_data].[Order Date].[All]" allUniqueName="[ecommerce_sales_data].[Order Date].[All]" dimensionUniqueName="[ecommerce_sales_data]" displayFolder="" count="0" memberValueDatatype="7" unbalanced="0"/>
    <cacheHierarchy uniqueName="[ecommerce_sales_data].[Product Name]" caption="Product Name" attribute="1" defaultMemberUniqueName="[ecommerce_sales_data].[Product Name].[All]" allUniqueName="[ecommerce_sales_data].[Product Name].[All]" dimensionUniqueName="[ecommerce_sales_data]" displayFolder="" count="2" memberValueDatatype="130" unbalanced="0">
      <fieldsUsage count="2">
        <fieldUsage x="-1"/>
        <fieldUsage x="0"/>
      </fieldsUsage>
    </cacheHierarchy>
    <cacheHierarchy uniqueName="[ecommerce_sales_data].[Category]" caption="Category" attribute="1" defaultMemberUniqueName="[ecommerce_sales_data].[Category].[All]" allUniqueName="[ecommerce_sales_data].[Category].[All]" dimensionUniqueName="[ecommerce_sales_data]" displayFolder="" count="0" memberValueDatatype="130" unbalanced="0"/>
    <cacheHierarchy uniqueName="[ecommerce_sales_data].[Region]" caption="Region" attribute="1" defaultMemberUniqueName="[ecommerce_sales_data].[Region].[All]" allUniqueName="[ecommerce_sales_data].[Region].[All]" dimensionUniqueName="[ecommerce_sales_data]" displayFolder="" count="0" memberValueDatatype="130" unbalanced="0"/>
    <cacheHierarchy uniqueName="[ecommerce_sales_data].[Quantity]" caption="Quantity" attribute="1" defaultMemberUniqueName="[ecommerce_sales_data].[Quantity].[All]" allUniqueName="[ecommerce_sales_data].[Quantity].[All]" dimensionUniqueName="[ecommerce_sales_data]" displayFolder="" count="0" memberValueDatatype="20" unbalanced="0"/>
    <cacheHierarchy uniqueName="[ecommerce_sales_data].[Sales]" caption="Sales" attribute="1" defaultMemberUniqueName="[ecommerce_sales_data].[Sales].[All]" allUniqueName="[ecommerce_sales_data].[Sales].[All]" dimensionUniqueName="[ecommerce_sales_data]" displayFolder="" count="0" memberValueDatatype="20" unbalanced="0"/>
    <cacheHierarchy uniqueName="[ecommerce_sales_data].[Profit]" caption="Profit" attribute="1" defaultMemberUniqueName="[ecommerce_sales_data].[Profit].[All]" allUniqueName="[ecommerce_sales_data].[Profit].[All]" dimensionUniqueName="[ecommerce_sales_data]" displayFolder="" count="0" memberValueDatatype="5" unbalanced="0"/>
    <cacheHierarchy uniqueName="[ecommerce_sales_data].[Year]" caption="Year" attribute="1" defaultMemberUniqueName="[ecommerce_sales_data].[Year].[All]" allUniqueName="[ecommerce_sales_data].[Year].[All]" dimensionUniqueName="[ecommerce_sales_data]" displayFolder="" count="0" memberValueDatatype="20" unbalanced="0"/>
    <cacheHierarchy uniqueName="[ecommerce_sales_data].[Month Name]" caption="Month Name" attribute="1" defaultMemberUniqueName="[ecommerce_sales_data].[Month Name].[All]" allUniqueName="[ecommerce_sales_data].[Month Name].[All]" dimensionUniqueName="[ecommerce_sales_data]" displayFolder="" count="0" memberValueDatatype="130" unbalanced="0"/>
    <cacheHierarchy uniqueName="[ecommerce_sales_data].[Profit Margin %]" caption="Profit Margin %" attribute="1" defaultMemberUniqueName="[ecommerce_sales_data].[Profit Margin %].[All]" allUniqueName="[ecommerce_sales_data].[Profit Margin %].[All]" dimensionUniqueName="[ecommerce_sales_data]" displayFolder="" count="0" memberValueDatatype="5" unbalanced="0"/>
    <cacheHierarchy uniqueName="[ecommerce_sales_data].[Order Date (Year)]" caption="Order Date (Year)" attribute="1" defaultMemberUniqueName="[ecommerce_sales_data].[Order Date (Year)].[All]" allUniqueName="[ecommerce_sales_data].[Order Date (Year)].[All]" dimensionUniqueName="[ecommerce_sales_data]" displayFolder="" count="2" memberValueDatatype="130" unbalanced="0">
      <fieldsUsage count="2">
        <fieldUsage x="-1"/>
        <fieldUsage x="3"/>
      </fieldsUsage>
    </cacheHierarchy>
    <cacheHierarchy uniqueName="[ecommerce_sales_data].[Order Date (Quarter)]" caption="Order Date (Quarter)" attribute="1" defaultMemberUniqueName="[ecommerce_sales_data].[Order Date (Quarter)].[All]" allUniqueName="[ecommerce_sales_data].[Order Date (Quarter)].[All]" dimensionUniqueName="[ecommerce_sales_data]" displayFolder="" count="0" memberValueDatatype="130" unbalanced="0"/>
    <cacheHierarchy uniqueName="[ecommerce_sales_data].[Order Date (Month)]" caption="Order Date (Month)" attribute="1" defaultMemberUniqueName="[ecommerce_sales_data].[Order Date (Month)].[All]" allUniqueName="[ecommerce_sales_data].[Order Date (Month)].[All]" dimensionUniqueName="[ecommerce_sales_data]" displayFolder="" count="0" memberValueDatatype="130" unbalanced="0"/>
    <cacheHierarchy uniqueName="[ecommerce_sales_data].[Order Date (Month Index)]" caption="Order Date (Month Index)" attribute="1" defaultMemberUniqueName="[ecommerce_sales_data].[Order Date (Month Index)].[All]" allUniqueName="[ecommerce_sales_data].[Order Date (Month Index)].[All]" dimensionUniqueName="[ecommerce_sales_data]" displayFolder="" count="0" memberValueDatatype="20" unbalanced="0" hidden="1"/>
    <cacheHierarchy uniqueName="[Measures].[Sum of Sales]" caption="Sum of Sales" measure="1" displayFolder="" measureGroup="ecommerce_sales_data" count="0" oneField="1">
      <fieldsUsage count="1">
        <fieldUsage x="1"/>
      </fieldsUsage>
      <extLst>
        <ext xmlns:x15="http://schemas.microsoft.com/office/spreadsheetml/2010/11/main" uri="{B97F6D7D-B522-45F9-BDA1-12C45D357490}">
          <x15:cacheHierarchy aggregatedColumn="5"/>
        </ext>
      </extLst>
    </cacheHierarchy>
    <cacheHierarchy uniqueName="[Measures].[Sum of Profit]" caption="Sum of Profit" measure="1" displayFolder="" measureGroup="ecommerce_sales_data" count="0" oneField="1">
      <fieldsUsage count="1">
        <fieldUsage x="2"/>
      </fieldsUsage>
      <extLst>
        <ext xmlns:x15="http://schemas.microsoft.com/office/spreadsheetml/2010/11/main" uri="{B97F6D7D-B522-45F9-BDA1-12C45D357490}">
          <x15:cacheHierarchy aggregatedColumn="6"/>
        </ext>
      </extLst>
    </cacheHierarchy>
    <cacheHierarchy uniqueName="[Measures].[Sum of Quantity]" caption="Sum of Quantity" measure="1" displayFolder="" measureGroup="ecommerce_sales_data" count="0">
      <extLst>
        <ext xmlns:x15="http://schemas.microsoft.com/office/spreadsheetml/2010/11/main" uri="{B97F6D7D-B522-45F9-BDA1-12C45D357490}">
          <x15:cacheHierarchy aggregatedColumn="4"/>
        </ext>
      </extLst>
    </cacheHierarchy>
    <cacheHierarchy uniqueName="[Measures].[Sum of Profit Margin %]" caption="Sum of Profit Margin %" measure="1" displayFolder="" measureGroup="ecommerce_sales_data" count="0">
      <extLst>
        <ext xmlns:x15="http://schemas.microsoft.com/office/spreadsheetml/2010/11/main" uri="{B97F6D7D-B522-45F9-BDA1-12C45D357490}">
          <x15:cacheHierarchy aggregatedColumn="9"/>
        </ext>
      </extLst>
    </cacheHierarchy>
    <cacheHierarchy uniqueName="[Measures].[Average of Profit Margin %]" caption="Average of Profit Margin %" measure="1" displayFolder="" measureGroup="ecommerce_sales_data" count="0">
      <extLst>
        <ext xmlns:x15="http://schemas.microsoft.com/office/spreadsheetml/2010/11/main" uri="{B97F6D7D-B522-45F9-BDA1-12C45D357490}">
          <x15:cacheHierarchy aggregatedColumn="9"/>
        </ext>
      </extLst>
    </cacheHierarchy>
    <cacheHierarchy uniqueName="[Measures].[Profit Margin]" caption="Profit Margin" measure="1" displayFolder="" measureGroup="ecommerce_sales_data" count="0"/>
    <cacheHierarchy uniqueName="[Measures].[__XL_Count ecommerce_sales_data]" caption="__XL_Count ecommerce_sales_data" measure="1" displayFolder="" measureGroup="ecommerce_sales_data" count="0" hidden="1"/>
    <cacheHierarchy uniqueName="[Measures].[__No measures defined]" caption="__No measures defined" measure="1" displayFolder="" count="0" hidden="1"/>
  </cacheHierarchies>
  <kpis count="0"/>
  <dimensions count="2">
    <dimension name="ecommerce_sales_data" uniqueName="[ecommerce_sales_data]" caption="ecommerce_sales_data"/>
    <dimension measure="1" name="Measures" uniqueName="[Measures]" caption="Measures"/>
  </dimensions>
  <measureGroups count="1">
    <measureGroup name="ecommerce_sales_data" caption="ecommerce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rmesh Dudhat" refreshedDate="46159.904454050928" backgroundQuery="1" createdVersion="8" refreshedVersion="8" minRefreshableVersion="3" recordCount="0" supportSubquery="1" supportAdvancedDrill="1" xr:uid="{61C12874-5DE9-45F8-BF49-D036A138F1B3}">
  <cacheSource type="external" connectionId="3"/>
  <cacheFields count="4">
    <cacheField name="[Measures].[Sum of Profit]" caption="Sum of Profit" numFmtId="0" hierarchy="15" level="32767"/>
    <cacheField name="[ecommerce_sales_data].[Order Date (Year)].[Order Date (Year)]" caption="Order Date (Year)" numFmtId="0" hierarchy="10" level="1">
      <sharedItems containsSemiMixedTypes="0" containsNonDate="0" containsString="0"/>
    </cacheField>
    <cacheField name="[Measures].[Sum of Sales]" caption="Sum of Sales" numFmtId="0" hierarchy="14" level="32767"/>
    <cacheField name="[Measures].[Sum of Quantity]" caption="Sum of Quantity" numFmtId="0" hierarchy="16" level="32767"/>
  </cacheFields>
  <cacheHierarchies count="22">
    <cacheHierarchy uniqueName="[ecommerce_sales_data].[Order Date]" caption="Order Date" attribute="1" time="1" defaultMemberUniqueName="[ecommerce_sales_data].[Order Date].[All]" allUniqueName="[ecommerce_sales_data].[Order Date].[All]" dimensionUniqueName="[ecommerce_sales_data]" displayFolder="" count="0" memberValueDatatype="7" unbalanced="0"/>
    <cacheHierarchy uniqueName="[ecommerce_sales_data].[Product Name]" caption="Product Name" attribute="1" defaultMemberUniqueName="[ecommerce_sales_data].[Product Name].[All]" allUniqueName="[ecommerce_sales_data].[Product Name].[All]" dimensionUniqueName="[ecommerce_sales_data]" displayFolder="" count="2" memberValueDatatype="130" unbalanced="0"/>
    <cacheHierarchy uniqueName="[ecommerce_sales_data].[Category]" caption="Category" attribute="1" defaultMemberUniqueName="[ecommerce_sales_data].[Category].[All]" allUniqueName="[ecommerce_sales_data].[Category].[All]" dimensionUniqueName="[ecommerce_sales_data]" displayFolder="" count="0" memberValueDatatype="130" unbalanced="0"/>
    <cacheHierarchy uniqueName="[ecommerce_sales_data].[Region]" caption="Region" attribute="1" defaultMemberUniqueName="[ecommerce_sales_data].[Region].[All]" allUniqueName="[ecommerce_sales_data].[Region].[All]" dimensionUniqueName="[ecommerce_sales_data]" displayFolder="" count="0" memberValueDatatype="130" unbalanced="0"/>
    <cacheHierarchy uniqueName="[ecommerce_sales_data].[Quantity]" caption="Quantity" attribute="1" defaultMemberUniqueName="[ecommerce_sales_data].[Quantity].[All]" allUniqueName="[ecommerce_sales_data].[Quantity].[All]" dimensionUniqueName="[ecommerce_sales_data]" displayFolder="" count="0" memberValueDatatype="20" unbalanced="0"/>
    <cacheHierarchy uniqueName="[ecommerce_sales_data].[Sales]" caption="Sales" attribute="1" defaultMemberUniqueName="[ecommerce_sales_data].[Sales].[All]" allUniqueName="[ecommerce_sales_data].[Sales].[All]" dimensionUniqueName="[ecommerce_sales_data]" displayFolder="" count="0" memberValueDatatype="20" unbalanced="0"/>
    <cacheHierarchy uniqueName="[ecommerce_sales_data].[Profit]" caption="Profit" attribute="1" defaultMemberUniqueName="[ecommerce_sales_data].[Profit].[All]" allUniqueName="[ecommerce_sales_data].[Profit].[All]" dimensionUniqueName="[ecommerce_sales_data]" displayFolder="" count="0" memberValueDatatype="5" unbalanced="0"/>
    <cacheHierarchy uniqueName="[ecommerce_sales_data].[Year]" caption="Year" attribute="1" defaultMemberUniqueName="[ecommerce_sales_data].[Year].[All]" allUniqueName="[ecommerce_sales_data].[Year].[All]" dimensionUniqueName="[ecommerce_sales_data]" displayFolder="" count="0" memberValueDatatype="20" unbalanced="0"/>
    <cacheHierarchy uniqueName="[ecommerce_sales_data].[Month Name]" caption="Month Name" attribute="1" defaultMemberUniqueName="[ecommerce_sales_data].[Month Name].[All]" allUniqueName="[ecommerce_sales_data].[Month Name].[All]" dimensionUniqueName="[ecommerce_sales_data]" displayFolder="" count="0" memberValueDatatype="130" unbalanced="0"/>
    <cacheHierarchy uniqueName="[ecommerce_sales_data].[Profit Margin %]" caption="Profit Margin %" attribute="1" defaultMemberUniqueName="[ecommerce_sales_data].[Profit Margin %].[All]" allUniqueName="[ecommerce_sales_data].[Profit Margin %].[All]" dimensionUniqueName="[ecommerce_sales_data]" displayFolder="" count="0" memberValueDatatype="5" unbalanced="0"/>
    <cacheHierarchy uniqueName="[ecommerce_sales_data].[Order Date (Year)]" caption="Order Date (Year)" attribute="1" defaultMemberUniqueName="[ecommerce_sales_data].[Order Date (Year)].[All]" allUniqueName="[ecommerce_sales_data].[Order Date (Year)].[All]" dimensionUniqueName="[ecommerce_sales_data]" displayFolder="" count="2" memberValueDatatype="130" unbalanced="0">
      <fieldsUsage count="2">
        <fieldUsage x="-1"/>
        <fieldUsage x="1"/>
      </fieldsUsage>
    </cacheHierarchy>
    <cacheHierarchy uniqueName="[ecommerce_sales_data].[Order Date (Quarter)]" caption="Order Date (Quarter)" attribute="1" defaultMemberUniqueName="[ecommerce_sales_data].[Order Date (Quarter)].[All]" allUniqueName="[ecommerce_sales_data].[Order Date (Quarter)].[All]" dimensionUniqueName="[ecommerce_sales_data]" displayFolder="" count="0" memberValueDatatype="130" unbalanced="0"/>
    <cacheHierarchy uniqueName="[ecommerce_sales_data].[Order Date (Month)]" caption="Order Date (Month)" attribute="1" defaultMemberUniqueName="[ecommerce_sales_data].[Order Date (Month)].[All]" allUniqueName="[ecommerce_sales_data].[Order Date (Month)].[All]" dimensionUniqueName="[ecommerce_sales_data]" displayFolder="" count="0" memberValueDatatype="130" unbalanced="0"/>
    <cacheHierarchy uniqueName="[ecommerce_sales_data].[Order Date (Month Index)]" caption="Order Date (Month Index)" attribute="1" defaultMemberUniqueName="[ecommerce_sales_data].[Order Date (Month Index)].[All]" allUniqueName="[ecommerce_sales_data].[Order Date (Month Index)].[All]" dimensionUniqueName="[ecommerce_sales_data]" displayFolder="" count="0" memberValueDatatype="20" unbalanced="0" hidden="1"/>
    <cacheHierarchy uniqueName="[Measures].[Sum of Sales]" caption="Sum of Sales" measure="1" displayFolder="" measureGroup="ecommerce_sales_data" count="0" oneField="1">
      <fieldsUsage count="1">
        <fieldUsage x="2"/>
      </fieldsUsage>
      <extLst>
        <ext xmlns:x15="http://schemas.microsoft.com/office/spreadsheetml/2010/11/main" uri="{B97F6D7D-B522-45F9-BDA1-12C45D357490}">
          <x15:cacheHierarchy aggregatedColumn="5"/>
        </ext>
      </extLst>
    </cacheHierarchy>
    <cacheHierarchy uniqueName="[Measures].[Sum of Profit]" caption="Sum of Profit" measure="1" displayFolder="" measureGroup="ecommerce_sales_data" count="0" oneField="1">
      <fieldsUsage count="1">
        <fieldUsage x="0"/>
      </fieldsUsage>
      <extLst>
        <ext xmlns:x15="http://schemas.microsoft.com/office/spreadsheetml/2010/11/main" uri="{B97F6D7D-B522-45F9-BDA1-12C45D357490}">
          <x15:cacheHierarchy aggregatedColumn="6"/>
        </ext>
      </extLst>
    </cacheHierarchy>
    <cacheHierarchy uniqueName="[Measures].[Sum of Quantity]" caption="Sum of Quantity" measure="1" displayFolder="" measureGroup="ecommerce_sales_data" count="0" oneField="1">
      <fieldsUsage count="1">
        <fieldUsage x="3"/>
      </fieldsUsage>
      <extLst>
        <ext xmlns:x15="http://schemas.microsoft.com/office/spreadsheetml/2010/11/main" uri="{B97F6D7D-B522-45F9-BDA1-12C45D357490}">
          <x15:cacheHierarchy aggregatedColumn="4"/>
        </ext>
      </extLst>
    </cacheHierarchy>
    <cacheHierarchy uniqueName="[Measures].[Sum of Profit Margin %]" caption="Sum of Profit Margin %" measure="1" displayFolder="" measureGroup="ecommerce_sales_data" count="0">
      <extLst>
        <ext xmlns:x15="http://schemas.microsoft.com/office/spreadsheetml/2010/11/main" uri="{B97F6D7D-B522-45F9-BDA1-12C45D357490}">
          <x15:cacheHierarchy aggregatedColumn="9"/>
        </ext>
      </extLst>
    </cacheHierarchy>
    <cacheHierarchy uniqueName="[Measures].[Average of Profit Margin %]" caption="Average of Profit Margin %" measure="1" displayFolder="" measureGroup="ecommerce_sales_data" count="0">
      <extLst>
        <ext xmlns:x15="http://schemas.microsoft.com/office/spreadsheetml/2010/11/main" uri="{B97F6D7D-B522-45F9-BDA1-12C45D357490}">
          <x15:cacheHierarchy aggregatedColumn="9"/>
        </ext>
      </extLst>
    </cacheHierarchy>
    <cacheHierarchy uniqueName="[Measures].[Profit Margin]" caption="Profit Margin" measure="1" displayFolder="" measureGroup="ecommerce_sales_data" count="0"/>
    <cacheHierarchy uniqueName="[Measures].[__XL_Count ecommerce_sales_data]" caption="__XL_Count ecommerce_sales_data" measure="1" displayFolder="" measureGroup="ecommerce_sales_data" count="0" hidden="1"/>
    <cacheHierarchy uniqueName="[Measures].[__No measures defined]" caption="__No measures defined" measure="1" displayFolder="" count="0" hidden="1"/>
  </cacheHierarchies>
  <kpis count="0"/>
  <dimensions count="2">
    <dimension name="ecommerce_sales_data" uniqueName="[ecommerce_sales_data]" caption="ecommerce_sales_data"/>
    <dimension measure="1" name="Measures" uniqueName="[Measures]" caption="Measures"/>
  </dimensions>
  <measureGroups count="1">
    <measureGroup name="ecommerce_sales_data" caption="ecommerce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rmesh Dudhat" refreshedDate="46159.90445451389" backgroundQuery="1" createdVersion="8" refreshedVersion="8" minRefreshableVersion="3" recordCount="0" supportSubquery="1" supportAdvancedDrill="1" xr:uid="{A1E82257-F008-47C3-A8DB-60F177619638}">
  <cacheSource type="external" connectionId="3"/>
  <cacheFields count="3">
    <cacheField name="[ecommerce_sales_data].[Product Name].[Product Name]" caption="Product Name" numFmtId="0" hierarchy="1" level="1">
      <sharedItems count="10">
        <s v="Camera"/>
        <s v="Headphones"/>
        <s v="Keyboard"/>
        <s v="Laptop"/>
        <s v="Monitor"/>
        <s v="Mouse"/>
        <s v="Printer"/>
        <s v="Smartphone"/>
        <s v="Smartwatch"/>
        <s v="Tablet"/>
      </sharedItems>
    </cacheField>
    <cacheField name="[Measures].[Sum of Profit]" caption="Sum of Profit" numFmtId="0" hierarchy="15" level="32767"/>
    <cacheField name="[ecommerce_sales_data].[Order Date (Year)].[Order Date (Year)]" caption="Order Date (Year)" numFmtId="0" hierarchy="10" level="1">
      <sharedItems containsSemiMixedTypes="0" containsNonDate="0" containsString="0"/>
    </cacheField>
  </cacheFields>
  <cacheHierarchies count="22">
    <cacheHierarchy uniqueName="[ecommerce_sales_data].[Order Date]" caption="Order Date" attribute="1" time="1" defaultMemberUniqueName="[ecommerce_sales_data].[Order Date].[All]" allUniqueName="[ecommerce_sales_data].[Order Date].[All]" dimensionUniqueName="[ecommerce_sales_data]" displayFolder="" count="0" memberValueDatatype="7" unbalanced="0"/>
    <cacheHierarchy uniqueName="[ecommerce_sales_data].[Product Name]" caption="Product Name" attribute="1" defaultMemberUniqueName="[ecommerce_sales_data].[Product Name].[All]" allUniqueName="[ecommerce_sales_data].[Product Name].[All]" dimensionUniqueName="[ecommerce_sales_data]" displayFolder="" count="2" memberValueDatatype="130" unbalanced="0">
      <fieldsUsage count="2">
        <fieldUsage x="-1"/>
        <fieldUsage x="0"/>
      </fieldsUsage>
    </cacheHierarchy>
    <cacheHierarchy uniqueName="[ecommerce_sales_data].[Category]" caption="Category" attribute="1" defaultMemberUniqueName="[ecommerce_sales_data].[Category].[All]" allUniqueName="[ecommerce_sales_data].[Category].[All]" dimensionUniqueName="[ecommerce_sales_data]" displayFolder="" count="0" memberValueDatatype="130" unbalanced="0"/>
    <cacheHierarchy uniqueName="[ecommerce_sales_data].[Region]" caption="Region" attribute="1" defaultMemberUniqueName="[ecommerce_sales_data].[Region].[All]" allUniqueName="[ecommerce_sales_data].[Region].[All]" dimensionUniqueName="[ecommerce_sales_data]" displayFolder="" count="0" memberValueDatatype="130" unbalanced="0"/>
    <cacheHierarchy uniqueName="[ecommerce_sales_data].[Quantity]" caption="Quantity" attribute="1" defaultMemberUniqueName="[ecommerce_sales_data].[Quantity].[All]" allUniqueName="[ecommerce_sales_data].[Quantity].[All]" dimensionUniqueName="[ecommerce_sales_data]" displayFolder="" count="0" memberValueDatatype="20" unbalanced="0"/>
    <cacheHierarchy uniqueName="[ecommerce_sales_data].[Sales]" caption="Sales" attribute="1" defaultMemberUniqueName="[ecommerce_sales_data].[Sales].[All]" allUniqueName="[ecommerce_sales_data].[Sales].[All]" dimensionUniqueName="[ecommerce_sales_data]" displayFolder="" count="0" memberValueDatatype="20" unbalanced="0"/>
    <cacheHierarchy uniqueName="[ecommerce_sales_data].[Profit]" caption="Profit" attribute="1" defaultMemberUniqueName="[ecommerce_sales_data].[Profit].[All]" allUniqueName="[ecommerce_sales_data].[Profit].[All]" dimensionUniqueName="[ecommerce_sales_data]" displayFolder="" count="0" memberValueDatatype="5" unbalanced="0"/>
    <cacheHierarchy uniqueName="[ecommerce_sales_data].[Year]" caption="Year" attribute="1" defaultMemberUniqueName="[ecommerce_sales_data].[Year].[All]" allUniqueName="[ecommerce_sales_data].[Year].[All]" dimensionUniqueName="[ecommerce_sales_data]" displayFolder="" count="0" memberValueDatatype="20" unbalanced="0"/>
    <cacheHierarchy uniqueName="[ecommerce_sales_data].[Month Name]" caption="Month Name" attribute="1" defaultMemberUniqueName="[ecommerce_sales_data].[Month Name].[All]" allUniqueName="[ecommerce_sales_data].[Month Name].[All]" dimensionUniqueName="[ecommerce_sales_data]" displayFolder="" count="0" memberValueDatatype="130" unbalanced="0"/>
    <cacheHierarchy uniqueName="[ecommerce_sales_data].[Profit Margin %]" caption="Profit Margin %" attribute="1" defaultMemberUniqueName="[ecommerce_sales_data].[Profit Margin %].[All]" allUniqueName="[ecommerce_sales_data].[Profit Margin %].[All]" dimensionUniqueName="[ecommerce_sales_data]" displayFolder="" count="0" memberValueDatatype="5" unbalanced="0"/>
    <cacheHierarchy uniqueName="[ecommerce_sales_data].[Order Date (Year)]" caption="Order Date (Year)" attribute="1" defaultMemberUniqueName="[ecommerce_sales_data].[Order Date (Year)].[All]" allUniqueName="[ecommerce_sales_data].[Order Date (Year)].[All]" dimensionUniqueName="[ecommerce_sales_data]" displayFolder="" count="2" memberValueDatatype="130" unbalanced="0">
      <fieldsUsage count="2">
        <fieldUsage x="-1"/>
        <fieldUsage x="2"/>
      </fieldsUsage>
    </cacheHierarchy>
    <cacheHierarchy uniqueName="[ecommerce_sales_data].[Order Date (Quarter)]" caption="Order Date (Quarter)" attribute="1" defaultMemberUniqueName="[ecommerce_sales_data].[Order Date (Quarter)].[All]" allUniqueName="[ecommerce_sales_data].[Order Date (Quarter)].[All]" dimensionUniqueName="[ecommerce_sales_data]" displayFolder="" count="0" memberValueDatatype="130" unbalanced="0"/>
    <cacheHierarchy uniqueName="[ecommerce_sales_data].[Order Date (Month)]" caption="Order Date (Month)" attribute="1" defaultMemberUniqueName="[ecommerce_sales_data].[Order Date (Month)].[All]" allUniqueName="[ecommerce_sales_data].[Order Date (Month)].[All]" dimensionUniqueName="[ecommerce_sales_data]" displayFolder="" count="0" memberValueDatatype="130" unbalanced="0"/>
    <cacheHierarchy uniqueName="[ecommerce_sales_data].[Order Date (Month Index)]" caption="Order Date (Month Index)" attribute="1" defaultMemberUniqueName="[ecommerce_sales_data].[Order Date (Month Index)].[All]" allUniqueName="[ecommerce_sales_data].[Order Date (Month Index)].[All]" dimensionUniqueName="[ecommerce_sales_data]" displayFolder="" count="0" memberValueDatatype="20" unbalanced="0" hidden="1"/>
    <cacheHierarchy uniqueName="[Measures].[Sum of Sales]" caption="Sum of Sales" measure="1" displayFolder="" measureGroup="ecommerce_sales_data" count="0">
      <extLst>
        <ext xmlns:x15="http://schemas.microsoft.com/office/spreadsheetml/2010/11/main" uri="{B97F6D7D-B522-45F9-BDA1-12C45D357490}">
          <x15:cacheHierarchy aggregatedColumn="5"/>
        </ext>
      </extLst>
    </cacheHierarchy>
    <cacheHierarchy uniqueName="[Measures].[Sum of Profit]" caption="Sum of Profit" measure="1" displayFolder="" measureGroup="ecommerce_sales_data" count="0" oneField="1">
      <fieldsUsage count="1">
        <fieldUsage x="1"/>
      </fieldsUsage>
      <extLst>
        <ext xmlns:x15="http://schemas.microsoft.com/office/spreadsheetml/2010/11/main" uri="{B97F6D7D-B522-45F9-BDA1-12C45D357490}">
          <x15:cacheHierarchy aggregatedColumn="6"/>
        </ext>
      </extLst>
    </cacheHierarchy>
    <cacheHierarchy uniqueName="[Measures].[Sum of Quantity]" caption="Sum of Quantity" measure="1" displayFolder="" measureGroup="ecommerce_sales_data" count="0">
      <extLst>
        <ext xmlns:x15="http://schemas.microsoft.com/office/spreadsheetml/2010/11/main" uri="{B97F6D7D-B522-45F9-BDA1-12C45D357490}">
          <x15:cacheHierarchy aggregatedColumn="4"/>
        </ext>
      </extLst>
    </cacheHierarchy>
    <cacheHierarchy uniqueName="[Measures].[Sum of Profit Margin %]" caption="Sum of Profit Margin %" measure="1" displayFolder="" measureGroup="ecommerce_sales_data" count="0">
      <extLst>
        <ext xmlns:x15="http://schemas.microsoft.com/office/spreadsheetml/2010/11/main" uri="{B97F6D7D-B522-45F9-BDA1-12C45D357490}">
          <x15:cacheHierarchy aggregatedColumn="9"/>
        </ext>
      </extLst>
    </cacheHierarchy>
    <cacheHierarchy uniqueName="[Measures].[Average of Profit Margin %]" caption="Average of Profit Margin %" measure="1" displayFolder="" measureGroup="ecommerce_sales_data" count="0">
      <extLst>
        <ext xmlns:x15="http://schemas.microsoft.com/office/spreadsheetml/2010/11/main" uri="{B97F6D7D-B522-45F9-BDA1-12C45D357490}">
          <x15:cacheHierarchy aggregatedColumn="9"/>
        </ext>
      </extLst>
    </cacheHierarchy>
    <cacheHierarchy uniqueName="[Measures].[Profit Margin]" caption="Profit Margin" measure="1" displayFolder="" measureGroup="ecommerce_sales_data" count="0"/>
    <cacheHierarchy uniqueName="[Measures].[__XL_Count ecommerce_sales_data]" caption="__XL_Count ecommerce_sales_data" measure="1" displayFolder="" measureGroup="ecommerce_sales_data" count="0" hidden="1"/>
    <cacheHierarchy uniqueName="[Measures].[__No measures defined]" caption="__No measures defined" measure="1" displayFolder="" count="0" hidden="1"/>
  </cacheHierarchies>
  <kpis count="0"/>
  <dimensions count="2">
    <dimension name="ecommerce_sales_data" uniqueName="[ecommerce_sales_data]" caption="ecommerce_sales_data"/>
    <dimension measure="1" name="Measures" uniqueName="[Measures]" caption="Measures"/>
  </dimensions>
  <measureGroups count="1">
    <measureGroup name="ecommerce_sales_data" caption="ecommerce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rmesh Dudhat" refreshedDate="46159.904454861113" backgroundQuery="1" createdVersion="8" refreshedVersion="8" minRefreshableVersion="3" recordCount="0" supportSubquery="1" supportAdvancedDrill="1" xr:uid="{CCB193CE-DDED-4FCA-ABBC-84692E3372A7}">
  <cacheSource type="external" connectionId="3"/>
  <cacheFields count="3">
    <cacheField name="[ecommerce_sales_data].[Category].[Category]" caption="Category" numFmtId="0" hierarchy="2" level="1">
      <sharedItems count="3">
        <s v="Accessories"/>
        <s v="Electronics"/>
        <s v="Office"/>
      </sharedItems>
    </cacheField>
    <cacheField name="[Measures].[Sum of Quantity]" caption="Sum of Quantity" numFmtId="0" hierarchy="16" level="32767"/>
    <cacheField name="[ecommerce_sales_data].[Order Date (Year)].[Order Date (Year)]" caption="Order Date (Year)" numFmtId="0" hierarchy="10" level="1">
      <sharedItems containsSemiMixedTypes="0" containsNonDate="0" containsString="0"/>
    </cacheField>
  </cacheFields>
  <cacheHierarchies count="22">
    <cacheHierarchy uniqueName="[ecommerce_sales_data].[Order Date]" caption="Order Date" attribute="1" time="1" defaultMemberUniqueName="[ecommerce_sales_data].[Order Date].[All]" allUniqueName="[ecommerce_sales_data].[Order Date].[All]" dimensionUniqueName="[ecommerce_sales_data]" displayFolder="" count="0" memberValueDatatype="7" unbalanced="0"/>
    <cacheHierarchy uniqueName="[ecommerce_sales_data].[Product Name]" caption="Product Name" attribute="1" defaultMemberUniqueName="[ecommerce_sales_data].[Product Name].[All]" allUniqueName="[ecommerce_sales_data].[Product Name].[All]" dimensionUniqueName="[ecommerce_sales_data]" displayFolder="" count="2" memberValueDatatype="130" unbalanced="0"/>
    <cacheHierarchy uniqueName="[ecommerce_sales_data].[Category]" caption="Category" attribute="1" defaultMemberUniqueName="[ecommerce_sales_data].[Category].[All]" allUniqueName="[ecommerce_sales_data].[Category].[All]" dimensionUniqueName="[ecommerce_sales_data]" displayFolder="" count="2" memberValueDatatype="130" unbalanced="0">
      <fieldsUsage count="2">
        <fieldUsage x="-1"/>
        <fieldUsage x="0"/>
      </fieldsUsage>
    </cacheHierarchy>
    <cacheHierarchy uniqueName="[ecommerce_sales_data].[Region]" caption="Region" attribute="1" defaultMemberUniqueName="[ecommerce_sales_data].[Region].[All]" allUniqueName="[ecommerce_sales_data].[Region].[All]" dimensionUniqueName="[ecommerce_sales_data]" displayFolder="" count="0" memberValueDatatype="130" unbalanced="0"/>
    <cacheHierarchy uniqueName="[ecommerce_sales_data].[Quantity]" caption="Quantity" attribute="1" defaultMemberUniqueName="[ecommerce_sales_data].[Quantity].[All]" allUniqueName="[ecommerce_sales_data].[Quantity].[All]" dimensionUniqueName="[ecommerce_sales_data]" displayFolder="" count="0" memberValueDatatype="20" unbalanced="0"/>
    <cacheHierarchy uniqueName="[ecommerce_sales_data].[Sales]" caption="Sales" attribute="1" defaultMemberUniqueName="[ecommerce_sales_data].[Sales].[All]" allUniqueName="[ecommerce_sales_data].[Sales].[All]" dimensionUniqueName="[ecommerce_sales_data]" displayFolder="" count="0" memberValueDatatype="20" unbalanced="0"/>
    <cacheHierarchy uniqueName="[ecommerce_sales_data].[Profit]" caption="Profit" attribute="1" defaultMemberUniqueName="[ecommerce_sales_data].[Profit].[All]" allUniqueName="[ecommerce_sales_data].[Profit].[All]" dimensionUniqueName="[ecommerce_sales_data]" displayFolder="" count="0" memberValueDatatype="5" unbalanced="0"/>
    <cacheHierarchy uniqueName="[ecommerce_sales_data].[Year]" caption="Year" attribute="1" defaultMemberUniqueName="[ecommerce_sales_data].[Year].[All]" allUniqueName="[ecommerce_sales_data].[Year].[All]" dimensionUniqueName="[ecommerce_sales_data]" displayFolder="" count="0" memberValueDatatype="20" unbalanced="0"/>
    <cacheHierarchy uniqueName="[ecommerce_sales_data].[Month Name]" caption="Month Name" attribute="1" defaultMemberUniqueName="[ecommerce_sales_data].[Month Name].[All]" allUniqueName="[ecommerce_sales_data].[Month Name].[All]" dimensionUniqueName="[ecommerce_sales_data]" displayFolder="" count="0" memberValueDatatype="130" unbalanced="0"/>
    <cacheHierarchy uniqueName="[ecommerce_sales_data].[Profit Margin %]" caption="Profit Margin %" attribute="1" defaultMemberUniqueName="[ecommerce_sales_data].[Profit Margin %].[All]" allUniqueName="[ecommerce_sales_data].[Profit Margin %].[All]" dimensionUniqueName="[ecommerce_sales_data]" displayFolder="" count="0" memberValueDatatype="5" unbalanced="0"/>
    <cacheHierarchy uniqueName="[ecommerce_sales_data].[Order Date (Year)]" caption="Order Date (Year)" attribute="1" defaultMemberUniqueName="[ecommerce_sales_data].[Order Date (Year)].[All]" allUniqueName="[ecommerce_sales_data].[Order Date (Year)].[All]" dimensionUniqueName="[ecommerce_sales_data]" displayFolder="" count="2" memberValueDatatype="130" unbalanced="0">
      <fieldsUsage count="2">
        <fieldUsage x="-1"/>
        <fieldUsage x="2"/>
      </fieldsUsage>
    </cacheHierarchy>
    <cacheHierarchy uniqueName="[ecommerce_sales_data].[Order Date (Quarter)]" caption="Order Date (Quarter)" attribute="1" defaultMemberUniqueName="[ecommerce_sales_data].[Order Date (Quarter)].[All]" allUniqueName="[ecommerce_sales_data].[Order Date (Quarter)].[All]" dimensionUniqueName="[ecommerce_sales_data]" displayFolder="" count="0" memberValueDatatype="130" unbalanced="0"/>
    <cacheHierarchy uniqueName="[ecommerce_sales_data].[Order Date (Month)]" caption="Order Date (Month)" attribute="1" defaultMemberUniqueName="[ecommerce_sales_data].[Order Date (Month)].[All]" allUniqueName="[ecommerce_sales_data].[Order Date (Month)].[All]" dimensionUniqueName="[ecommerce_sales_data]" displayFolder="" count="0" memberValueDatatype="130" unbalanced="0"/>
    <cacheHierarchy uniqueName="[ecommerce_sales_data].[Order Date (Month Index)]" caption="Order Date (Month Index)" attribute="1" defaultMemberUniqueName="[ecommerce_sales_data].[Order Date (Month Index)].[All]" allUniqueName="[ecommerce_sales_data].[Order Date (Month Index)].[All]" dimensionUniqueName="[ecommerce_sales_data]" displayFolder="" count="0" memberValueDatatype="20" unbalanced="0" hidden="1"/>
    <cacheHierarchy uniqueName="[Measures].[Sum of Sales]" caption="Sum of Sales" measure="1" displayFolder="" measureGroup="ecommerce_sales_data" count="0">
      <extLst>
        <ext xmlns:x15="http://schemas.microsoft.com/office/spreadsheetml/2010/11/main" uri="{B97F6D7D-B522-45F9-BDA1-12C45D357490}">
          <x15:cacheHierarchy aggregatedColumn="5"/>
        </ext>
      </extLst>
    </cacheHierarchy>
    <cacheHierarchy uniqueName="[Measures].[Sum of Profit]" caption="Sum of Profit" measure="1" displayFolder="" measureGroup="ecommerce_sales_data" count="0">
      <extLst>
        <ext xmlns:x15="http://schemas.microsoft.com/office/spreadsheetml/2010/11/main" uri="{B97F6D7D-B522-45F9-BDA1-12C45D357490}">
          <x15:cacheHierarchy aggregatedColumn="6"/>
        </ext>
      </extLst>
    </cacheHierarchy>
    <cacheHierarchy uniqueName="[Measures].[Sum of Quantity]" caption="Sum of Quantity" measure="1" displayFolder="" measureGroup="ecommerce_sales_data" count="0" oneField="1">
      <fieldsUsage count="1">
        <fieldUsage x="1"/>
      </fieldsUsage>
      <extLst>
        <ext xmlns:x15="http://schemas.microsoft.com/office/spreadsheetml/2010/11/main" uri="{B97F6D7D-B522-45F9-BDA1-12C45D357490}">
          <x15:cacheHierarchy aggregatedColumn="4"/>
        </ext>
      </extLst>
    </cacheHierarchy>
    <cacheHierarchy uniqueName="[Measures].[Sum of Profit Margin %]" caption="Sum of Profit Margin %" measure="1" displayFolder="" measureGroup="ecommerce_sales_data" count="0">
      <extLst>
        <ext xmlns:x15="http://schemas.microsoft.com/office/spreadsheetml/2010/11/main" uri="{B97F6D7D-B522-45F9-BDA1-12C45D357490}">
          <x15:cacheHierarchy aggregatedColumn="9"/>
        </ext>
      </extLst>
    </cacheHierarchy>
    <cacheHierarchy uniqueName="[Measures].[Average of Profit Margin %]" caption="Average of Profit Margin %" measure="1" displayFolder="" measureGroup="ecommerce_sales_data" count="0">
      <extLst>
        <ext xmlns:x15="http://schemas.microsoft.com/office/spreadsheetml/2010/11/main" uri="{B97F6D7D-B522-45F9-BDA1-12C45D357490}">
          <x15:cacheHierarchy aggregatedColumn="9"/>
        </ext>
      </extLst>
    </cacheHierarchy>
    <cacheHierarchy uniqueName="[Measures].[Profit Margin]" caption="Profit Margin" measure="1" displayFolder="" measureGroup="ecommerce_sales_data" count="0"/>
    <cacheHierarchy uniqueName="[Measures].[__XL_Count ecommerce_sales_data]" caption="__XL_Count ecommerce_sales_data" measure="1" displayFolder="" measureGroup="ecommerce_sales_data" count="0" hidden="1"/>
    <cacheHierarchy uniqueName="[Measures].[__No measures defined]" caption="__No measures defined" measure="1" displayFolder="" count="0" hidden="1"/>
  </cacheHierarchies>
  <kpis count="0"/>
  <dimensions count="2">
    <dimension name="ecommerce_sales_data" uniqueName="[ecommerce_sales_data]" caption="ecommerce_sales_data"/>
    <dimension measure="1" name="Measures" uniqueName="[Measures]" caption="Measures"/>
  </dimensions>
  <measureGroups count="1">
    <measureGroup name="ecommerce_sales_data" caption="ecommerce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rmesh Dudhat" refreshedDate="46159.952351736109" backgroundQuery="1" createdVersion="8" refreshedVersion="8" minRefreshableVersion="3" recordCount="0" supportSubquery="1" supportAdvancedDrill="1" xr:uid="{DF34CAF0-A354-42F1-B596-8C4661AADEF8}">
  <cacheSource type="external" connectionId="3"/>
  <cacheFields count="4">
    <cacheField name="[ecommerce_sales_data].[Order Date].[Order Date]" caption="Order Date" numFmtId="0" level="1">
      <sharedItems containsSemiMixedTypes="0" containsNonDate="0" containsDate="1" containsString="0" minDate="2023-12-01T00:00:00" maxDate="2024-01-01T00:00:00" count="30">
        <d v="2023-12-01T00:00:00"/>
        <d v="2023-12-02T00:00:00"/>
        <d v="2023-12-03T00:00:00"/>
        <d v="2023-12-04T00:00:00"/>
        <d v="2023-12-05T00:00:00"/>
        <d v="2023-12-06T00:00:00"/>
        <d v="2023-12-07T00:00:00"/>
        <d v="2023-12-08T00:00:00"/>
        <d v="2023-12-09T00:00:00"/>
        <d v="2023-12-10T00:00:00"/>
        <d v="2023-12-11T00:00:00"/>
        <d v="2023-12-12T00:00:00"/>
        <d v="2023-12-13T00:00:00"/>
        <d v="2023-12-14T00:00:00"/>
        <d v="2023-12-15T00:00:00"/>
        <d v="2023-12-16T00:00:00"/>
        <d v="2023-12-17T00:00:00"/>
        <d v="2023-12-18T00:00:00"/>
        <d v="2023-12-19T00:00:00"/>
        <d v="2023-12-20T00:00:00"/>
        <d v="2023-12-21T00:00:00"/>
        <d v="2023-12-22T00:00:00"/>
        <d v="2023-12-24T00:00:00"/>
        <d v="2023-12-25T00:00:00"/>
        <d v="2023-12-26T00:00:00"/>
        <d v="2023-12-27T00:00:00"/>
        <d v="2023-12-28T00:00:00"/>
        <d v="2023-12-29T00:00:00"/>
        <d v="2023-12-30T00:00:00"/>
        <d v="2023-12-31T00:00:00"/>
      </sharedItems>
    </cacheField>
    <cacheField name="[ecommerce_sales_data].[Order Date (Month)].[Order Date (Month)]" caption="Order Date (Month)" numFmtId="0" hierarchy="12" level="1">
      <sharedItems count="12">
        <s v="Jan"/>
        <s v="Feb"/>
        <s v="Mar"/>
        <s v="Apr"/>
        <s v="May"/>
        <s v="Jun"/>
        <s v="Jul"/>
        <s v="Aug"/>
        <s v="Sep"/>
        <s v="Oct"/>
        <s v="Nov"/>
        <s v="Dec"/>
      </sharedItems>
    </cacheField>
    <cacheField name="[ecommerce_sales_data].[Order Date (Year)].[Order Date (Year)]" caption="Order Date (Year)" numFmtId="0" hierarchy="10" level="1">
      <sharedItems count="3">
        <s v="2022"/>
        <s v="2023"/>
        <s v="2024"/>
      </sharedItems>
    </cacheField>
    <cacheField name="[Measures].[Sum of Sales]" caption="Sum of Sales" numFmtId="0" hierarchy="14" level="32767"/>
  </cacheFields>
  <cacheHierarchies count="22">
    <cacheHierarchy uniqueName="[ecommerce_sales_data].[Order Date]" caption="Order Date" attribute="1" time="1" defaultMemberUniqueName="[ecommerce_sales_data].[Order Date].[All]" allUniqueName="[ecommerce_sales_data].[Order Date].[All]" dimensionUniqueName="[ecommerce_sales_data]" displayFolder="" count="2" memberValueDatatype="7" unbalanced="0">
      <fieldsUsage count="2">
        <fieldUsage x="-1"/>
        <fieldUsage x="0"/>
      </fieldsUsage>
    </cacheHierarchy>
    <cacheHierarchy uniqueName="[ecommerce_sales_data].[Product Name]" caption="Product Name" attribute="1" defaultMemberUniqueName="[ecommerce_sales_data].[Product Name].[All]" allUniqueName="[ecommerce_sales_data].[Product Name].[All]" dimensionUniqueName="[ecommerce_sales_data]" displayFolder="" count="2" memberValueDatatype="130" unbalanced="0"/>
    <cacheHierarchy uniqueName="[ecommerce_sales_data].[Category]" caption="Category" attribute="1" defaultMemberUniqueName="[ecommerce_sales_data].[Category].[All]" allUniqueName="[ecommerce_sales_data].[Category].[All]" dimensionUniqueName="[ecommerce_sales_data]" displayFolder="" count="0" memberValueDatatype="130" unbalanced="0"/>
    <cacheHierarchy uniqueName="[ecommerce_sales_data].[Region]" caption="Region" attribute="1" defaultMemberUniqueName="[ecommerce_sales_data].[Region].[All]" allUniqueName="[ecommerce_sales_data].[Region].[All]" dimensionUniqueName="[ecommerce_sales_data]" displayFolder="" count="0" memberValueDatatype="130" unbalanced="0"/>
    <cacheHierarchy uniqueName="[ecommerce_sales_data].[Quantity]" caption="Quantity" attribute="1" defaultMemberUniqueName="[ecommerce_sales_data].[Quantity].[All]" allUniqueName="[ecommerce_sales_data].[Quantity].[All]" dimensionUniqueName="[ecommerce_sales_data]" displayFolder="" count="0" memberValueDatatype="20" unbalanced="0"/>
    <cacheHierarchy uniqueName="[ecommerce_sales_data].[Sales]" caption="Sales" attribute="1" defaultMemberUniqueName="[ecommerce_sales_data].[Sales].[All]" allUniqueName="[ecommerce_sales_data].[Sales].[All]" dimensionUniqueName="[ecommerce_sales_data]" displayFolder="" count="0" memberValueDatatype="20" unbalanced="0"/>
    <cacheHierarchy uniqueName="[ecommerce_sales_data].[Profit]" caption="Profit" attribute="1" defaultMemberUniqueName="[ecommerce_sales_data].[Profit].[All]" allUniqueName="[ecommerce_sales_data].[Profit].[All]" dimensionUniqueName="[ecommerce_sales_data]" displayFolder="" count="0" memberValueDatatype="5" unbalanced="0"/>
    <cacheHierarchy uniqueName="[ecommerce_sales_data].[Year]" caption="Year" attribute="1" defaultMemberUniqueName="[ecommerce_sales_data].[Year].[All]" allUniqueName="[ecommerce_sales_data].[Year].[All]" dimensionUniqueName="[ecommerce_sales_data]" displayFolder="" count="0" memberValueDatatype="20" unbalanced="0"/>
    <cacheHierarchy uniqueName="[ecommerce_sales_data].[Month Name]" caption="Month Name" attribute="1" defaultMemberUniqueName="[ecommerce_sales_data].[Month Name].[All]" allUniqueName="[ecommerce_sales_data].[Month Name].[All]" dimensionUniqueName="[ecommerce_sales_data]" displayFolder="" count="0" memberValueDatatype="130" unbalanced="0"/>
    <cacheHierarchy uniqueName="[ecommerce_sales_data].[Profit Margin %]" caption="Profit Margin %" attribute="1" defaultMemberUniqueName="[ecommerce_sales_data].[Profit Margin %].[All]" allUniqueName="[ecommerce_sales_data].[Profit Margin %].[All]" dimensionUniqueName="[ecommerce_sales_data]" displayFolder="" count="0" memberValueDatatype="5" unbalanced="0"/>
    <cacheHierarchy uniqueName="[ecommerce_sales_data].[Order Date (Year)]" caption="Order Date (Year)" attribute="1" defaultMemberUniqueName="[ecommerce_sales_data].[Order Date (Year)].[All]" allUniqueName="[ecommerce_sales_data].[Order Date (Year)].[All]" dimensionUniqueName="[ecommerce_sales_data]" displayFolder="" count="2" memberValueDatatype="130" unbalanced="0">
      <fieldsUsage count="2">
        <fieldUsage x="-1"/>
        <fieldUsage x="2"/>
      </fieldsUsage>
    </cacheHierarchy>
    <cacheHierarchy uniqueName="[ecommerce_sales_data].[Order Date (Quarter)]" caption="Order Date (Quarter)" attribute="1" defaultMemberUniqueName="[ecommerce_sales_data].[Order Date (Quarter)].[All]" allUniqueName="[ecommerce_sales_data].[Order Date (Quarter)].[All]" dimensionUniqueName="[ecommerce_sales_data]" displayFolder="" count="0" memberValueDatatype="130" unbalanced="0"/>
    <cacheHierarchy uniqueName="[ecommerce_sales_data].[Order Date (Month)]" caption="Order Date (Month)" attribute="1" defaultMemberUniqueName="[ecommerce_sales_data].[Order Date (Month)].[All]" allUniqueName="[ecommerce_sales_data].[Order Date (Month)].[All]" dimensionUniqueName="[ecommerce_sales_data]" displayFolder="" count="2" memberValueDatatype="130" unbalanced="0">
      <fieldsUsage count="2">
        <fieldUsage x="-1"/>
        <fieldUsage x="1"/>
      </fieldsUsage>
    </cacheHierarchy>
    <cacheHierarchy uniqueName="[ecommerce_sales_data].[Order Date (Month Index)]" caption="Order Date (Month Index)" attribute="1" defaultMemberUniqueName="[ecommerce_sales_data].[Order Date (Month Index)].[All]" allUniqueName="[ecommerce_sales_data].[Order Date (Month Index)].[All]" dimensionUniqueName="[ecommerce_sales_data]" displayFolder="" count="0" memberValueDatatype="20" unbalanced="0" hidden="1"/>
    <cacheHierarchy uniqueName="[Measures].[Sum of Sales]" caption="Sum of Sales" measure="1" displayFolder="" measureGroup="ecommerce_sales_data" count="0" oneField="1">
      <fieldsUsage count="1">
        <fieldUsage x="3"/>
      </fieldsUsage>
      <extLst>
        <ext xmlns:x15="http://schemas.microsoft.com/office/spreadsheetml/2010/11/main" uri="{B97F6D7D-B522-45F9-BDA1-12C45D357490}">
          <x15:cacheHierarchy aggregatedColumn="5"/>
        </ext>
      </extLst>
    </cacheHierarchy>
    <cacheHierarchy uniqueName="[Measures].[Sum of Profit]" caption="Sum of Profit" measure="1" displayFolder="" measureGroup="ecommerce_sales_data" count="0">
      <extLst>
        <ext xmlns:x15="http://schemas.microsoft.com/office/spreadsheetml/2010/11/main" uri="{B97F6D7D-B522-45F9-BDA1-12C45D357490}">
          <x15:cacheHierarchy aggregatedColumn="6"/>
        </ext>
      </extLst>
    </cacheHierarchy>
    <cacheHierarchy uniqueName="[Measures].[Sum of Quantity]" caption="Sum of Quantity" measure="1" displayFolder="" measureGroup="ecommerce_sales_data" count="0">
      <extLst>
        <ext xmlns:x15="http://schemas.microsoft.com/office/spreadsheetml/2010/11/main" uri="{B97F6D7D-B522-45F9-BDA1-12C45D357490}">
          <x15:cacheHierarchy aggregatedColumn="4"/>
        </ext>
      </extLst>
    </cacheHierarchy>
    <cacheHierarchy uniqueName="[Measures].[Sum of Profit Margin %]" caption="Sum of Profit Margin %" measure="1" displayFolder="" measureGroup="ecommerce_sales_data" count="0">
      <extLst>
        <ext xmlns:x15="http://schemas.microsoft.com/office/spreadsheetml/2010/11/main" uri="{B97F6D7D-B522-45F9-BDA1-12C45D357490}">
          <x15:cacheHierarchy aggregatedColumn="9"/>
        </ext>
      </extLst>
    </cacheHierarchy>
    <cacheHierarchy uniqueName="[Measures].[Average of Profit Margin %]" caption="Average of Profit Margin %" measure="1" displayFolder="" measureGroup="ecommerce_sales_data" count="0">
      <extLst>
        <ext xmlns:x15="http://schemas.microsoft.com/office/spreadsheetml/2010/11/main" uri="{B97F6D7D-B522-45F9-BDA1-12C45D357490}">
          <x15:cacheHierarchy aggregatedColumn="9"/>
        </ext>
      </extLst>
    </cacheHierarchy>
    <cacheHierarchy uniqueName="[Measures].[Profit Margin]" caption="Profit Margin" measure="1" displayFolder="" measureGroup="ecommerce_sales_data" count="0"/>
    <cacheHierarchy uniqueName="[Measures].[__XL_Count ecommerce_sales_data]" caption="__XL_Count ecommerce_sales_data" measure="1" displayFolder="" measureGroup="ecommerce_sales_data" count="0" hidden="1"/>
    <cacheHierarchy uniqueName="[Measures].[__No measures defined]" caption="__No measures defined" measure="1" displayFolder="" count="0" hidden="1"/>
  </cacheHierarchies>
  <kpis count="0"/>
  <dimensions count="2">
    <dimension name="ecommerce_sales_data" uniqueName="[ecommerce_sales_data]" caption="ecommerce_sales_data"/>
    <dimension measure="1" name="Measures" uniqueName="[Measures]" caption="Measures"/>
  </dimensions>
  <measureGroups count="1">
    <measureGroup name="ecommerce_sales_data" caption="ecommerce_sales_data"/>
  </measureGroups>
  <maps count="1">
    <map measureGroup="0" dimension="0"/>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Dharmesh Dudhat" refreshedDate="46159.901769560187" backgroundQuery="1" createdVersion="3" refreshedVersion="8" minRefreshableVersion="3" recordCount="0" supportSubquery="1" supportAdvancedDrill="1" xr:uid="{C8C1FDFC-ACF6-4D97-8825-1B31F7676DE5}">
  <cacheSource type="external" connectionId="3">
    <extLst>
      <ext xmlns:x14="http://schemas.microsoft.com/office/spreadsheetml/2009/9/main" uri="{F057638F-6D5F-4e77-A914-E7F072B9BCA8}">
        <x14:sourceConnection name="ThisWorkbookDataModel"/>
      </ext>
    </extLst>
  </cacheSource>
  <cacheFields count="0"/>
  <cacheHierarchies count="22">
    <cacheHierarchy uniqueName="[ecommerce_sales_data].[Order Date]" caption="Order Date" attribute="1" time="1" defaultMemberUniqueName="[ecommerce_sales_data].[Order Date].[All]" allUniqueName="[ecommerce_sales_data].[Order Date].[All]" dimensionUniqueName="[ecommerce_sales_data]" displayFolder="" count="0" memberValueDatatype="7" unbalanced="0"/>
    <cacheHierarchy uniqueName="[ecommerce_sales_data].[Product Name]" caption="Product Name" attribute="1" defaultMemberUniqueName="[ecommerce_sales_data].[Product Name].[All]" allUniqueName="[ecommerce_sales_data].[Product Name].[All]" dimensionUniqueName="[ecommerce_sales_data]" displayFolder="" count="2" memberValueDatatype="130" unbalanced="0"/>
    <cacheHierarchy uniqueName="[ecommerce_sales_data].[Category]" caption="Category" attribute="1" defaultMemberUniqueName="[ecommerce_sales_data].[Category].[All]" allUniqueName="[ecommerce_sales_data].[Category].[All]" dimensionUniqueName="[ecommerce_sales_data]" displayFolder="" count="0" memberValueDatatype="130" unbalanced="0"/>
    <cacheHierarchy uniqueName="[ecommerce_sales_data].[Region]" caption="Region" attribute="1" defaultMemberUniqueName="[ecommerce_sales_data].[Region].[All]" allUniqueName="[ecommerce_sales_data].[Region].[All]" dimensionUniqueName="[ecommerce_sales_data]" displayFolder="" count="0" memberValueDatatype="130" unbalanced="0"/>
    <cacheHierarchy uniqueName="[ecommerce_sales_data].[Quantity]" caption="Quantity" attribute="1" defaultMemberUniqueName="[ecommerce_sales_data].[Quantity].[All]" allUniqueName="[ecommerce_sales_data].[Quantity].[All]" dimensionUniqueName="[ecommerce_sales_data]" displayFolder="" count="0" memberValueDatatype="20" unbalanced="0"/>
    <cacheHierarchy uniqueName="[ecommerce_sales_data].[Sales]" caption="Sales" attribute="1" defaultMemberUniqueName="[ecommerce_sales_data].[Sales].[All]" allUniqueName="[ecommerce_sales_data].[Sales].[All]" dimensionUniqueName="[ecommerce_sales_data]" displayFolder="" count="0" memberValueDatatype="20" unbalanced="0"/>
    <cacheHierarchy uniqueName="[ecommerce_sales_data].[Profit]" caption="Profit" attribute="1" defaultMemberUniqueName="[ecommerce_sales_data].[Profit].[All]" allUniqueName="[ecommerce_sales_data].[Profit].[All]" dimensionUniqueName="[ecommerce_sales_data]" displayFolder="" count="0" memberValueDatatype="5" unbalanced="0"/>
    <cacheHierarchy uniqueName="[ecommerce_sales_data].[Year]" caption="Year" attribute="1" defaultMemberUniqueName="[ecommerce_sales_data].[Year].[All]" allUniqueName="[ecommerce_sales_data].[Year].[All]" dimensionUniqueName="[ecommerce_sales_data]" displayFolder="" count="0" memberValueDatatype="20" unbalanced="0"/>
    <cacheHierarchy uniqueName="[ecommerce_sales_data].[Month Name]" caption="Month Name" attribute="1" defaultMemberUniqueName="[ecommerce_sales_data].[Month Name].[All]" allUniqueName="[ecommerce_sales_data].[Month Name].[All]" dimensionUniqueName="[ecommerce_sales_data]" displayFolder="" count="0" memberValueDatatype="130" unbalanced="0"/>
    <cacheHierarchy uniqueName="[ecommerce_sales_data].[Profit Margin %]" caption="Profit Margin %" attribute="1" defaultMemberUniqueName="[ecommerce_sales_data].[Profit Margin %].[All]" allUniqueName="[ecommerce_sales_data].[Profit Margin %].[All]" dimensionUniqueName="[ecommerce_sales_data]" displayFolder="" count="0" memberValueDatatype="5" unbalanced="0"/>
    <cacheHierarchy uniqueName="[ecommerce_sales_data].[Order Date (Year)]" caption="Order Date (Year)" attribute="1" defaultMemberUniqueName="[ecommerce_sales_data].[Order Date (Year)].[All]" allUniqueName="[ecommerce_sales_data].[Order Date (Year)].[All]" dimensionUniqueName="[ecommerce_sales_data]" displayFolder="" count="2" memberValueDatatype="130" unbalanced="0"/>
    <cacheHierarchy uniqueName="[ecommerce_sales_data].[Order Date (Quarter)]" caption="Order Date (Quarter)" attribute="1" defaultMemberUniqueName="[ecommerce_sales_data].[Order Date (Quarter)].[All]" allUniqueName="[ecommerce_sales_data].[Order Date (Quarter)].[All]" dimensionUniqueName="[ecommerce_sales_data]" displayFolder="" count="0" memberValueDatatype="130" unbalanced="0"/>
    <cacheHierarchy uniqueName="[ecommerce_sales_data].[Order Date (Month)]" caption="Order Date (Month)" attribute="1" defaultMemberUniqueName="[ecommerce_sales_data].[Order Date (Month)].[All]" allUniqueName="[ecommerce_sales_data].[Order Date (Month)].[All]" dimensionUniqueName="[ecommerce_sales_data]" displayFolder="" count="0" memberValueDatatype="130" unbalanced="0"/>
    <cacheHierarchy uniqueName="[ecommerce_sales_data].[Order Date (Month Index)]" caption="Order Date (Month Index)" attribute="1" defaultMemberUniqueName="[ecommerce_sales_data].[Order Date (Month Index)].[All]" allUniqueName="[ecommerce_sales_data].[Order Date (Month Index)].[All]" dimensionUniqueName="[ecommerce_sales_data]" displayFolder="" count="0" memberValueDatatype="20" unbalanced="0" hidden="1"/>
    <cacheHierarchy uniqueName="[Measures].[Sum of Sales]" caption="Sum of Sales" measure="1" displayFolder="" measureGroup="ecommerce_sales_data" count="0">
      <extLst>
        <ext xmlns:x15="http://schemas.microsoft.com/office/spreadsheetml/2010/11/main" uri="{B97F6D7D-B522-45F9-BDA1-12C45D357490}">
          <x15:cacheHierarchy aggregatedColumn="5"/>
        </ext>
      </extLst>
    </cacheHierarchy>
    <cacheHierarchy uniqueName="[Measures].[Sum of Profit]" caption="Sum of Profit" measure="1" displayFolder="" measureGroup="ecommerce_sales_data" count="0">
      <extLst>
        <ext xmlns:x15="http://schemas.microsoft.com/office/spreadsheetml/2010/11/main" uri="{B97F6D7D-B522-45F9-BDA1-12C45D357490}">
          <x15:cacheHierarchy aggregatedColumn="6"/>
        </ext>
      </extLst>
    </cacheHierarchy>
    <cacheHierarchy uniqueName="[Measures].[Sum of Quantity]" caption="Sum of Quantity" measure="1" displayFolder="" measureGroup="ecommerce_sales_data" count="0">
      <extLst>
        <ext xmlns:x15="http://schemas.microsoft.com/office/spreadsheetml/2010/11/main" uri="{B97F6D7D-B522-45F9-BDA1-12C45D357490}">
          <x15:cacheHierarchy aggregatedColumn="4"/>
        </ext>
      </extLst>
    </cacheHierarchy>
    <cacheHierarchy uniqueName="[Measures].[Sum of Profit Margin %]" caption="Sum of Profit Margin %" measure="1" displayFolder="" measureGroup="ecommerce_sales_data" count="0">
      <extLst>
        <ext xmlns:x15="http://schemas.microsoft.com/office/spreadsheetml/2010/11/main" uri="{B97F6D7D-B522-45F9-BDA1-12C45D357490}">
          <x15:cacheHierarchy aggregatedColumn="9"/>
        </ext>
      </extLst>
    </cacheHierarchy>
    <cacheHierarchy uniqueName="[Measures].[Average of Profit Margin %]" caption="Average of Profit Margin %" measure="1" displayFolder="" measureGroup="ecommerce_sales_data" count="0">
      <extLst>
        <ext xmlns:x15="http://schemas.microsoft.com/office/spreadsheetml/2010/11/main" uri="{B97F6D7D-B522-45F9-BDA1-12C45D357490}">
          <x15:cacheHierarchy aggregatedColumn="9"/>
        </ext>
      </extLst>
    </cacheHierarchy>
    <cacheHierarchy uniqueName="[Measures].[Profit Margin]" caption="Profit Margin" measure="1" displayFolder="" measureGroup="ecommerce_sales_data" count="0"/>
    <cacheHierarchy uniqueName="[Measures].[__XL_Count ecommerce_sales_data]" caption="__XL_Count ecommerce_sales_data" measure="1" displayFolder="" measureGroup="ecommerce_sales_data" count="0" hidden="1"/>
    <cacheHierarchy uniqueName="[Measures].[__No measures defined]" caption="__No measures defined" measure="1" displayFolder="" count="0" hidden="1"/>
  </cacheHierarchies>
  <kpis count="0"/>
  <extLst>
    <ext xmlns:x14="http://schemas.microsoft.com/office/spreadsheetml/2009/9/main" uri="{725AE2AE-9491-48be-B2B4-4EB974FC3084}">
      <x14:pivotCacheDefinition slicerData="1" pivotCacheId="32859674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48589C70-3747-428F-B366-BB5A3D909DDB}" name="PivotTable1" cacheId="10"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8">
  <location ref="A3:B7"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xis="axisRow" allDrilled="1" subtotalTop="0" showAll="0" dataSourceSort="1" defaultSubtotal="0" defaultAttributeDrillState="1">
      <items count="12">
        <item x="0" e="0"/>
        <item x="1" e="0"/>
        <item x="2" e="0"/>
        <item x="3" e="0"/>
        <item x="4" e="0"/>
        <item x="5" e="0"/>
        <item x="6" e="0"/>
        <item x="7" e="0"/>
        <item x="8" e="0"/>
        <item x="9" e="0"/>
        <item x="10" e="0"/>
        <item x="11" e="0"/>
      </items>
    </pivotField>
    <pivotField axis="axisRow" allDrilled="1" subtotalTop="0" showAll="0" dataSourceSort="1" defaultSubtotal="0">
      <items count="3">
        <item x="0" e="0"/>
        <item x="1" e="0"/>
        <item x="2" e="0"/>
      </items>
    </pivotField>
    <pivotField dataField="1" subtotalTop="0" showAll="0" defaultSubtotal="0"/>
  </pivotFields>
  <rowFields count="3">
    <field x="2"/>
    <field x="1"/>
    <field x="0"/>
  </rowFields>
  <rowItems count="4">
    <i>
      <x/>
    </i>
    <i>
      <x v="1"/>
    </i>
    <i>
      <x v="2"/>
    </i>
    <i t="grand">
      <x/>
    </i>
  </rowItems>
  <colItems count="1">
    <i/>
  </colItems>
  <dataFields count="1">
    <dataField name="Total Sales" fld="3" baseField="2" baseItem="0" numFmtId="166"/>
  </dataFields>
  <formats count="2">
    <format dxfId="36">
      <pivotArea collapsedLevelsAreSubtotals="1" fieldPosition="0">
        <references count="1">
          <reference field="2" count="1">
            <x v="0"/>
          </reference>
        </references>
      </pivotArea>
    </format>
    <format dxfId="31">
      <pivotArea outline="0" collapsedLevelsAreSubtotals="1" fieldPosition="0"/>
    </format>
  </formats>
  <chartFormats count="1">
    <chartFormat chart="4" format="2" series="1">
      <pivotArea type="data" outline="0" fieldPosition="0">
        <references count="1">
          <reference field="4294967294" count="1" selected="0">
            <x v="0"/>
          </reference>
        </references>
      </pivotArea>
    </chartFormat>
  </chartFormats>
  <pivotHierarchies count="2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3">
    <rowHierarchyUsage hierarchyUsage="10"/>
    <rowHierarchyUsage hierarchyUsage="12"/>
    <rowHierarchyUsage hierarchyUsage="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DE2276F5-BBF2-4DD0-845C-C7D06519B512}" name="PivotTable3" cacheId="2"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34">
  <location ref="G3:H7" firstHeaderRow="1" firstDataRow="1" firstDataCol="1"/>
  <pivotFields count="3">
    <pivotField axis="axisRow" allDrilled="1" outline="0"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Profit" fld="1" baseField="0" baseItem="0" numFmtId="166"/>
  </dataFields>
  <formats count="1">
    <format dxfId="19">
      <pivotArea outline="0" collapsedLevelsAreSubtotals="1" fieldPosition="0"/>
    </format>
  </formats>
  <chartFormats count="4">
    <chartFormat chart="25" format="24" series="1">
      <pivotArea type="data" outline="0" fieldPosition="0">
        <references count="1">
          <reference field="4294967294" count="1" selected="0">
            <x v="0"/>
          </reference>
        </references>
      </pivotArea>
    </chartFormat>
    <chartFormat chart="25" format="25">
      <pivotArea type="data" outline="0" fieldPosition="0">
        <references count="2">
          <reference field="4294967294" count="1" selected="0">
            <x v="0"/>
          </reference>
          <reference field="0" count="1" selected="0">
            <x v="0"/>
          </reference>
        </references>
      </pivotArea>
    </chartFormat>
    <chartFormat chart="25" format="26">
      <pivotArea type="data" outline="0" fieldPosition="0">
        <references count="2">
          <reference field="4294967294" count="1" selected="0">
            <x v="0"/>
          </reference>
          <reference field="0" count="1" selected="0">
            <x v="1"/>
          </reference>
        </references>
      </pivotArea>
    </chartFormat>
    <chartFormat chart="25" format="27">
      <pivotArea type="data" outline="0" fieldPosition="0">
        <references count="2">
          <reference field="4294967294" count="1" selected="0">
            <x v="0"/>
          </reference>
          <reference field="0" count="1" selected="0">
            <x v="2"/>
          </reference>
        </references>
      </pivotArea>
    </chartFormat>
  </chartFormats>
  <pivotHierarchies count="2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43672861-E758-47EB-9DBC-4E8A1C298345}" name="PivotTable2" cacheId="1" applyNumberFormats="0" applyBorderFormats="0" applyFontFormats="0" applyPatternFormats="0" applyAlignmentFormats="0" applyWidthHeightFormats="1" dataCaption="Values" tag="e8edf28a-2ed8-420f-8b4b-47bac1daf1b7" updatedVersion="8" minRefreshableVersion="3" useAutoFormatting="1" subtotalHiddenItems="1" itemPrintTitles="1" createdVersion="8" indent="0" outline="1" outlineData="1" multipleFieldFilters="0" chartFormat="24">
  <location ref="D3:E8" firstHeaderRow="1" firstDataRow="1" firstDataCol="1"/>
  <pivotFields count="3">
    <pivotField axis="axisRow" allDrilled="1" subtotalTop="0" showAll="0" dataSourceSort="1" defaultSubtotal="0" defaultAttributeDrillState="1">
      <items count="4">
        <item x="0"/>
        <item x="1"/>
        <item x="2"/>
        <item x="3"/>
      </items>
    </pivotField>
    <pivotField dataField="1" subtotalTop="0" showAll="0" defaultSubtotal="0"/>
    <pivotField allDrilled="1" subtotalTop="0" showAll="0" dataSourceSort="1" defaultSubtotal="0" defaultAttributeDrillState="1"/>
  </pivotFields>
  <rowFields count="1">
    <field x="0"/>
  </rowFields>
  <rowItems count="5">
    <i>
      <x/>
    </i>
    <i>
      <x v="1"/>
    </i>
    <i>
      <x v="2"/>
    </i>
    <i>
      <x v="3"/>
    </i>
    <i t="grand">
      <x/>
    </i>
  </rowItems>
  <colItems count="1">
    <i/>
  </colItems>
  <dataFields count="1">
    <dataField name="Sum of Sales" fld="1" baseField="0" baseItem="0" numFmtId="166"/>
  </dataFields>
  <formats count="1">
    <format dxfId="26">
      <pivotArea outline="0" collapsedLevelsAreSubtotals="1" fieldPosition="0"/>
    </format>
  </formats>
  <chartFormats count="1">
    <chartFormat chart="16" format="10" series="1">
      <pivotArea type="data" outline="0" fieldPosition="0">
        <references count="1">
          <reference field="4294967294" count="1" selected="0">
            <x v="0"/>
          </reference>
        </references>
      </pivotArea>
    </chartFormat>
  </chartFormats>
  <pivotHierarchies count="2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085BFC6-57B7-4419-A008-B094C861BCD8}" name="PivotTable7" cacheId="6"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11">
  <location ref="E13:F17" firstHeaderRow="1" firstDataRow="1" firstDataCol="1"/>
  <pivotFields count="3">
    <pivotField axis="axisRow" allDrilled="1" subtotalTop="0" showAll="0" dataSourceSort="1" defaultSubtotal="0" defaultAttributeDrillState="1">
      <items count="3">
        <item x="0"/>
        <item x="1"/>
        <item x="2"/>
      </items>
    </pivotField>
    <pivotField dataField="1" subtotalTop="0" showAll="0" defaultSubtotal="0"/>
    <pivotField allDrilled="1" subtotalTop="0" showAll="0" dataSourceSort="1" defaultSubtotal="0" defaultAttributeDrillState="1"/>
  </pivotFields>
  <rowFields count="1">
    <field x="0"/>
  </rowFields>
  <rowItems count="4">
    <i>
      <x/>
    </i>
    <i>
      <x v="1"/>
    </i>
    <i>
      <x v="2"/>
    </i>
    <i t="grand">
      <x/>
    </i>
  </rowItems>
  <colItems count="1">
    <i/>
  </colItems>
  <dataFields count="1">
    <dataField name="Sum of Quantity" fld="1" baseField="0" baseItem="0"/>
  </dataFields>
  <formats count="2">
    <format dxfId="38">
      <pivotArea collapsedLevelsAreSubtotals="1" fieldPosition="0">
        <references count="1">
          <reference field="0" count="1">
            <x v="0"/>
          </reference>
        </references>
      </pivotArea>
    </format>
    <format dxfId="37">
      <pivotArea outline="0" collapsedLevelsAreSubtotals="1" fieldPosition="0"/>
    </format>
  </formats>
  <chartFormats count="2">
    <chartFormat chart="5" format="19" series="1">
      <pivotArea type="data" outline="0" fieldPosition="0">
        <references count="1">
          <reference field="4294967294" count="1" selected="0">
            <x v="0"/>
          </reference>
        </references>
      </pivotArea>
    </chartFormat>
    <chartFormat chart="5" format="20">
      <pivotArea type="data" outline="0" fieldPosition="0">
        <references count="2">
          <reference field="4294967294" count="1" selected="0">
            <x v="0"/>
          </reference>
          <reference field="0" count="1" selected="0">
            <x v="2"/>
          </reference>
        </references>
      </pivotArea>
    </chartFormat>
  </chartFormats>
  <pivotHierarchies count="2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caption="Average of Profit Margin %"/>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797127F2-4E7D-4B6B-B96F-E07F900F7312}" name="PivotTable5" cacheId="4" applyNumberFormats="0" applyBorderFormats="0" applyFontFormats="0" applyPatternFormats="0" applyAlignmentFormats="0" applyWidthHeightFormats="1" dataCaption="Values" tag="629a422d-67cc-483f-814e-66849649c47e" updatedVersion="8" minRefreshableVersion="3" useAutoFormatting="1" subtotalHiddenItems="1" itemPrintTitles="1" createdVersion="8" indent="0" outline="1" outlineData="1" multipleFieldFilters="0">
  <location ref="A12:C13" firstHeaderRow="0" firstDataRow="1" firstDataCol="0"/>
  <pivotFields count="4">
    <pivotField dataField="1" subtotalTop="0" showAll="0" defaultSubtotal="0"/>
    <pivotField allDrilled="1" subtotalTop="0" showAll="0" dataSourceSort="1" defaultSubtotal="0" defaultAttributeDrillState="1"/>
    <pivotField dataField="1" subtotalTop="0" showAll="0" defaultSubtotal="0"/>
    <pivotField dataField="1" subtotalTop="0" showAll="0" defaultSubtotal="0"/>
  </pivotFields>
  <rowItems count="1">
    <i/>
  </rowItems>
  <colFields count="1">
    <field x="-2"/>
  </colFields>
  <colItems count="3">
    <i>
      <x/>
    </i>
    <i i="1">
      <x v="1"/>
    </i>
    <i i="2">
      <x v="2"/>
    </i>
  </colItems>
  <dataFields count="3">
    <dataField name="Sum of Sales" fld="2" baseField="0" baseItem="0" numFmtId="166"/>
    <dataField name="Sum of Profit" fld="0" baseField="0" baseItem="0" numFmtId="166"/>
    <dataField name="Sum of Quantity" fld="3" baseField="0" baseItem="0"/>
  </dataFields>
  <formats count="2">
    <format dxfId="39">
      <pivotArea outline="0" collapsedLevelsAreSubtotals="1" fieldPosition="0"/>
    </format>
    <format dxfId="1">
      <pivotArea outline="0" collapsedLevelsAreSubtotals="1" fieldPosition="0">
        <references count="1">
          <reference field="4294967294" count="2" selected="0">
            <x v="0"/>
            <x v="1"/>
          </reference>
        </references>
      </pivotArea>
    </format>
  </formats>
  <pivotHierarchies count="2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9CEBA8-EF7D-4C4B-9B33-2EBA8939F224}" name="PivotTable6" cacheId="5"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6">
  <location ref="N3:O14" firstHeaderRow="1" firstDataRow="1" firstDataCol="1"/>
  <pivotFields count="3">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Items count="1">
    <i/>
  </colItems>
  <dataFields count="1">
    <dataField name="Sum of Profit" fld="1" baseField="0" baseItem="0" numFmtId="166"/>
  </dataFields>
  <formats count="1">
    <format dxfId="9">
      <pivotArea outline="0" collapsedLevelsAreSubtotals="1" fieldPosition="0"/>
    </format>
  </formats>
  <chartFormats count="11">
    <chartFormat chart="3" format="36" series="1">
      <pivotArea type="data" outline="0" fieldPosition="0">
        <references count="1">
          <reference field="4294967294" count="1" selected="0">
            <x v="0"/>
          </reference>
        </references>
      </pivotArea>
    </chartFormat>
    <chartFormat chart="3" format="37">
      <pivotArea type="data" outline="0" fieldPosition="0">
        <references count="2">
          <reference field="4294967294" count="1" selected="0">
            <x v="0"/>
          </reference>
          <reference field="0" count="1" selected="0">
            <x v="0"/>
          </reference>
        </references>
      </pivotArea>
    </chartFormat>
    <chartFormat chart="3" format="38">
      <pivotArea type="data" outline="0" fieldPosition="0">
        <references count="2">
          <reference field="4294967294" count="1" selected="0">
            <x v="0"/>
          </reference>
          <reference field="0" count="1" selected="0">
            <x v="1"/>
          </reference>
        </references>
      </pivotArea>
    </chartFormat>
    <chartFormat chart="3" format="39">
      <pivotArea type="data" outline="0" fieldPosition="0">
        <references count="2">
          <reference field="4294967294" count="1" selected="0">
            <x v="0"/>
          </reference>
          <reference field="0" count="1" selected="0">
            <x v="2"/>
          </reference>
        </references>
      </pivotArea>
    </chartFormat>
    <chartFormat chart="3" format="40">
      <pivotArea type="data" outline="0" fieldPosition="0">
        <references count="2">
          <reference field="4294967294" count="1" selected="0">
            <x v="0"/>
          </reference>
          <reference field="0" count="1" selected="0">
            <x v="3"/>
          </reference>
        </references>
      </pivotArea>
    </chartFormat>
    <chartFormat chart="3" format="41">
      <pivotArea type="data" outline="0" fieldPosition="0">
        <references count="2">
          <reference field="4294967294" count="1" selected="0">
            <x v="0"/>
          </reference>
          <reference field="0" count="1" selected="0">
            <x v="4"/>
          </reference>
        </references>
      </pivotArea>
    </chartFormat>
    <chartFormat chart="3" format="42">
      <pivotArea type="data" outline="0" fieldPosition="0">
        <references count="2">
          <reference field="4294967294" count="1" selected="0">
            <x v="0"/>
          </reference>
          <reference field="0" count="1" selected="0">
            <x v="5"/>
          </reference>
        </references>
      </pivotArea>
    </chartFormat>
    <chartFormat chart="3" format="43">
      <pivotArea type="data" outline="0" fieldPosition="0">
        <references count="2">
          <reference field="4294967294" count="1" selected="0">
            <x v="0"/>
          </reference>
          <reference field="0" count="1" selected="0">
            <x v="6"/>
          </reference>
        </references>
      </pivotArea>
    </chartFormat>
    <chartFormat chart="3" format="44">
      <pivotArea type="data" outline="0" fieldPosition="0">
        <references count="2">
          <reference field="4294967294" count="1" selected="0">
            <x v="0"/>
          </reference>
          <reference field="0" count="1" selected="0">
            <x v="7"/>
          </reference>
        </references>
      </pivotArea>
    </chartFormat>
    <chartFormat chart="3" format="45">
      <pivotArea type="data" outline="0" fieldPosition="0">
        <references count="2">
          <reference field="4294967294" count="1" selected="0">
            <x v="0"/>
          </reference>
          <reference field="0" count="1" selected="0">
            <x v="8"/>
          </reference>
        </references>
      </pivotArea>
    </chartFormat>
    <chartFormat chart="3" format="46">
      <pivotArea type="data" outline="0" fieldPosition="0">
        <references count="2">
          <reference field="4294967294" count="1" selected="0">
            <x v="0"/>
          </reference>
          <reference field="0" count="1" selected="0">
            <x v="9"/>
          </reference>
        </references>
      </pivotArea>
    </chartFormat>
  </chartFormats>
  <pivotHierarchies count="2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sales_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6E8D71-365E-4382-AAF4-F955D25A4B4A}" name="PivotTable4" cacheId="3" applyNumberFormats="0" applyBorderFormats="0" applyFontFormats="0" applyPatternFormats="0" applyAlignmentFormats="0" applyWidthHeightFormats="1" dataCaption="Values" updatedVersion="8" minRefreshableVersion="3" useAutoFormatting="1" subtotalHiddenItems="1" itemPrintTitles="1" createdVersion="8" indent="0" outline="1" outlineData="1" multipleFieldFilters="0" chartFormat="20">
  <location ref="J3:L14" firstHeaderRow="0" firstDataRow="1" firstDataCol="1"/>
  <pivotFields count="4">
    <pivotField axis="axisRow" allDrilled="1" subtotalTop="0" showAll="0" dataSourceSort="1" defaultSubtotal="0" defaultAttributeDrillState="1">
      <items count="10">
        <item x="0"/>
        <item x="1"/>
        <item x="2"/>
        <item x="3"/>
        <item x="4"/>
        <item x="5"/>
        <item x="6"/>
        <item x="7"/>
        <item x="8"/>
        <item x="9"/>
      </items>
    </pivotField>
    <pivotField dataField="1" subtotalTop="0" showAll="0" defaultSubtotal="0"/>
    <pivotField dataField="1" subtotalTop="0" showAll="0" defaultSubtotal="0"/>
    <pivotField allDrilled="1" subtotalTop="0" showAll="0" dataSourceSort="1" defaultSubtotal="0" defaultAttributeDrillState="1"/>
  </pivotFields>
  <rowFields count="1">
    <field x="0"/>
  </rowFields>
  <rowItems count="11">
    <i>
      <x/>
    </i>
    <i>
      <x v="1"/>
    </i>
    <i>
      <x v="2"/>
    </i>
    <i>
      <x v="3"/>
    </i>
    <i>
      <x v="4"/>
    </i>
    <i>
      <x v="5"/>
    </i>
    <i>
      <x v="6"/>
    </i>
    <i>
      <x v="7"/>
    </i>
    <i>
      <x v="8"/>
    </i>
    <i>
      <x v="9"/>
    </i>
    <i t="grand">
      <x/>
    </i>
  </rowItems>
  <colFields count="1">
    <field x="-2"/>
  </colFields>
  <colItems count="2">
    <i>
      <x/>
    </i>
    <i i="1">
      <x v="1"/>
    </i>
  </colItems>
  <dataFields count="2">
    <dataField name="Sales" fld="1" baseField="0" baseItem="0"/>
    <dataField name="Profit" fld="2" baseField="0" baseItem="0" numFmtId="1"/>
  </dataFields>
  <formats count="2">
    <format dxfId="40">
      <pivotArea outline="0" collapsedLevelsAreSubtotals="1" fieldPosition="0">
        <references count="1">
          <reference field="4294967294" count="1" selected="0">
            <x v="1"/>
          </reference>
        </references>
      </pivotArea>
    </format>
    <format dxfId="16">
      <pivotArea outline="0" collapsedLevelsAreSubtotals="1" fieldPosition="0"/>
    </format>
  </formats>
  <chartFormats count="6">
    <chartFormat chart="17" format="13" series="1">
      <pivotArea type="data" outline="0" fieldPosition="0">
        <references count="1">
          <reference field="4294967294" count="1" selected="0">
            <x v="0"/>
          </reference>
        </references>
      </pivotArea>
    </chartFormat>
    <chartFormat chart="17" format="14" series="1">
      <pivotArea type="data" outline="0" fieldPosition="0">
        <references count="1">
          <reference field="4294967294" count="1" selected="0">
            <x v="1"/>
          </reference>
        </references>
      </pivotArea>
    </chartFormat>
    <chartFormat chart="18" format="15" series="1">
      <pivotArea type="data" outline="0" fieldPosition="0">
        <references count="1">
          <reference field="4294967294" count="1" selected="0">
            <x v="0"/>
          </reference>
        </references>
      </pivotArea>
    </chartFormat>
    <chartFormat chart="18" format="16" series="1">
      <pivotArea type="data" outline="0" fieldPosition="0">
        <references count="1">
          <reference field="4294967294" count="1" selected="0">
            <x v="1"/>
          </reference>
        </references>
      </pivotArea>
    </chartFormat>
    <chartFormat chart="19" format="19" series="1">
      <pivotArea type="data" outline="0" fieldPosition="0">
        <references count="1">
          <reference field="4294967294" count="1" selected="0">
            <x v="0"/>
          </reference>
        </references>
      </pivotArea>
    </chartFormat>
    <chartFormat chart="19" format="20" series="1">
      <pivotArea type="data" outline="0" fieldPosition="0">
        <references count="1">
          <reference field="4294967294" count="1" selected="0">
            <x v="1"/>
          </reference>
        </references>
      </pivotArea>
    </chartFormat>
  </chartFormats>
  <pivotHierarchies count="22">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caption="Sales"/>
    <pivotHierarchy dragToData="1" caption="Profit"/>
    <pivotHierarchy dragToData="1"/>
    <pivotHierarchy dragToData="1"/>
    <pivotHierarchy dragToData="1"/>
    <pivotHierarchy dragToRow="0" dragToCol="0" dragToPage="0" dragToData="1"/>
    <pivotHierarchy dragToRow="0" dragToCol="0" dragToPage="0" dragToData="1"/>
    <pivotHierarchy dragToRow="0" dragToCol="0" dragToPage="0" dragToData="1"/>
  </pivotHierarchies>
  <pivotTableStyleInfo name="PivotStyleLight16" showRowHeaders="1" showColHeaders="1" showRowStripes="0" showColStripes="0" showLastColumn="1"/>
  <rowHierarchiesUsage count="1">
    <rowHierarchyUsage hierarchyUsage="1"/>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ecommerce_sales_data]"/>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4020DE40-E1F9-46C7-8BEE-49A640B320CD}" autoFormatId="16" applyNumberFormats="0" applyBorderFormats="0" applyFontFormats="0" applyPatternFormats="0" applyAlignmentFormats="0" applyWidthHeightFormats="0">
  <queryTableRefresh nextId="19">
    <queryTableFields count="14">
      <queryTableField id="1" name="Order Date" tableColumnId="1"/>
      <queryTableField id="2" name="Product Name" tableColumnId="2"/>
      <queryTableField id="3" name="Category" tableColumnId="3"/>
      <queryTableField id="4" name="Region" tableColumnId="4"/>
      <queryTableField id="5" name="Quantity" tableColumnId="5"/>
      <queryTableField id="6" name="Sales" tableColumnId="6"/>
      <queryTableField id="7" name="Profit" tableColumnId="7"/>
      <queryTableField id="8" name="Year" tableColumnId="8"/>
      <queryTableField id="9" name="Month Name" tableColumnId="9"/>
      <queryTableField id="10" name="Profit Margin %" tableColumnId="10"/>
      <queryTableField id="15" name="Order Date (Year)" tableColumnId="11"/>
      <queryTableField id="16" name="Order Date (Quarter)" tableColumnId="12"/>
      <queryTableField id="17" name="Order Date (Month Index)" tableColumnId="13"/>
      <queryTableField id="18" name="Order Date (Month)" tableColumnId="14"/>
    </queryTableFields>
    <queryTableDeletedFields count="4">
      <deletedField name="Order Date (Month Index)"/>
      <deletedField name="Order Date (Quarter)"/>
      <deletedField name="Order Date (Month)"/>
      <deletedField name="Order Date (Year)"/>
    </queryTableDeletedFields>
  </queryTableRefresh>
  <extLst>
    <ext xmlns:x15="http://schemas.microsoft.com/office/spreadsheetml/2010/11/main" uri="{883FBD77-0823-4a55-B5E3-86C4891E6966}">
      <x15:queryTable sourceDataName="Query - ecommerce_sales_data"/>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rder_Date__Year" xr10:uid="{8283585B-F4EB-4614-8F83-6C191AC813D7}" sourceName="[ecommerce_sales_data].[Order Date (Year)]">
  <pivotTables>
    <pivotTable tabId="2" name="PivotTable1"/>
    <pivotTable tabId="2" name="PivotTable2"/>
    <pivotTable tabId="2" name="PivotTable3"/>
    <pivotTable tabId="2" name="PivotTable4"/>
    <pivotTable tabId="2" name="PivotTable5"/>
    <pivotTable tabId="2" name="PivotTable6"/>
    <pivotTable tabId="2" name="PivotTable7"/>
  </pivotTables>
  <data>
    <olap pivotCacheId="328596742">
      <levels count="2">
        <level uniqueName="[ecommerce_sales_data].[Order Date (Year)].[(All)]" sourceCaption="(All)" count="0"/>
        <level uniqueName="[ecommerce_sales_data].[Order Date (Year)].[Order Date (Year)]" sourceCaption="Order Date (Year)" count="3">
          <ranges>
            <range startItem="0">
              <i n="[ecommerce_sales_data].[Order Date (Year)].&amp;[2022]" c="2022"/>
              <i n="[ecommerce_sales_data].[Order Date (Year)].&amp;[2023]" c="2023"/>
              <i n="[ecommerce_sales_data].[Order Date (Year)].&amp;[2024]" c="2024"/>
            </range>
          </ranges>
        </level>
      </levels>
      <selections count="1">
        <selection n="[ecommerce_sales_data].[Order Date (Year)].[All]"/>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duct_Name" xr10:uid="{B92E7707-EFD4-44DE-832E-6525250560D8}" sourceName="[ecommerce_sales_data].[Product Name]">
  <pivotTables>
    <pivotTable tabId="2" name="PivotTable1"/>
    <pivotTable tabId="2" name="PivotTable2"/>
    <pivotTable tabId="2" name="PivotTable3"/>
    <pivotTable tabId="2" name="PivotTable4"/>
    <pivotTable tabId="2" name="PivotTable5"/>
    <pivotTable tabId="2" name="PivotTable6"/>
    <pivotTable tabId="2" name="PivotTable7"/>
  </pivotTables>
  <data>
    <olap pivotCacheId="328596742">
      <levels count="2">
        <level uniqueName="[ecommerce_sales_data].[Product Name].[(All)]" sourceCaption="(All)" count="0"/>
        <level uniqueName="[ecommerce_sales_data].[Product Name].[Product Name]" sourceCaption="Product Name" count="10">
          <ranges>
            <range startItem="0">
              <i n="[ecommerce_sales_data].[Product Name].&amp;[Camera]" c="Camera"/>
              <i n="[ecommerce_sales_data].[Product Name].&amp;[Headphones]" c="Headphones"/>
              <i n="[ecommerce_sales_data].[Product Name].&amp;[Keyboard]" c="Keyboard"/>
              <i n="[ecommerce_sales_data].[Product Name].&amp;[Laptop]" c="Laptop"/>
              <i n="[ecommerce_sales_data].[Product Name].&amp;[Monitor]" c="Monitor"/>
              <i n="[ecommerce_sales_data].[Product Name].&amp;[Mouse]" c="Mouse"/>
              <i n="[ecommerce_sales_data].[Product Name].&amp;[Printer]" c="Printer"/>
              <i n="[ecommerce_sales_data].[Product Name].&amp;[Smartphone]" c="Smartphone"/>
              <i n="[ecommerce_sales_data].[Product Name].&amp;[Smartwatch]" c="Smartwatch"/>
              <i n="[ecommerce_sales_data].[Product Name].&amp;[Tablet]" c="Tablet"/>
            </range>
          </ranges>
        </level>
      </levels>
      <selections count="1">
        <selection n="[ecommerce_sales_data].[Product Name].[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rder Date (Year) 1" xr10:uid="{C737D2F6-EA8E-40AA-9CAC-7FB2790725DE}" cache="Slicer_Order_Date__Year" caption="Order Year" level="1" style="SlicerStyleLight1 2" rowHeight="360000"/>
  <slicer name="Product Name 1" xr10:uid="{C470BEC0-CA00-4290-ADFE-C5054FB35CB5}" cache="Slicer_Product_Name" caption="Product Name" level="1" style="SlicerStyleLight1 2" rowHeight="32400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53C73F7-C90A-41A4-83F6-D8986E4E3BE5}" name="ecommerce_sales_data" displayName="ecommerce_sales_data" ref="A1:N3501" tableType="queryTable" totalsRowShown="0">
  <autoFilter ref="A1:N3501" xr:uid="{853C73F7-C90A-41A4-83F6-D8986E4E3BE5}"/>
  <tableColumns count="14">
    <tableColumn id="1" xr3:uid="{0D311A48-856B-4F85-B65D-8467C49E9F3B}" uniqueName="1" name="Order Date" queryTableFieldId="1" dataDxfId="46"/>
    <tableColumn id="2" xr3:uid="{4E31CFBF-39D3-4526-A6C3-45F4A84095D7}" uniqueName="2" name="Product Name" queryTableFieldId="2" dataDxfId="45"/>
    <tableColumn id="3" xr3:uid="{585714A9-2594-4B48-B629-16EFB988B59E}" uniqueName="3" name="Category" queryTableFieldId="3" dataDxfId="44"/>
    <tableColumn id="4" xr3:uid="{CC1FDEF4-32C1-4C63-86DF-288066C6D8B5}" uniqueName="4" name="Region" queryTableFieldId="4" dataDxfId="43"/>
    <tableColumn id="5" xr3:uid="{6086B2B9-ADBC-4899-8414-4196FB95987B}" uniqueName="5" name="Quantity" queryTableFieldId="5"/>
    <tableColumn id="6" xr3:uid="{CC6D9018-219D-4842-B275-6DA1D08B7567}" uniqueName="6" name="Sales" queryTableFieldId="6"/>
    <tableColumn id="7" xr3:uid="{53C824E7-E239-4705-AFEF-2C8355528BEC}" uniqueName="7" name="Profit" queryTableFieldId="7"/>
    <tableColumn id="8" xr3:uid="{C4E34933-7A0C-4FF8-8680-9196512FE419}" uniqueName="8" name="Year" queryTableFieldId="8"/>
    <tableColumn id="9" xr3:uid="{2FE008BE-004F-47B5-A531-FEC47F2BB340}" uniqueName="9" name="Month Name" queryTableFieldId="9" dataDxfId="42"/>
    <tableColumn id="10" xr3:uid="{762C0E8E-9B86-4509-B0C3-C02AE66CF839}" uniqueName="10" name="Profit Margin %" queryTableFieldId="10" dataDxfId="41" dataCellStyle="Percent"/>
    <tableColumn id="11" xr3:uid="{7936DFD4-0767-45CE-8542-98262425598B}" uniqueName="11" name="Order Date (Year)" queryTableFieldId="15" dataCellStyle="Percent"/>
    <tableColumn id="12" xr3:uid="{BBEBD177-1D15-4544-8F3C-83D541C3BB71}" uniqueName="12" name="Order Date (Quarter)" queryTableFieldId="16" dataCellStyle="Percent"/>
    <tableColumn id="13" xr3:uid="{193BDCCF-A84D-4B15-92DC-230312C7FE51}" uniqueName="13" name="Order Date (Month Index)" queryTableFieldId="17" dataCellStyle="Percent"/>
    <tableColumn id="14" xr3:uid="{E9632E00-B9E7-40B9-9307-81FCBA7507D9}" uniqueName="14" name="Order Date (Month)" queryTableFieldId="18" dataCellStyle="Percent"/>
  </tableColumns>
  <tableStyleInfo name="TableStyleMedium14"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openxmlformats.org/officeDocument/2006/relationships/pivotTable" Target="../pivotTables/pivotTable3.xml"/><Relationship Id="rId7" Type="http://schemas.openxmlformats.org/officeDocument/2006/relationships/pivotTable" Target="../pivotTables/pivotTable7.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5" Type="http://schemas.openxmlformats.org/officeDocument/2006/relationships/pivotTable" Target="../pivotTables/pivotTable5.xml"/><Relationship Id="rId4" Type="http://schemas.openxmlformats.org/officeDocument/2006/relationships/pivotTable" Target="../pivotTables/pivotTable4.xml"/></Relationships>
</file>

<file path=xl/worksheets/_rels/sheet3.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3501"/>
  <sheetViews>
    <sheetView workbookViewId="0">
      <selection activeCell="E1" sqref="E1"/>
    </sheetView>
  </sheetViews>
  <sheetFormatPr defaultRowHeight="14.4" x14ac:dyDescent="0.3"/>
  <cols>
    <col min="1" max="1" width="12.33203125" bestFit="1" customWidth="1"/>
    <col min="2" max="2" width="15.44140625" bestFit="1" customWidth="1"/>
    <col min="3" max="3" width="10.77734375" bestFit="1" customWidth="1"/>
    <col min="4" max="4" width="9" bestFit="1" customWidth="1"/>
    <col min="5" max="5" width="10.5546875" bestFit="1" customWidth="1"/>
    <col min="6" max="6" width="7.44140625" bestFit="1" customWidth="1"/>
    <col min="7" max="7" width="8" bestFit="1" customWidth="1"/>
    <col min="8" max="8" width="6.88671875" bestFit="1" customWidth="1"/>
    <col min="9" max="9" width="14.44140625" bestFit="1" customWidth="1"/>
    <col min="10" max="10" width="16.33203125" bestFit="1" customWidth="1"/>
    <col min="11" max="11" width="17.88671875" bestFit="1" customWidth="1"/>
    <col min="12" max="12" width="20.77734375" bestFit="1" customWidth="1"/>
    <col min="13" max="13" width="25.33203125" bestFit="1" customWidth="1"/>
    <col min="14" max="14" width="20.109375" bestFit="1" customWidth="1"/>
  </cols>
  <sheetData>
    <row r="1" spans="1:14" x14ac:dyDescent="0.3">
      <c r="A1" t="s">
        <v>0</v>
      </c>
      <c r="B1" t="s">
        <v>1</v>
      </c>
      <c r="C1" t="s">
        <v>2</v>
      </c>
      <c r="D1" t="s">
        <v>3</v>
      </c>
      <c r="E1" t="s">
        <v>4</v>
      </c>
      <c r="F1" t="s">
        <v>5</v>
      </c>
      <c r="G1" t="s">
        <v>6</v>
      </c>
      <c r="H1" t="s">
        <v>7</v>
      </c>
      <c r="I1" t="s">
        <v>8</v>
      </c>
      <c r="J1" t="s">
        <v>9</v>
      </c>
      <c r="K1" t="s">
        <v>48</v>
      </c>
      <c r="L1" t="s">
        <v>49</v>
      </c>
      <c r="M1" t="s">
        <v>50</v>
      </c>
      <c r="N1" t="s">
        <v>51</v>
      </c>
    </row>
    <row r="2" spans="1:14" x14ac:dyDescent="0.3">
      <c r="A2" s="1">
        <v>45261</v>
      </c>
      <c r="B2" t="s">
        <v>10</v>
      </c>
      <c r="C2" t="s">
        <v>11</v>
      </c>
      <c r="D2" t="s">
        <v>12</v>
      </c>
      <c r="E2">
        <v>1</v>
      </c>
      <c r="F2">
        <v>524</v>
      </c>
      <c r="G2">
        <v>106.35</v>
      </c>
      <c r="H2">
        <v>2023</v>
      </c>
      <c r="I2" t="s">
        <v>13</v>
      </c>
      <c r="J2" s="4">
        <v>0.202958015267176</v>
      </c>
      <c r="K2" t="s">
        <v>40</v>
      </c>
      <c r="L2" t="s">
        <v>52</v>
      </c>
      <c r="M2">
        <v>12</v>
      </c>
      <c r="N2" t="s">
        <v>53</v>
      </c>
    </row>
    <row r="3" spans="1:14" x14ac:dyDescent="0.3">
      <c r="A3" s="1">
        <v>45209</v>
      </c>
      <c r="B3" t="s">
        <v>10</v>
      </c>
      <c r="C3" t="s">
        <v>11</v>
      </c>
      <c r="D3" t="s">
        <v>12</v>
      </c>
      <c r="E3">
        <v>1</v>
      </c>
      <c r="F3">
        <v>570</v>
      </c>
      <c r="G3">
        <v>138.54</v>
      </c>
      <c r="H3">
        <v>2023</v>
      </c>
      <c r="I3" t="s">
        <v>14</v>
      </c>
      <c r="J3" s="4">
        <v>0.24305263157894699</v>
      </c>
      <c r="K3" t="s">
        <v>40</v>
      </c>
      <c r="L3" t="s">
        <v>52</v>
      </c>
      <c r="M3">
        <v>10</v>
      </c>
      <c r="N3" t="s">
        <v>54</v>
      </c>
    </row>
    <row r="4" spans="1:14" x14ac:dyDescent="0.3">
      <c r="A4" s="1">
        <v>45003</v>
      </c>
      <c r="B4" t="s">
        <v>10</v>
      </c>
      <c r="C4" t="s">
        <v>11</v>
      </c>
      <c r="D4" t="s">
        <v>12</v>
      </c>
      <c r="E4">
        <v>5</v>
      </c>
      <c r="F4">
        <v>3665</v>
      </c>
      <c r="G4">
        <v>406.93</v>
      </c>
      <c r="H4">
        <v>2023</v>
      </c>
      <c r="I4" t="s">
        <v>15</v>
      </c>
      <c r="J4" s="4">
        <v>0.11103137789904501</v>
      </c>
      <c r="K4" t="s">
        <v>40</v>
      </c>
      <c r="L4" t="s">
        <v>55</v>
      </c>
      <c r="M4">
        <v>3</v>
      </c>
      <c r="N4" t="s">
        <v>56</v>
      </c>
    </row>
    <row r="5" spans="1:14" x14ac:dyDescent="0.3">
      <c r="A5" s="1">
        <v>44983</v>
      </c>
      <c r="B5" t="s">
        <v>10</v>
      </c>
      <c r="C5" t="s">
        <v>11</v>
      </c>
      <c r="D5" t="s">
        <v>12</v>
      </c>
      <c r="E5">
        <v>5</v>
      </c>
      <c r="F5">
        <v>2025</v>
      </c>
      <c r="G5">
        <v>414.42</v>
      </c>
      <c r="H5">
        <v>2023</v>
      </c>
      <c r="I5" t="s">
        <v>16</v>
      </c>
      <c r="J5" s="4">
        <v>0.204651851851852</v>
      </c>
      <c r="K5" t="s">
        <v>40</v>
      </c>
      <c r="L5" t="s">
        <v>55</v>
      </c>
      <c r="M5">
        <v>2</v>
      </c>
      <c r="N5" t="s">
        <v>57</v>
      </c>
    </row>
    <row r="6" spans="1:14" x14ac:dyDescent="0.3">
      <c r="A6" s="1">
        <v>45277</v>
      </c>
      <c r="B6" t="s">
        <v>10</v>
      </c>
      <c r="C6" t="s">
        <v>11</v>
      </c>
      <c r="D6" t="s">
        <v>12</v>
      </c>
      <c r="E6">
        <v>7</v>
      </c>
      <c r="F6">
        <v>1904</v>
      </c>
      <c r="G6">
        <v>352.86</v>
      </c>
      <c r="H6">
        <v>2023</v>
      </c>
      <c r="I6" t="s">
        <v>13</v>
      </c>
      <c r="J6" s="4">
        <v>0.185325630252101</v>
      </c>
      <c r="K6" t="s">
        <v>40</v>
      </c>
      <c r="L6" t="s">
        <v>52</v>
      </c>
      <c r="M6">
        <v>12</v>
      </c>
      <c r="N6" t="s">
        <v>53</v>
      </c>
    </row>
    <row r="7" spans="1:14" x14ac:dyDescent="0.3">
      <c r="A7" s="1">
        <v>45248</v>
      </c>
      <c r="B7" t="s">
        <v>10</v>
      </c>
      <c r="C7" t="s">
        <v>11</v>
      </c>
      <c r="D7" t="s">
        <v>17</v>
      </c>
      <c r="E7">
        <v>6</v>
      </c>
      <c r="F7">
        <v>7164</v>
      </c>
      <c r="G7">
        <v>1442.72</v>
      </c>
      <c r="H7">
        <v>2023</v>
      </c>
      <c r="I7" t="s">
        <v>18</v>
      </c>
      <c r="J7" s="4">
        <v>0.201384701284199</v>
      </c>
      <c r="K7" t="s">
        <v>40</v>
      </c>
      <c r="L7" t="s">
        <v>52</v>
      </c>
      <c r="M7">
        <v>11</v>
      </c>
      <c r="N7" t="s">
        <v>58</v>
      </c>
    </row>
    <row r="8" spans="1:14" x14ac:dyDescent="0.3">
      <c r="A8" s="1">
        <v>45056</v>
      </c>
      <c r="B8" t="s">
        <v>10</v>
      </c>
      <c r="C8" t="s">
        <v>11</v>
      </c>
      <c r="D8" t="s">
        <v>19</v>
      </c>
      <c r="E8">
        <v>2</v>
      </c>
      <c r="F8">
        <v>2224</v>
      </c>
      <c r="G8">
        <v>364.04</v>
      </c>
      <c r="H8">
        <v>2023</v>
      </c>
      <c r="I8" t="s">
        <v>20</v>
      </c>
      <c r="J8" s="4">
        <v>0.16368705035971201</v>
      </c>
      <c r="K8" t="s">
        <v>40</v>
      </c>
      <c r="L8" t="s">
        <v>59</v>
      </c>
      <c r="M8">
        <v>5</v>
      </c>
      <c r="N8" t="s">
        <v>20</v>
      </c>
    </row>
    <row r="9" spans="1:14" x14ac:dyDescent="0.3">
      <c r="A9" s="1">
        <v>45198</v>
      </c>
      <c r="B9" t="s">
        <v>10</v>
      </c>
      <c r="C9" t="s">
        <v>11</v>
      </c>
      <c r="D9" t="s">
        <v>19</v>
      </c>
      <c r="E9">
        <v>2</v>
      </c>
      <c r="F9">
        <v>624</v>
      </c>
      <c r="G9">
        <v>139.63999999999999</v>
      </c>
      <c r="H9">
        <v>2023</v>
      </c>
      <c r="I9" t="s">
        <v>21</v>
      </c>
      <c r="J9" s="4">
        <v>0.223782051282051</v>
      </c>
      <c r="K9" t="s">
        <v>40</v>
      </c>
      <c r="L9" t="s">
        <v>60</v>
      </c>
      <c r="M9">
        <v>9</v>
      </c>
      <c r="N9" t="s">
        <v>61</v>
      </c>
    </row>
    <row r="10" spans="1:14" x14ac:dyDescent="0.3">
      <c r="A10" s="1">
        <v>45261</v>
      </c>
      <c r="B10" t="s">
        <v>10</v>
      </c>
      <c r="C10" t="s">
        <v>11</v>
      </c>
      <c r="D10" t="s">
        <v>22</v>
      </c>
      <c r="E10">
        <v>1</v>
      </c>
      <c r="F10">
        <v>508</v>
      </c>
      <c r="G10">
        <v>151.29</v>
      </c>
      <c r="H10">
        <v>2023</v>
      </c>
      <c r="I10" t="s">
        <v>13</v>
      </c>
      <c r="J10" s="4">
        <v>0.29781496062992102</v>
      </c>
      <c r="K10" t="s">
        <v>40</v>
      </c>
      <c r="L10" t="s">
        <v>52</v>
      </c>
      <c r="M10">
        <v>12</v>
      </c>
      <c r="N10" t="s">
        <v>53</v>
      </c>
    </row>
    <row r="11" spans="1:14" x14ac:dyDescent="0.3">
      <c r="A11" s="1">
        <v>45231</v>
      </c>
      <c r="B11" t="s">
        <v>10</v>
      </c>
      <c r="C11" t="s">
        <v>11</v>
      </c>
      <c r="D11" t="s">
        <v>17</v>
      </c>
      <c r="E11">
        <v>7</v>
      </c>
      <c r="F11">
        <v>1799</v>
      </c>
      <c r="G11">
        <v>274.11</v>
      </c>
      <c r="H11">
        <v>2023</v>
      </c>
      <c r="I11" t="s">
        <v>18</v>
      </c>
      <c r="J11" s="4">
        <v>0.15236798221233999</v>
      </c>
      <c r="K11" t="s">
        <v>40</v>
      </c>
      <c r="L11" t="s">
        <v>52</v>
      </c>
      <c r="M11">
        <v>11</v>
      </c>
      <c r="N11" t="s">
        <v>58</v>
      </c>
    </row>
    <row r="12" spans="1:14" x14ac:dyDescent="0.3">
      <c r="A12" s="1">
        <v>45222</v>
      </c>
      <c r="B12" t="s">
        <v>10</v>
      </c>
      <c r="C12" t="s">
        <v>11</v>
      </c>
      <c r="D12" t="s">
        <v>22</v>
      </c>
      <c r="E12">
        <v>2</v>
      </c>
      <c r="F12">
        <v>396</v>
      </c>
      <c r="G12">
        <v>94.55</v>
      </c>
      <c r="H12">
        <v>2023</v>
      </c>
      <c r="I12" t="s">
        <v>14</v>
      </c>
      <c r="J12" s="4">
        <v>0.23876262626262601</v>
      </c>
      <c r="K12" t="s">
        <v>40</v>
      </c>
      <c r="L12" t="s">
        <v>52</v>
      </c>
      <c r="M12">
        <v>10</v>
      </c>
      <c r="N12" t="s">
        <v>54</v>
      </c>
    </row>
    <row r="13" spans="1:14" x14ac:dyDescent="0.3">
      <c r="A13" s="1">
        <v>45037</v>
      </c>
      <c r="B13" t="s">
        <v>10</v>
      </c>
      <c r="C13" t="s">
        <v>11</v>
      </c>
      <c r="D13" t="s">
        <v>22</v>
      </c>
      <c r="E13">
        <v>5</v>
      </c>
      <c r="F13">
        <v>5155</v>
      </c>
      <c r="G13">
        <v>1325.16</v>
      </c>
      <c r="H13">
        <v>2023</v>
      </c>
      <c r="I13" t="s">
        <v>23</v>
      </c>
      <c r="J13" s="4">
        <v>0.25706304558680898</v>
      </c>
      <c r="K13" t="s">
        <v>40</v>
      </c>
      <c r="L13" t="s">
        <v>59</v>
      </c>
      <c r="M13">
        <v>4</v>
      </c>
      <c r="N13" t="s">
        <v>62</v>
      </c>
    </row>
    <row r="14" spans="1:14" x14ac:dyDescent="0.3">
      <c r="A14" s="1">
        <v>45175</v>
      </c>
      <c r="B14" t="s">
        <v>10</v>
      </c>
      <c r="C14" t="s">
        <v>11</v>
      </c>
      <c r="D14" t="s">
        <v>19</v>
      </c>
      <c r="E14">
        <v>8</v>
      </c>
      <c r="F14">
        <v>7240</v>
      </c>
      <c r="G14">
        <v>411.19</v>
      </c>
      <c r="H14">
        <v>2023</v>
      </c>
      <c r="I14" t="s">
        <v>21</v>
      </c>
      <c r="J14" s="4">
        <v>5.6794198895027598E-2</v>
      </c>
      <c r="K14" t="s">
        <v>40</v>
      </c>
      <c r="L14" t="s">
        <v>60</v>
      </c>
      <c r="M14">
        <v>9</v>
      </c>
      <c r="N14" t="s">
        <v>61</v>
      </c>
    </row>
    <row r="15" spans="1:14" x14ac:dyDescent="0.3">
      <c r="A15" s="1">
        <v>45075</v>
      </c>
      <c r="B15" t="s">
        <v>10</v>
      </c>
      <c r="C15" t="s">
        <v>11</v>
      </c>
      <c r="D15" t="s">
        <v>17</v>
      </c>
      <c r="E15">
        <v>9</v>
      </c>
      <c r="F15">
        <v>1053</v>
      </c>
      <c r="G15">
        <v>283.58</v>
      </c>
      <c r="H15">
        <v>2023</v>
      </c>
      <c r="I15" t="s">
        <v>20</v>
      </c>
      <c r="J15" s="4">
        <v>0.26930674264007598</v>
      </c>
      <c r="K15" t="s">
        <v>40</v>
      </c>
      <c r="L15" t="s">
        <v>59</v>
      </c>
      <c r="M15">
        <v>5</v>
      </c>
      <c r="N15" t="s">
        <v>20</v>
      </c>
    </row>
    <row r="16" spans="1:14" x14ac:dyDescent="0.3">
      <c r="A16" s="1">
        <v>45289</v>
      </c>
      <c r="B16" t="s">
        <v>10</v>
      </c>
      <c r="C16" t="s">
        <v>11</v>
      </c>
      <c r="D16" t="s">
        <v>12</v>
      </c>
      <c r="E16">
        <v>9</v>
      </c>
      <c r="F16">
        <v>9972</v>
      </c>
      <c r="G16">
        <v>2566.0100000000002</v>
      </c>
      <c r="H16">
        <v>2023</v>
      </c>
      <c r="I16" t="s">
        <v>13</v>
      </c>
      <c r="J16" s="4">
        <v>0.25732150020056199</v>
      </c>
      <c r="K16" t="s">
        <v>40</v>
      </c>
      <c r="L16" t="s">
        <v>52</v>
      </c>
      <c r="M16">
        <v>12</v>
      </c>
      <c r="N16" t="s">
        <v>53</v>
      </c>
    </row>
    <row r="17" spans="1:14" x14ac:dyDescent="0.3">
      <c r="A17" s="1">
        <v>44967</v>
      </c>
      <c r="B17" t="s">
        <v>10</v>
      </c>
      <c r="C17" t="s">
        <v>11</v>
      </c>
      <c r="D17" t="s">
        <v>12</v>
      </c>
      <c r="E17">
        <v>3</v>
      </c>
      <c r="F17">
        <v>225</v>
      </c>
      <c r="G17">
        <v>20.52</v>
      </c>
      <c r="H17">
        <v>2023</v>
      </c>
      <c r="I17" t="s">
        <v>16</v>
      </c>
      <c r="J17" s="4">
        <v>9.1200000000000003E-2</v>
      </c>
      <c r="K17" t="s">
        <v>40</v>
      </c>
      <c r="L17" t="s">
        <v>55</v>
      </c>
      <c r="M17">
        <v>2</v>
      </c>
      <c r="N17" t="s">
        <v>57</v>
      </c>
    </row>
    <row r="18" spans="1:14" x14ac:dyDescent="0.3">
      <c r="A18" s="1">
        <v>44992</v>
      </c>
      <c r="B18" t="s">
        <v>10</v>
      </c>
      <c r="C18" t="s">
        <v>11</v>
      </c>
      <c r="D18" t="s">
        <v>22</v>
      </c>
      <c r="E18">
        <v>1</v>
      </c>
      <c r="F18">
        <v>846</v>
      </c>
      <c r="G18">
        <v>103.3</v>
      </c>
      <c r="H18">
        <v>2023</v>
      </c>
      <c r="I18" t="s">
        <v>15</v>
      </c>
      <c r="J18" s="4">
        <v>0.12210401891253</v>
      </c>
      <c r="K18" t="s">
        <v>40</v>
      </c>
      <c r="L18" t="s">
        <v>55</v>
      </c>
      <c r="M18">
        <v>3</v>
      </c>
      <c r="N18" t="s">
        <v>56</v>
      </c>
    </row>
    <row r="19" spans="1:14" x14ac:dyDescent="0.3">
      <c r="A19" s="1">
        <v>45165</v>
      </c>
      <c r="B19" t="s">
        <v>10</v>
      </c>
      <c r="C19" t="s">
        <v>11</v>
      </c>
      <c r="D19" t="s">
        <v>19</v>
      </c>
      <c r="E19">
        <v>3</v>
      </c>
      <c r="F19">
        <v>3069</v>
      </c>
      <c r="G19">
        <v>503.3</v>
      </c>
      <c r="H19">
        <v>2023</v>
      </c>
      <c r="I19" t="s">
        <v>24</v>
      </c>
      <c r="J19" s="4">
        <v>0.16399478657543201</v>
      </c>
      <c r="K19" t="s">
        <v>40</v>
      </c>
      <c r="L19" t="s">
        <v>60</v>
      </c>
      <c r="M19">
        <v>8</v>
      </c>
      <c r="N19" t="s">
        <v>63</v>
      </c>
    </row>
    <row r="20" spans="1:14" x14ac:dyDescent="0.3">
      <c r="A20" s="1">
        <v>45182</v>
      </c>
      <c r="B20" t="s">
        <v>10</v>
      </c>
      <c r="C20" t="s">
        <v>11</v>
      </c>
      <c r="D20" t="s">
        <v>19</v>
      </c>
      <c r="E20">
        <v>9</v>
      </c>
      <c r="F20">
        <v>9009</v>
      </c>
      <c r="G20">
        <v>1909.26</v>
      </c>
      <c r="H20">
        <v>2023</v>
      </c>
      <c r="I20" t="s">
        <v>21</v>
      </c>
      <c r="J20" s="4">
        <v>0.211928071928072</v>
      </c>
      <c r="K20" t="s">
        <v>40</v>
      </c>
      <c r="L20" t="s">
        <v>60</v>
      </c>
      <c r="M20">
        <v>9</v>
      </c>
      <c r="N20" t="s">
        <v>61</v>
      </c>
    </row>
    <row r="21" spans="1:14" x14ac:dyDescent="0.3">
      <c r="A21" s="1">
        <v>45279</v>
      </c>
      <c r="B21" t="s">
        <v>10</v>
      </c>
      <c r="C21" t="s">
        <v>11</v>
      </c>
      <c r="D21" t="s">
        <v>17</v>
      </c>
      <c r="E21">
        <v>7</v>
      </c>
      <c r="F21">
        <v>7203</v>
      </c>
      <c r="G21">
        <v>523.52</v>
      </c>
      <c r="H21">
        <v>2023</v>
      </c>
      <c r="I21" t="s">
        <v>13</v>
      </c>
      <c r="J21" s="4">
        <v>7.2680827433014003E-2</v>
      </c>
      <c r="K21" t="s">
        <v>40</v>
      </c>
      <c r="L21" t="s">
        <v>52</v>
      </c>
      <c r="M21">
        <v>12</v>
      </c>
      <c r="N21" t="s">
        <v>53</v>
      </c>
    </row>
    <row r="22" spans="1:14" x14ac:dyDescent="0.3">
      <c r="A22" s="1">
        <v>45124</v>
      </c>
      <c r="B22" t="s">
        <v>10</v>
      </c>
      <c r="C22" t="s">
        <v>11</v>
      </c>
      <c r="D22" t="s">
        <v>12</v>
      </c>
      <c r="E22">
        <v>5</v>
      </c>
      <c r="F22">
        <v>4590</v>
      </c>
      <c r="G22">
        <v>347.14</v>
      </c>
      <c r="H22">
        <v>2023</v>
      </c>
      <c r="I22" t="s">
        <v>25</v>
      </c>
      <c r="J22" s="4">
        <v>7.5629629629629602E-2</v>
      </c>
      <c r="K22" t="s">
        <v>40</v>
      </c>
      <c r="L22" t="s">
        <v>60</v>
      </c>
      <c r="M22">
        <v>7</v>
      </c>
      <c r="N22" t="s">
        <v>64</v>
      </c>
    </row>
    <row r="23" spans="1:14" x14ac:dyDescent="0.3">
      <c r="A23" s="1">
        <v>45120</v>
      </c>
      <c r="B23" t="s">
        <v>10</v>
      </c>
      <c r="C23" t="s">
        <v>11</v>
      </c>
      <c r="D23" t="s">
        <v>19</v>
      </c>
      <c r="E23">
        <v>3</v>
      </c>
      <c r="F23">
        <v>2325</v>
      </c>
      <c r="G23">
        <v>309.49</v>
      </c>
      <c r="H23">
        <v>2023</v>
      </c>
      <c r="I23" t="s">
        <v>25</v>
      </c>
      <c r="J23" s="4">
        <v>0.133113978494624</v>
      </c>
      <c r="K23" t="s">
        <v>40</v>
      </c>
      <c r="L23" t="s">
        <v>60</v>
      </c>
      <c r="M23">
        <v>7</v>
      </c>
      <c r="N23" t="s">
        <v>64</v>
      </c>
    </row>
    <row r="24" spans="1:14" x14ac:dyDescent="0.3">
      <c r="A24" s="1">
        <v>45157</v>
      </c>
      <c r="B24" t="s">
        <v>10</v>
      </c>
      <c r="C24" t="s">
        <v>11</v>
      </c>
      <c r="D24" t="s">
        <v>19</v>
      </c>
      <c r="E24">
        <v>6</v>
      </c>
      <c r="F24">
        <v>1182</v>
      </c>
      <c r="G24">
        <v>236.12</v>
      </c>
      <c r="H24">
        <v>2023</v>
      </c>
      <c r="I24" t="s">
        <v>24</v>
      </c>
      <c r="J24" s="4">
        <v>0.19976311336717401</v>
      </c>
      <c r="K24" t="s">
        <v>40</v>
      </c>
      <c r="L24" t="s">
        <v>60</v>
      </c>
      <c r="M24">
        <v>8</v>
      </c>
      <c r="N24" t="s">
        <v>63</v>
      </c>
    </row>
    <row r="25" spans="1:14" x14ac:dyDescent="0.3">
      <c r="A25" s="1">
        <v>45183</v>
      </c>
      <c r="B25" t="s">
        <v>10</v>
      </c>
      <c r="C25" t="s">
        <v>11</v>
      </c>
      <c r="D25" t="s">
        <v>22</v>
      </c>
      <c r="E25">
        <v>7</v>
      </c>
      <c r="F25">
        <v>4151</v>
      </c>
      <c r="G25">
        <v>1047.43</v>
      </c>
      <c r="H25">
        <v>2023</v>
      </c>
      <c r="I25" t="s">
        <v>21</v>
      </c>
      <c r="J25" s="4">
        <v>0.25233196820043402</v>
      </c>
      <c r="K25" t="s">
        <v>40</v>
      </c>
      <c r="L25" t="s">
        <v>60</v>
      </c>
      <c r="M25">
        <v>9</v>
      </c>
      <c r="N25" t="s">
        <v>61</v>
      </c>
    </row>
    <row r="26" spans="1:14" x14ac:dyDescent="0.3">
      <c r="A26" s="1">
        <v>44977</v>
      </c>
      <c r="B26" t="s">
        <v>10</v>
      </c>
      <c r="C26" t="s">
        <v>11</v>
      </c>
      <c r="D26" t="s">
        <v>22</v>
      </c>
      <c r="E26">
        <v>3</v>
      </c>
      <c r="F26">
        <v>1770</v>
      </c>
      <c r="G26">
        <v>366.58</v>
      </c>
      <c r="H26">
        <v>2023</v>
      </c>
      <c r="I26" t="s">
        <v>16</v>
      </c>
      <c r="J26" s="4">
        <v>0.207107344632768</v>
      </c>
      <c r="K26" t="s">
        <v>40</v>
      </c>
      <c r="L26" t="s">
        <v>55</v>
      </c>
      <c r="M26">
        <v>2</v>
      </c>
      <c r="N26" t="s">
        <v>57</v>
      </c>
    </row>
    <row r="27" spans="1:14" x14ac:dyDescent="0.3">
      <c r="A27" s="1">
        <v>45066</v>
      </c>
      <c r="B27" t="s">
        <v>10</v>
      </c>
      <c r="C27" t="s">
        <v>11</v>
      </c>
      <c r="D27" t="s">
        <v>22</v>
      </c>
      <c r="E27">
        <v>6</v>
      </c>
      <c r="F27">
        <v>4302</v>
      </c>
      <c r="G27">
        <v>965.02</v>
      </c>
      <c r="H27">
        <v>2023</v>
      </c>
      <c r="I27" t="s">
        <v>20</v>
      </c>
      <c r="J27" s="4">
        <v>0.224318921431892</v>
      </c>
      <c r="K27" t="s">
        <v>40</v>
      </c>
      <c r="L27" t="s">
        <v>59</v>
      </c>
      <c r="M27">
        <v>5</v>
      </c>
      <c r="N27" t="s">
        <v>20</v>
      </c>
    </row>
    <row r="28" spans="1:14" x14ac:dyDescent="0.3">
      <c r="A28" s="1">
        <v>45279</v>
      </c>
      <c r="B28" t="s">
        <v>10</v>
      </c>
      <c r="C28" t="s">
        <v>11</v>
      </c>
      <c r="D28" t="s">
        <v>17</v>
      </c>
      <c r="E28">
        <v>3</v>
      </c>
      <c r="F28">
        <v>2988</v>
      </c>
      <c r="G28">
        <v>362.68</v>
      </c>
      <c r="H28">
        <v>2023</v>
      </c>
      <c r="I28" t="s">
        <v>13</v>
      </c>
      <c r="J28" s="4">
        <v>0.121378848728246</v>
      </c>
      <c r="K28" t="s">
        <v>40</v>
      </c>
      <c r="L28" t="s">
        <v>52</v>
      </c>
      <c r="M28">
        <v>12</v>
      </c>
      <c r="N28" t="s">
        <v>53</v>
      </c>
    </row>
    <row r="29" spans="1:14" x14ac:dyDescent="0.3">
      <c r="A29" s="1">
        <v>45212</v>
      </c>
      <c r="B29" t="s">
        <v>10</v>
      </c>
      <c r="C29" t="s">
        <v>11</v>
      </c>
      <c r="D29" t="s">
        <v>22</v>
      </c>
      <c r="E29">
        <v>4</v>
      </c>
      <c r="F29">
        <v>4484</v>
      </c>
      <c r="G29">
        <v>893.27</v>
      </c>
      <c r="H29">
        <v>2023</v>
      </c>
      <c r="I29" t="s">
        <v>14</v>
      </c>
      <c r="J29" s="4">
        <v>0.19921275646743999</v>
      </c>
      <c r="K29" t="s">
        <v>40</v>
      </c>
      <c r="L29" t="s">
        <v>52</v>
      </c>
      <c r="M29">
        <v>10</v>
      </c>
      <c r="N29" t="s">
        <v>54</v>
      </c>
    </row>
    <row r="30" spans="1:14" x14ac:dyDescent="0.3">
      <c r="A30" s="1">
        <v>45026</v>
      </c>
      <c r="B30" t="s">
        <v>10</v>
      </c>
      <c r="C30" t="s">
        <v>11</v>
      </c>
      <c r="D30" t="s">
        <v>19</v>
      </c>
      <c r="E30">
        <v>3</v>
      </c>
      <c r="F30">
        <v>684</v>
      </c>
      <c r="G30">
        <v>39.33</v>
      </c>
      <c r="H30">
        <v>2023</v>
      </c>
      <c r="I30" t="s">
        <v>23</v>
      </c>
      <c r="J30" s="4">
        <v>5.7500000000000002E-2</v>
      </c>
      <c r="K30" t="s">
        <v>40</v>
      </c>
      <c r="L30" t="s">
        <v>59</v>
      </c>
      <c r="M30">
        <v>4</v>
      </c>
      <c r="N30" t="s">
        <v>62</v>
      </c>
    </row>
    <row r="31" spans="1:14" x14ac:dyDescent="0.3">
      <c r="A31" s="1">
        <v>45039</v>
      </c>
      <c r="B31" t="s">
        <v>10</v>
      </c>
      <c r="C31" t="s">
        <v>11</v>
      </c>
      <c r="D31" t="s">
        <v>19</v>
      </c>
      <c r="E31">
        <v>7</v>
      </c>
      <c r="F31">
        <v>4403</v>
      </c>
      <c r="G31">
        <v>1295.8900000000001</v>
      </c>
      <c r="H31">
        <v>2023</v>
      </c>
      <c r="I31" t="s">
        <v>23</v>
      </c>
      <c r="J31" s="4">
        <v>0.294319781966841</v>
      </c>
      <c r="K31" t="s">
        <v>40</v>
      </c>
      <c r="L31" t="s">
        <v>59</v>
      </c>
      <c r="M31">
        <v>4</v>
      </c>
      <c r="N31" t="s">
        <v>62</v>
      </c>
    </row>
    <row r="32" spans="1:14" x14ac:dyDescent="0.3">
      <c r="A32" s="1">
        <v>45149</v>
      </c>
      <c r="B32" t="s">
        <v>10</v>
      </c>
      <c r="C32" t="s">
        <v>11</v>
      </c>
      <c r="D32" t="s">
        <v>22</v>
      </c>
      <c r="E32">
        <v>2</v>
      </c>
      <c r="F32">
        <v>122</v>
      </c>
      <c r="G32">
        <v>16.23</v>
      </c>
      <c r="H32">
        <v>2023</v>
      </c>
      <c r="I32" t="s">
        <v>24</v>
      </c>
      <c r="J32" s="4">
        <v>0.133032786885246</v>
      </c>
      <c r="K32" t="s">
        <v>40</v>
      </c>
      <c r="L32" t="s">
        <v>60</v>
      </c>
      <c r="M32">
        <v>8</v>
      </c>
      <c r="N32" t="s">
        <v>63</v>
      </c>
    </row>
    <row r="33" spans="1:14" x14ac:dyDescent="0.3">
      <c r="A33" s="1">
        <v>45139</v>
      </c>
      <c r="B33" t="s">
        <v>10</v>
      </c>
      <c r="C33" t="s">
        <v>11</v>
      </c>
      <c r="D33" t="s">
        <v>17</v>
      </c>
      <c r="E33">
        <v>9</v>
      </c>
      <c r="F33">
        <v>7533</v>
      </c>
      <c r="G33">
        <v>1285.72</v>
      </c>
      <c r="H33">
        <v>2023</v>
      </c>
      <c r="I33" t="s">
        <v>24</v>
      </c>
      <c r="J33" s="4">
        <v>0.17067834859949599</v>
      </c>
      <c r="K33" t="s">
        <v>40</v>
      </c>
      <c r="L33" t="s">
        <v>60</v>
      </c>
      <c r="M33">
        <v>8</v>
      </c>
      <c r="N33" t="s">
        <v>63</v>
      </c>
    </row>
    <row r="34" spans="1:14" x14ac:dyDescent="0.3">
      <c r="A34" s="1">
        <v>44996</v>
      </c>
      <c r="B34" t="s">
        <v>10</v>
      </c>
      <c r="C34" t="s">
        <v>11</v>
      </c>
      <c r="D34" t="s">
        <v>12</v>
      </c>
      <c r="E34">
        <v>4</v>
      </c>
      <c r="F34">
        <v>1956</v>
      </c>
      <c r="G34">
        <v>125.69</v>
      </c>
      <c r="H34">
        <v>2023</v>
      </c>
      <c r="I34" t="s">
        <v>15</v>
      </c>
      <c r="J34" s="4">
        <v>6.4258691206543997E-2</v>
      </c>
      <c r="K34" t="s">
        <v>40</v>
      </c>
      <c r="L34" t="s">
        <v>55</v>
      </c>
      <c r="M34">
        <v>3</v>
      </c>
      <c r="N34" t="s">
        <v>56</v>
      </c>
    </row>
    <row r="35" spans="1:14" x14ac:dyDescent="0.3">
      <c r="A35" s="1">
        <v>45120</v>
      </c>
      <c r="B35" t="s">
        <v>10</v>
      </c>
      <c r="C35" t="s">
        <v>11</v>
      </c>
      <c r="D35" t="s">
        <v>19</v>
      </c>
      <c r="E35">
        <v>2</v>
      </c>
      <c r="F35">
        <v>1114</v>
      </c>
      <c r="G35">
        <v>300.44</v>
      </c>
      <c r="H35">
        <v>2023</v>
      </c>
      <c r="I35" t="s">
        <v>25</v>
      </c>
      <c r="J35" s="4">
        <v>0.26969479353680398</v>
      </c>
      <c r="K35" t="s">
        <v>40</v>
      </c>
      <c r="L35" t="s">
        <v>60</v>
      </c>
      <c r="M35">
        <v>7</v>
      </c>
      <c r="N35" t="s">
        <v>64</v>
      </c>
    </row>
    <row r="36" spans="1:14" x14ac:dyDescent="0.3">
      <c r="A36" s="1">
        <v>45042</v>
      </c>
      <c r="B36" t="s">
        <v>10</v>
      </c>
      <c r="C36" t="s">
        <v>11</v>
      </c>
      <c r="D36" t="s">
        <v>12</v>
      </c>
      <c r="E36">
        <v>8</v>
      </c>
      <c r="F36">
        <v>8328</v>
      </c>
      <c r="G36">
        <v>466.38</v>
      </c>
      <c r="H36">
        <v>2023</v>
      </c>
      <c r="I36" t="s">
        <v>23</v>
      </c>
      <c r="J36" s="4">
        <v>5.6001440922190199E-2</v>
      </c>
      <c r="K36" t="s">
        <v>40</v>
      </c>
      <c r="L36" t="s">
        <v>59</v>
      </c>
      <c r="M36">
        <v>4</v>
      </c>
      <c r="N36" t="s">
        <v>62</v>
      </c>
    </row>
    <row r="37" spans="1:14" x14ac:dyDescent="0.3">
      <c r="A37" s="1">
        <v>45167</v>
      </c>
      <c r="B37" t="s">
        <v>10</v>
      </c>
      <c r="C37" t="s">
        <v>11</v>
      </c>
      <c r="D37" t="s">
        <v>17</v>
      </c>
      <c r="E37">
        <v>2</v>
      </c>
      <c r="F37">
        <v>744</v>
      </c>
      <c r="G37">
        <v>217.21</v>
      </c>
      <c r="H37">
        <v>2023</v>
      </c>
      <c r="I37" t="s">
        <v>24</v>
      </c>
      <c r="J37" s="4">
        <v>0.291948924731183</v>
      </c>
      <c r="K37" t="s">
        <v>40</v>
      </c>
      <c r="L37" t="s">
        <v>60</v>
      </c>
      <c r="M37">
        <v>8</v>
      </c>
      <c r="N37" t="s">
        <v>63</v>
      </c>
    </row>
    <row r="38" spans="1:14" x14ac:dyDescent="0.3">
      <c r="A38" s="1">
        <v>45182</v>
      </c>
      <c r="B38" t="s">
        <v>10</v>
      </c>
      <c r="C38" t="s">
        <v>11</v>
      </c>
      <c r="D38" t="s">
        <v>17</v>
      </c>
      <c r="E38">
        <v>4</v>
      </c>
      <c r="F38">
        <v>960</v>
      </c>
      <c r="G38">
        <v>255.24</v>
      </c>
      <c r="H38">
        <v>2023</v>
      </c>
      <c r="I38" t="s">
        <v>21</v>
      </c>
      <c r="J38" s="4">
        <v>0.26587499999999997</v>
      </c>
      <c r="K38" t="s">
        <v>40</v>
      </c>
      <c r="L38" t="s">
        <v>60</v>
      </c>
      <c r="M38">
        <v>9</v>
      </c>
      <c r="N38" t="s">
        <v>61</v>
      </c>
    </row>
    <row r="39" spans="1:14" x14ac:dyDescent="0.3">
      <c r="A39" s="1">
        <v>44937</v>
      </c>
      <c r="B39" t="s">
        <v>10</v>
      </c>
      <c r="C39" t="s">
        <v>11</v>
      </c>
      <c r="D39" t="s">
        <v>17</v>
      </c>
      <c r="E39">
        <v>5</v>
      </c>
      <c r="F39">
        <v>1580</v>
      </c>
      <c r="G39">
        <v>166.16</v>
      </c>
      <c r="H39">
        <v>2023</v>
      </c>
      <c r="I39" t="s">
        <v>26</v>
      </c>
      <c r="J39" s="4">
        <v>0.10516455696202499</v>
      </c>
      <c r="K39" t="s">
        <v>40</v>
      </c>
      <c r="L39" t="s">
        <v>55</v>
      </c>
      <c r="M39">
        <v>1</v>
      </c>
      <c r="N39" t="s">
        <v>65</v>
      </c>
    </row>
    <row r="40" spans="1:14" x14ac:dyDescent="0.3">
      <c r="A40" s="1">
        <v>45259</v>
      </c>
      <c r="B40" t="s">
        <v>10</v>
      </c>
      <c r="C40" t="s">
        <v>11</v>
      </c>
      <c r="D40" t="s">
        <v>19</v>
      </c>
      <c r="E40">
        <v>7</v>
      </c>
      <c r="F40">
        <v>5467</v>
      </c>
      <c r="G40">
        <v>556.02</v>
      </c>
      <c r="H40">
        <v>2023</v>
      </c>
      <c r="I40" t="s">
        <v>18</v>
      </c>
      <c r="J40" s="4">
        <v>0.10170477409914</v>
      </c>
      <c r="K40" t="s">
        <v>40</v>
      </c>
      <c r="L40" t="s">
        <v>52</v>
      </c>
      <c r="M40">
        <v>11</v>
      </c>
      <c r="N40" t="s">
        <v>58</v>
      </c>
    </row>
    <row r="41" spans="1:14" x14ac:dyDescent="0.3">
      <c r="A41" s="1">
        <v>45156</v>
      </c>
      <c r="B41" t="s">
        <v>10</v>
      </c>
      <c r="C41" t="s">
        <v>11</v>
      </c>
      <c r="D41" t="s">
        <v>22</v>
      </c>
      <c r="E41">
        <v>6</v>
      </c>
      <c r="F41">
        <v>1686</v>
      </c>
      <c r="G41">
        <v>426.72</v>
      </c>
      <c r="H41">
        <v>2023</v>
      </c>
      <c r="I41" t="s">
        <v>24</v>
      </c>
      <c r="J41" s="4">
        <v>0.25309608540925299</v>
      </c>
      <c r="K41" t="s">
        <v>40</v>
      </c>
      <c r="L41" t="s">
        <v>60</v>
      </c>
      <c r="M41">
        <v>8</v>
      </c>
      <c r="N41" t="s">
        <v>63</v>
      </c>
    </row>
    <row r="42" spans="1:14" x14ac:dyDescent="0.3">
      <c r="A42" s="1">
        <v>45269</v>
      </c>
      <c r="B42" t="s">
        <v>10</v>
      </c>
      <c r="C42" t="s">
        <v>11</v>
      </c>
      <c r="D42" t="s">
        <v>19</v>
      </c>
      <c r="E42">
        <v>1</v>
      </c>
      <c r="F42">
        <v>718</v>
      </c>
      <c r="G42">
        <v>169.09</v>
      </c>
      <c r="H42">
        <v>2023</v>
      </c>
      <c r="I42" t="s">
        <v>13</v>
      </c>
      <c r="J42" s="4">
        <v>0.23550139275765999</v>
      </c>
      <c r="K42" t="s">
        <v>40</v>
      </c>
      <c r="L42" t="s">
        <v>52</v>
      </c>
      <c r="M42">
        <v>12</v>
      </c>
      <c r="N42" t="s">
        <v>53</v>
      </c>
    </row>
    <row r="43" spans="1:14" x14ac:dyDescent="0.3">
      <c r="A43" s="1">
        <v>45093</v>
      </c>
      <c r="B43" t="s">
        <v>10</v>
      </c>
      <c r="C43" t="s">
        <v>11</v>
      </c>
      <c r="D43" t="s">
        <v>12</v>
      </c>
      <c r="E43">
        <v>3</v>
      </c>
      <c r="F43">
        <v>2220</v>
      </c>
      <c r="G43">
        <v>121.14</v>
      </c>
      <c r="H43">
        <v>2023</v>
      </c>
      <c r="I43" t="s">
        <v>27</v>
      </c>
      <c r="J43" s="4">
        <v>5.4567567567567601E-2</v>
      </c>
      <c r="K43" t="s">
        <v>40</v>
      </c>
      <c r="L43" t="s">
        <v>59</v>
      </c>
      <c r="M43">
        <v>6</v>
      </c>
      <c r="N43" t="s">
        <v>66</v>
      </c>
    </row>
    <row r="44" spans="1:14" x14ac:dyDescent="0.3">
      <c r="A44" s="1">
        <v>45008</v>
      </c>
      <c r="B44" t="s">
        <v>10</v>
      </c>
      <c r="C44" t="s">
        <v>11</v>
      </c>
      <c r="D44" t="s">
        <v>22</v>
      </c>
      <c r="E44">
        <v>7</v>
      </c>
      <c r="F44">
        <v>3451</v>
      </c>
      <c r="G44">
        <v>194.42</v>
      </c>
      <c r="H44">
        <v>2023</v>
      </c>
      <c r="I44" t="s">
        <v>15</v>
      </c>
      <c r="J44" s="4">
        <v>5.6337293538104898E-2</v>
      </c>
      <c r="K44" t="s">
        <v>40</v>
      </c>
      <c r="L44" t="s">
        <v>55</v>
      </c>
      <c r="M44">
        <v>3</v>
      </c>
      <c r="N44" t="s">
        <v>56</v>
      </c>
    </row>
    <row r="45" spans="1:14" x14ac:dyDescent="0.3">
      <c r="A45" s="1">
        <v>44927</v>
      </c>
      <c r="B45" t="s">
        <v>10</v>
      </c>
      <c r="C45" t="s">
        <v>11</v>
      </c>
      <c r="D45" t="s">
        <v>22</v>
      </c>
      <c r="E45">
        <v>5</v>
      </c>
      <c r="F45">
        <v>4470</v>
      </c>
      <c r="G45">
        <v>526.96</v>
      </c>
      <c r="H45">
        <v>2023</v>
      </c>
      <c r="I45" t="s">
        <v>26</v>
      </c>
      <c r="J45" s="4">
        <v>0.117888143176734</v>
      </c>
      <c r="K45" t="s">
        <v>40</v>
      </c>
      <c r="L45" t="s">
        <v>55</v>
      </c>
      <c r="M45">
        <v>1</v>
      </c>
      <c r="N45" t="s">
        <v>65</v>
      </c>
    </row>
    <row r="46" spans="1:14" x14ac:dyDescent="0.3">
      <c r="A46" s="1">
        <v>44938</v>
      </c>
      <c r="B46" t="s">
        <v>10</v>
      </c>
      <c r="C46" t="s">
        <v>11</v>
      </c>
      <c r="D46" t="s">
        <v>19</v>
      </c>
      <c r="E46">
        <v>8</v>
      </c>
      <c r="F46">
        <v>9392</v>
      </c>
      <c r="G46">
        <v>2651.84</v>
      </c>
      <c r="H46">
        <v>2023</v>
      </c>
      <c r="I46" t="s">
        <v>26</v>
      </c>
      <c r="J46" s="4">
        <v>0.28235093696763203</v>
      </c>
      <c r="K46" t="s">
        <v>40</v>
      </c>
      <c r="L46" t="s">
        <v>55</v>
      </c>
      <c r="M46">
        <v>1</v>
      </c>
      <c r="N46" t="s">
        <v>65</v>
      </c>
    </row>
    <row r="47" spans="1:14" x14ac:dyDescent="0.3">
      <c r="A47" s="1">
        <v>45149</v>
      </c>
      <c r="B47" t="s">
        <v>10</v>
      </c>
      <c r="C47" t="s">
        <v>11</v>
      </c>
      <c r="D47" t="s">
        <v>19</v>
      </c>
      <c r="E47">
        <v>2</v>
      </c>
      <c r="F47">
        <v>1104</v>
      </c>
      <c r="G47">
        <v>173.01</v>
      </c>
      <c r="H47">
        <v>2023</v>
      </c>
      <c r="I47" t="s">
        <v>24</v>
      </c>
      <c r="J47" s="4">
        <v>0.156711956521739</v>
      </c>
      <c r="K47" t="s">
        <v>40</v>
      </c>
      <c r="L47" t="s">
        <v>60</v>
      </c>
      <c r="M47">
        <v>8</v>
      </c>
      <c r="N47" t="s">
        <v>63</v>
      </c>
    </row>
    <row r="48" spans="1:14" x14ac:dyDescent="0.3">
      <c r="A48" s="1">
        <v>45108</v>
      </c>
      <c r="B48" t="s">
        <v>10</v>
      </c>
      <c r="C48" t="s">
        <v>11</v>
      </c>
      <c r="D48" t="s">
        <v>22</v>
      </c>
      <c r="E48">
        <v>9</v>
      </c>
      <c r="F48">
        <v>4887</v>
      </c>
      <c r="G48">
        <v>396.36</v>
      </c>
      <c r="H48">
        <v>2023</v>
      </c>
      <c r="I48" t="s">
        <v>25</v>
      </c>
      <c r="J48" s="4">
        <v>8.1104972375690601E-2</v>
      </c>
      <c r="K48" t="s">
        <v>40</v>
      </c>
      <c r="L48" t="s">
        <v>60</v>
      </c>
      <c r="M48">
        <v>7</v>
      </c>
      <c r="N48" t="s">
        <v>64</v>
      </c>
    </row>
    <row r="49" spans="1:14" x14ac:dyDescent="0.3">
      <c r="A49" s="1">
        <v>45272</v>
      </c>
      <c r="B49" t="s">
        <v>10</v>
      </c>
      <c r="C49" t="s">
        <v>11</v>
      </c>
      <c r="D49" t="s">
        <v>19</v>
      </c>
      <c r="E49">
        <v>2</v>
      </c>
      <c r="F49">
        <v>1026</v>
      </c>
      <c r="G49">
        <v>170.31</v>
      </c>
      <c r="H49">
        <v>2023</v>
      </c>
      <c r="I49" t="s">
        <v>13</v>
      </c>
      <c r="J49" s="4">
        <v>0.165994152046784</v>
      </c>
      <c r="K49" t="s">
        <v>40</v>
      </c>
      <c r="L49" t="s">
        <v>52</v>
      </c>
      <c r="M49">
        <v>12</v>
      </c>
      <c r="N49" t="s">
        <v>53</v>
      </c>
    </row>
    <row r="50" spans="1:14" x14ac:dyDescent="0.3">
      <c r="A50" s="1">
        <v>44933</v>
      </c>
      <c r="B50" t="s">
        <v>10</v>
      </c>
      <c r="C50" t="s">
        <v>11</v>
      </c>
      <c r="D50" t="s">
        <v>12</v>
      </c>
      <c r="E50">
        <v>5</v>
      </c>
      <c r="F50">
        <v>5440</v>
      </c>
      <c r="G50">
        <v>457.04</v>
      </c>
      <c r="H50">
        <v>2023</v>
      </c>
      <c r="I50" t="s">
        <v>26</v>
      </c>
      <c r="J50" s="4">
        <v>8.4014705882353005E-2</v>
      </c>
      <c r="K50" t="s">
        <v>40</v>
      </c>
      <c r="L50" t="s">
        <v>55</v>
      </c>
      <c r="M50">
        <v>1</v>
      </c>
      <c r="N50" t="s">
        <v>65</v>
      </c>
    </row>
    <row r="51" spans="1:14" x14ac:dyDescent="0.3">
      <c r="A51" s="1">
        <v>45222</v>
      </c>
      <c r="B51" t="s">
        <v>10</v>
      </c>
      <c r="C51" t="s">
        <v>11</v>
      </c>
      <c r="D51" t="s">
        <v>22</v>
      </c>
      <c r="E51">
        <v>9</v>
      </c>
      <c r="F51">
        <v>3780</v>
      </c>
      <c r="G51">
        <v>724.36</v>
      </c>
      <c r="H51">
        <v>2023</v>
      </c>
      <c r="I51" t="s">
        <v>14</v>
      </c>
      <c r="J51" s="4">
        <v>0.19162962962963001</v>
      </c>
      <c r="K51" t="s">
        <v>40</v>
      </c>
      <c r="L51" t="s">
        <v>52</v>
      </c>
      <c r="M51">
        <v>10</v>
      </c>
      <c r="N51" t="s">
        <v>54</v>
      </c>
    </row>
    <row r="52" spans="1:14" x14ac:dyDescent="0.3">
      <c r="A52" s="1">
        <v>44998</v>
      </c>
      <c r="B52" t="s">
        <v>10</v>
      </c>
      <c r="C52" t="s">
        <v>11</v>
      </c>
      <c r="D52" t="s">
        <v>22</v>
      </c>
      <c r="E52">
        <v>8</v>
      </c>
      <c r="F52">
        <v>1088</v>
      </c>
      <c r="G52">
        <v>160.33000000000001</v>
      </c>
      <c r="H52">
        <v>2023</v>
      </c>
      <c r="I52" t="s">
        <v>15</v>
      </c>
      <c r="J52" s="4">
        <v>0.14736213235294099</v>
      </c>
      <c r="K52" t="s">
        <v>40</v>
      </c>
      <c r="L52" t="s">
        <v>55</v>
      </c>
      <c r="M52">
        <v>3</v>
      </c>
      <c r="N52" t="s">
        <v>56</v>
      </c>
    </row>
    <row r="53" spans="1:14" x14ac:dyDescent="0.3">
      <c r="A53" s="1">
        <v>44963</v>
      </c>
      <c r="B53" t="s">
        <v>10</v>
      </c>
      <c r="C53" t="s">
        <v>11</v>
      </c>
      <c r="D53" t="s">
        <v>19</v>
      </c>
      <c r="E53">
        <v>7</v>
      </c>
      <c r="F53">
        <v>5159</v>
      </c>
      <c r="G53">
        <v>755.22</v>
      </c>
      <c r="H53">
        <v>2023</v>
      </c>
      <c r="I53" t="s">
        <v>16</v>
      </c>
      <c r="J53" s="4">
        <v>0.146388835045551</v>
      </c>
      <c r="K53" t="s">
        <v>40</v>
      </c>
      <c r="L53" t="s">
        <v>55</v>
      </c>
      <c r="M53">
        <v>2</v>
      </c>
      <c r="N53" t="s">
        <v>57</v>
      </c>
    </row>
    <row r="54" spans="1:14" x14ac:dyDescent="0.3">
      <c r="A54" s="1">
        <v>45278</v>
      </c>
      <c r="B54" t="s">
        <v>10</v>
      </c>
      <c r="C54" t="s">
        <v>11</v>
      </c>
      <c r="D54" t="s">
        <v>22</v>
      </c>
      <c r="E54">
        <v>2</v>
      </c>
      <c r="F54">
        <v>2158</v>
      </c>
      <c r="G54">
        <v>483.94</v>
      </c>
      <c r="H54">
        <v>2023</v>
      </c>
      <c r="I54" t="s">
        <v>13</v>
      </c>
      <c r="J54" s="4">
        <v>0.224253938832252</v>
      </c>
      <c r="K54" t="s">
        <v>40</v>
      </c>
      <c r="L54" t="s">
        <v>52</v>
      </c>
      <c r="M54">
        <v>12</v>
      </c>
      <c r="N54" t="s">
        <v>53</v>
      </c>
    </row>
    <row r="55" spans="1:14" x14ac:dyDescent="0.3">
      <c r="A55" s="1">
        <v>45146</v>
      </c>
      <c r="B55" t="s">
        <v>10</v>
      </c>
      <c r="C55" t="s">
        <v>11</v>
      </c>
      <c r="D55" t="s">
        <v>12</v>
      </c>
      <c r="E55">
        <v>6</v>
      </c>
      <c r="F55">
        <v>5106</v>
      </c>
      <c r="G55">
        <v>1341.93</v>
      </c>
      <c r="H55">
        <v>2023</v>
      </c>
      <c r="I55" t="s">
        <v>24</v>
      </c>
      <c r="J55" s="4">
        <v>0.26281433607520599</v>
      </c>
      <c r="K55" t="s">
        <v>40</v>
      </c>
      <c r="L55" t="s">
        <v>60</v>
      </c>
      <c r="M55">
        <v>8</v>
      </c>
      <c r="N55" t="s">
        <v>63</v>
      </c>
    </row>
    <row r="56" spans="1:14" x14ac:dyDescent="0.3">
      <c r="A56" s="1">
        <v>45158</v>
      </c>
      <c r="B56" t="s">
        <v>10</v>
      </c>
      <c r="C56" t="s">
        <v>11</v>
      </c>
      <c r="D56" t="s">
        <v>17</v>
      </c>
      <c r="E56">
        <v>7</v>
      </c>
      <c r="F56">
        <v>3101</v>
      </c>
      <c r="G56">
        <v>926.09</v>
      </c>
      <c r="H56">
        <v>2023</v>
      </c>
      <c r="I56" t="s">
        <v>24</v>
      </c>
      <c r="J56" s="4">
        <v>0.29864237342792599</v>
      </c>
      <c r="K56" t="s">
        <v>40</v>
      </c>
      <c r="L56" t="s">
        <v>60</v>
      </c>
      <c r="M56">
        <v>8</v>
      </c>
      <c r="N56" t="s">
        <v>63</v>
      </c>
    </row>
    <row r="57" spans="1:14" x14ac:dyDescent="0.3">
      <c r="A57" s="1">
        <v>45250</v>
      </c>
      <c r="B57" t="s">
        <v>10</v>
      </c>
      <c r="C57" t="s">
        <v>11</v>
      </c>
      <c r="D57" t="s">
        <v>22</v>
      </c>
      <c r="E57">
        <v>2</v>
      </c>
      <c r="F57">
        <v>2324</v>
      </c>
      <c r="G57">
        <v>516.05999999999995</v>
      </c>
      <c r="H57">
        <v>2023</v>
      </c>
      <c r="I57" t="s">
        <v>18</v>
      </c>
      <c r="J57" s="4">
        <v>0.22205679862306399</v>
      </c>
      <c r="K57" t="s">
        <v>40</v>
      </c>
      <c r="L57" t="s">
        <v>52</v>
      </c>
      <c r="M57">
        <v>11</v>
      </c>
      <c r="N57" t="s">
        <v>58</v>
      </c>
    </row>
    <row r="58" spans="1:14" x14ac:dyDescent="0.3">
      <c r="A58" s="1">
        <v>45191</v>
      </c>
      <c r="B58" t="s">
        <v>10</v>
      </c>
      <c r="C58" t="s">
        <v>11</v>
      </c>
      <c r="D58" t="s">
        <v>22</v>
      </c>
      <c r="E58">
        <v>3</v>
      </c>
      <c r="F58">
        <v>588</v>
      </c>
      <c r="G58">
        <v>100.52</v>
      </c>
      <c r="H58">
        <v>2023</v>
      </c>
      <c r="I58" t="s">
        <v>21</v>
      </c>
      <c r="J58" s="4">
        <v>0.17095238095238099</v>
      </c>
      <c r="K58" t="s">
        <v>40</v>
      </c>
      <c r="L58" t="s">
        <v>60</v>
      </c>
      <c r="M58">
        <v>9</v>
      </c>
      <c r="N58" t="s">
        <v>61</v>
      </c>
    </row>
    <row r="59" spans="1:14" x14ac:dyDescent="0.3">
      <c r="A59" s="1">
        <v>45008</v>
      </c>
      <c r="B59" t="s">
        <v>10</v>
      </c>
      <c r="C59" t="s">
        <v>11</v>
      </c>
      <c r="D59" t="s">
        <v>17</v>
      </c>
      <c r="E59">
        <v>7</v>
      </c>
      <c r="F59">
        <v>6461</v>
      </c>
      <c r="G59">
        <v>1455.36</v>
      </c>
      <c r="H59">
        <v>2023</v>
      </c>
      <c r="I59" t="s">
        <v>15</v>
      </c>
      <c r="J59" s="4">
        <v>0.225253056802353</v>
      </c>
      <c r="K59" t="s">
        <v>40</v>
      </c>
      <c r="L59" t="s">
        <v>55</v>
      </c>
      <c r="M59">
        <v>3</v>
      </c>
      <c r="N59" t="s">
        <v>56</v>
      </c>
    </row>
    <row r="60" spans="1:14" x14ac:dyDescent="0.3">
      <c r="A60" s="1">
        <v>45003</v>
      </c>
      <c r="B60" t="s">
        <v>10</v>
      </c>
      <c r="C60" t="s">
        <v>11</v>
      </c>
      <c r="D60" t="s">
        <v>17</v>
      </c>
      <c r="E60">
        <v>3</v>
      </c>
      <c r="F60">
        <v>2805</v>
      </c>
      <c r="G60">
        <v>749.5</v>
      </c>
      <c r="H60">
        <v>2023</v>
      </c>
      <c r="I60" t="s">
        <v>15</v>
      </c>
      <c r="J60" s="4">
        <v>0.267201426024955</v>
      </c>
      <c r="K60" t="s">
        <v>40</v>
      </c>
      <c r="L60" t="s">
        <v>55</v>
      </c>
      <c r="M60">
        <v>3</v>
      </c>
      <c r="N60" t="s">
        <v>56</v>
      </c>
    </row>
    <row r="61" spans="1:14" x14ac:dyDescent="0.3">
      <c r="A61" s="1">
        <v>45208</v>
      </c>
      <c r="B61" t="s">
        <v>10</v>
      </c>
      <c r="C61" t="s">
        <v>11</v>
      </c>
      <c r="D61" t="s">
        <v>12</v>
      </c>
      <c r="E61">
        <v>3</v>
      </c>
      <c r="F61">
        <v>1821</v>
      </c>
      <c r="G61">
        <v>543.01</v>
      </c>
      <c r="H61">
        <v>2023</v>
      </c>
      <c r="I61" t="s">
        <v>14</v>
      </c>
      <c r="J61" s="4">
        <v>0.298193300384404</v>
      </c>
      <c r="K61" t="s">
        <v>40</v>
      </c>
      <c r="L61" t="s">
        <v>52</v>
      </c>
      <c r="M61">
        <v>10</v>
      </c>
      <c r="N61" t="s">
        <v>54</v>
      </c>
    </row>
    <row r="62" spans="1:14" x14ac:dyDescent="0.3">
      <c r="A62" s="1">
        <v>45102</v>
      </c>
      <c r="B62" t="s">
        <v>10</v>
      </c>
      <c r="C62" t="s">
        <v>11</v>
      </c>
      <c r="D62" t="s">
        <v>19</v>
      </c>
      <c r="E62">
        <v>3</v>
      </c>
      <c r="F62">
        <v>1029</v>
      </c>
      <c r="G62">
        <v>206.83</v>
      </c>
      <c r="H62">
        <v>2023</v>
      </c>
      <c r="I62" t="s">
        <v>27</v>
      </c>
      <c r="J62" s="4">
        <v>0.20100097181729801</v>
      </c>
      <c r="K62" t="s">
        <v>40</v>
      </c>
      <c r="L62" t="s">
        <v>59</v>
      </c>
      <c r="M62">
        <v>6</v>
      </c>
      <c r="N62" t="s">
        <v>66</v>
      </c>
    </row>
    <row r="63" spans="1:14" x14ac:dyDescent="0.3">
      <c r="A63" s="1">
        <v>44948</v>
      </c>
      <c r="B63" t="s">
        <v>10</v>
      </c>
      <c r="C63" t="s">
        <v>11</v>
      </c>
      <c r="D63" t="s">
        <v>19</v>
      </c>
      <c r="E63">
        <v>6</v>
      </c>
      <c r="F63">
        <v>4542</v>
      </c>
      <c r="G63">
        <v>1169.1600000000001</v>
      </c>
      <c r="H63">
        <v>2023</v>
      </c>
      <c r="I63" t="s">
        <v>26</v>
      </c>
      <c r="J63" s="4">
        <v>0.257410832232497</v>
      </c>
      <c r="K63" t="s">
        <v>40</v>
      </c>
      <c r="L63" t="s">
        <v>55</v>
      </c>
      <c r="M63">
        <v>1</v>
      </c>
      <c r="N63" t="s">
        <v>65</v>
      </c>
    </row>
    <row r="64" spans="1:14" x14ac:dyDescent="0.3">
      <c r="A64" s="1">
        <v>45250</v>
      </c>
      <c r="B64" t="s">
        <v>10</v>
      </c>
      <c r="C64" t="s">
        <v>11</v>
      </c>
      <c r="D64" t="s">
        <v>22</v>
      </c>
      <c r="E64">
        <v>7</v>
      </c>
      <c r="F64">
        <v>3962</v>
      </c>
      <c r="G64">
        <v>916.13</v>
      </c>
      <c r="H64">
        <v>2023</v>
      </c>
      <c r="I64" t="s">
        <v>18</v>
      </c>
      <c r="J64" s="4">
        <v>0.23122917718324101</v>
      </c>
      <c r="K64" t="s">
        <v>40</v>
      </c>
      <c r="L64" t="s">
        <v>52</v>
      </c>
      <c r="M64">
        <v>11</v>
      </c>
      <c r="N64" t="s">
        <v>58</v>
      </c>
    </row>
    <row r="65" spans="1:14" x14ac:dyDescent="0.3">
      <c r="A65" s="1">
        <v>45056</v>
      </c>
      <c r="B65" t="s">
        <v>10</v>
      </c>
      <c r="C65" t="s">
        <v>11</v>
      </c>
      <c r="D65" t="s">
        <v>22</v>
      </c>
      <c r="E65">
        <v>7</v>
      </c>
      <c r="F65">
        <v>5831</v>
      </c>
      <c r="G65">
        <v>1416.31</v>
      </c>
      <c r="H65">
        <v>2023</v>
      </c>
      <c r="I65" t="s">
        <v>20</v>
      </c>
      <c r="J65" s="4">
        <v>0.242893157262905</v>
      </c>
      <c r="K65" t="s">
        <v>40</v>
      </c>
      <c r="L65" t="s">
        <v>59</v>
      </c>
      <c r="M65">
        <v>5</v>
      </c>
      <c r="N65" t="s">
        <v>20</v>
      </c>
    </row>
    <row r="66" spans="1:14" x14ac:dyDescent="0.3">
      <c r="A66" s="1">
        <v>45042</v>
      </c>
      <c r="B66" t="s">
        <v>10</v>
      </c>
      <c r="C66" t="s">
        <v>11</v>
      </c>
      <c r="D66" t="s">
        <v>12</v>
      </c>
      <c r="E66">
        <v>3</v>
      </c>
      <c r="F66">
        <v>417</v>
      </c>
      <c r="G66">
        <v>114.42</v>
      </c>
      <c r="H66">
        <v>2023</v>
      </c>
      <c r="I66" t="s">
        <v>23</v>
      </c>
      <c r="J66" s="4">
        <v>0.27438848920863301</v>
      </c>
      <c r="K66" t="s">
        <v>40</v>
      </c>
      <c r="L66" t="s">
        <v>59</v>
      </c>
      <c r="M66">
        <v>4</v>
      </c>
      <c r="N66" t="s">
        <v>62</v>
      </c>
    </row>
    <row r="67" spans="1:14" x14ac:dyDescent="0.3">
      <c r="A67" s="1">
        <v>45157</v>
      </c>
      <c r="B67" t="s">
        <v>10</v>
      </c>
      <c r="C67" t="s">
        <v>11</v>
      </c>
      <c r="D67" t="s">
        <v>22</v>
      </c>
      <c r="E67">
        <v>4</v>
      </c>
      <c r="F67">
        <v>296</v>
      </c>
      <c r="G67">
        <v>44.79</v>
      </c>
      <c r="H67">
        <v>2023</v>
      </c>
      <c r="I67" t="s">
        <v>24</v>
      </c>
      <c r="J67" s="4">
        <v>0.15131756756756801</v>
      </c>
      <c r="K67" t="s">
        <v>40</v>
      </c>
      <c r="L67" t="s">
        <v>60</v>
      </c>
      <c r="M67">
        <v>8</v>
      </c>
      <c r="N67" t="s">
        <v>63</v>
      </c>
    </row>
    <row r="68" spans="1:14" x14ac:dyDescent="0.3">
      <c r="A68" s="1">
        <v>45238</v>
      </c>
      <c r="B68" t="s">
        <v>10</v>
      </c>
      <c r="C68" t="s">
        <v>11</v>
      </c>
      <c r="D68" t="s">
        <v>22</v>
      </c>
      <c r="E68">
        <v>7</v>
      </c>
      <c r="F68">
        <v>2240</v>
      </c>
      <c r="G68">
        <v>580.47</v>
      </c>
      <c r="H68">
        <v>2023</v>
      </c>
      <c r="I68" t="s">
        <v>18</v>
      </c>
      <c r="J68" s="4">
        <v>0.25913839285714302</v>
      </c>
      <c r="K68" t="s">
        <v>40</v>
      </c>
      <c r="L68" t="s">
        <v>52</v>
      </c>
      <c r="M68">
        <v>11</v>
      </c>
      <c r="N68" t="s">
        <v>58</v>
      </c>
    </row>
    <row r="69" spans="1:14" x14ac:dyDescent="0.3">
      <c r="A69" s="1">
        <v>45077</v>
      </c>
      <c r="B69" t="s">
        <v>10</v>
      </c>
      <c r="C69" t="s">
        <v>11</v>
      </c>
      <c r="D69" t="s">
        <v>22</v>
      </c>
      <c r="E69">
        <v>1</v>
      </c>
      <c r="F69">
        <v>182</v>
      </c>
      <c r="G69">
        <v>30.97</v>
      </c>
      <c r="H69">
        <v>2023</v>
      </c>
      <c r="I69" t="s">
        <v>20</v>
      </c>
      <c r="J69" s="4">
        <v>0.17016483516483499</v>
      </c>
      <c r="K69" t="s">
        <v>40</v>
      </c>
      <c r="L69" t="s">
        <v>59</v>
      </c>
      <c r="M69">
        <v>5</v>
      </c>
      <c r="N69" t="s">
        <v>20</v>
      </c>
    </row>
    <row r="70" spans="1:14" x14ac:dyDescent="0.3">
      <c r="A70" s="1">
        <v>45124</v>
      </c>
      <c r="B70" t="s">
        <v>10</v>
      </c>
      <c r="C70" t="s">
        <v>11</v>
      </c>
      <c r="D70" t="s">
        <v>19</v>
      </c>
      <c r="E70">
        <v>6</v>
      </c>
      <c r="F70">
        <v>4140</v>
      </c>
      <c r="G70">
        <v>451.27</v>
      </c>
      <c r="H70">
        <v>2023</v>
      </c>
      <c r="I70" t="s">
        <v>25</v>
      </c>
      <c r="J70" s="4">
        <v>0.109002415458937</v>
      </c>
      <c r="K70" t="s">
        <v>40</v>
      </c>
      <c r="L70" t="s">
        <v>60</v>
      </c>
      <c r="M70">
        <v>7</v>
      </c>
      <c r="N70" t="s">
        <v>64</v>
      </c>
    </row>
    <row r="71" spans="1:14" x14ac:dyDescent="0.3">
      <c r="A71" s="1">
        <v>45075</v>
      </c>
      <c r="B71" t="s">
        <v>10</v>
      </c>
      <c r="C71" t="s">
        <v>11</v>
      </c>
      <c r="D71" t="s">
        <v>22</v>
      </c>
      <c r="E71">
        <v>6</v>
      </c>
      <c r="F71">
        <v>6234</v>
      </c>
      <c r="G71">
        <v>758.78</v>
      </c>
      <c r="H71">
        <v>2023</v>
      </c>
      <c r="I71" t="s">
        <v>20</v>
      </c>
      <c r="J71" s="4">
        <v>0.12171639396856</v>
      </c>
      <c r="K71" t="s">
        <v>40</v>
      </c>
      <c r="L71" t="s">
        <v>59</v>
      </c>
      <c r="M71">
        <v>5</v>
      </c>
      <c r="N71" t="s">
        <v>20</v>
      </c>
    </row>
    <row r="72" spans="1:14" x14ac:dyDescent="0.3">
      <c r="A72" s="1">
        <v>45202</v>
      </c>
      <c r="B72" t="s">
        <v>10</v>
      </c>
      <c r="C72" t="s">
        <v>11</v>
      </c>
      <c r="D72" t="s">
        <v>22</v>
      </c>
      <c r="E72">
        <v>4</v>
      </c>
      <c r="F72">
        <v>4480</v>
      </c>
      <c r="G72">
        <v>592.82000000000005</v>
      </c>
      <c r="H72">
        <v>2023</v>
      </c>
      <c r="I72" t="s">
        <v>14</v>
      </c>
      <c r="J72" s="4">
        <v>0.132325892857143</v>
      </c>
      <c r="K72" t="s">
        <v>40</v>
      </c>
      <c r="L72" t="s">
        <v>52</v>
      </c>
      <c r="M72">
        <v>10</v>
      </c>
      <c r="N72" t="s">
        <v>54</v>
      </c>
    </row>
    <row r="73" spans="1:14" x14ac:dyDescent="0.3">
      <c r="A73" s="1">
        <v>45265</v>
      </c>
      <c r="B73" t="s">
        <v>10</v>
      </c>
      <c r="C73" t="s">
        <v>11</v>
      </c>
      <c r="D73" t="s">
        <v>19</v>
      </c>
      <c r="E73">
        <v>1</v>
      </c>
      <c r="F73">
        <v>157</v>
      </c>
      <c r="G73">
        <v>27.65</v>
      </c>
      <c r="H73">
        <v>2023</v>
      </c>
      <c r="I73" t="s">
        <v>13</v>
      </c>
      <c r="J73" s="4">
        <v>0.17611464968152901</v>
      </c>
      <c r="K73" t="s">
        <v>40</v>
      </c>
      <c r="L73" t="s">
        <v>52</v>
      </c>
      <c r="M73">
        <v>12</v>
      </c>
      <c r="N73" t="s">
        <v>53</v>
      </c>
    </row>
    <row r="74" spans="1:14" x14ac:dyDescent="0.3">
      <c r="A74" s="1">
        <v>45140</v>
      </c>
      <c r="B74" t="s">
        <v>10</v>
      </c>
      <c r="C74" t="s">
        <v>11</v>
      </c>
      <c r="D74" t="s">
        <v>17</v>
      </c>
      <c r="E74">
        <v>4</v>
      </c>
      <c r="F74">
        <v>3924</v>
      </c>
      <c r="G74">
        <v>298.07</v>
      </c>
      <c r="H74">
        <v>2023</v>
      </c>
      <c r="I74" t="s">
        <v>24</v>
      </c>
      <c r="J74" s="4">
        <v>7.5960754332314001E-2</v>
      </c>
      <c r="K74" t="s">
        <v>40</v>
      </c>
      <c r="L74" t="s">
        <v>60</v>
      </c>
      <c r="M74">
        <v>8</v>
      </c>
      <c r="N74" t="s">
        <v>63</v>
      </c>
    </row>
    <row r="75" spans="1:14" x14ac:dyDescent="0.3">
      <c r="A75" s="1">
        <v>45048</v>
      </c>
      <c r="B75" t="s">
        <v>10</v>
      </c>
      <c r="C75" t="s">
        <v>11</v>
      </c>
      <c r="D75" t="s">
        <v>19</v>
      </c>
      <c r="E75">
        <v>1</v>
      </c>
      <c r="F75">
        <v>1120</v>
      </c>
      <c r="G75">
        <v>127.32</v>
      </c>
      <c r="H75">
        <v>2023</v>
      </c>
      <c r="I75" t="s">
        <v>20</v>
      </c>
      <c r="J75" s="4">
        <v>0.113678571428571</v>
      </c>
      <c r="K75" t="s">
        <v>40</v>
      </c>
      <c r="L75" t="s">
        <v>59</v>
      </c>
      <c r="M75">
        <v>5</v>
      </c>
      <c r="N75" t="s">
        <v>20</v>
      </c>
    </row>
    <row r="76" spans="1:14" x14ac:dyDescent="0.3">
      <c r="A76" s="1">
        <v>45215</v>
      </c>
      <c r="B76" t="s">
        <v>10</v>
      </c>
      <c r="C76" t="s">
        <v>11</v>
      </c>
      <c r="D76" t="s">
        <v>22</v>
      </c>
      <c r="E76">
        <v>6</v>
      </c>
      <c r="F76">
        <v>5928</v>
      </c>
      <c r="G76">
        <v>1177.2</v>
      </c>
      <c r="H76">
        <v>2023</v>
      </c>
      <c r="I76" t="s">
        <v>14</v>
      </c>
      <c r="J76" s="4">
        <v>0.19858299595141701</v>
      </c>
      <c r="K76" t="s">
        <v>40</v>
      </c>
      <c r="L76" t="s">
        <v>52</v>
      </c>
      <c r="M76">
        <v>10</v>
      </c>
      <c r="N76" t="s">
        <v>54</v>
      </c>
    </row>
    <row r="77" spans="1:14" x14ac:dyDescent="0.3">
      <c r="A77" s="1">
        <v>45136</v>
      </c>
      <c r="B77" t="s">
        <v>10</v>
      </c>
      <c r="C77" t="s">
        <v>11</v>
      </c>
      <c r="D77" t="s">
        <v>22</v>
      </c>
      <c r="E77">
        <v>7</v>
      </c>
      <c r="F77">
        <v>4809</v>
      </c>
      <c r="G77">
        <v>1418.72</v>
      </c>
      <c r="H77">
        <v>2023</v>
      </c>
      <c r="I77" t="s">
        <v>25</v>
      </c>
      <c r="J77" s="4">
        <v>0.29501351632355999</v>
      </c>
      <c r="K77" t="s">
        <v>40</v>
      </c>
      <c r="L77" t="s">
        <v>60</v>
      </c>
      <c r="M77">
        <v>7</v>
      </c>
      <c r="N77" t="s">
        <v>64</v>
      </c>
    </row>
    <row r="78" spans="1:14" x14ac:dyDescent="0.3">
      <c r="A78" s="1">
        <v>45260</v>
      </c>
      <c r="B78" t="s">
        <v>10</v>
      </c>
      <c r="C78" t="s">
        <v>11</v>
      </c>
      <c r="D78" t="s">
        <v>22</v>
      </c>
      <c r="E78">
        <v>3</v>
      </c>
      <c r="F78">
        <v>3126</v>
      </c>
      <c r="G78">
        <v>870.95</v>
      </c>
      <c r="H78">
        <v>2023</v>
      </c>
      <c r="I78" t="s">
        <v>18</v>
      </c>
      <c r="J78" s="4">
        <v>0.27861484325016</v>
      </c>
      <c r="K78" t="s">
        <v>40</v>
      </c>
      <c r="L78" t="s">
        <v>52</v>
      </c>
      <c r="M78">
        <v>11</v>
      </c>
      <c r="N78" t="s">
        <v>58</v>
      </c>
    </row>
    <row r="79" spans="1:14" x14ac:dyDescent="0.3">
      <c r="A79" s="1">
        <v>45238</v>
      </c>
      <c r="B79" t="s">
        <v>10</v>
      </c>
      <c r="C79" t="s">
        <v>11</v>
      </c>
      <c r="D79" t="s">
        <v>19</v>
      </c>
      <c r="E79">
        <v>2</v>
      </c>
      <c r="F79">
        <v>516</v>
      </c>
      <c r="G79">
        <v>122.77</v>
      </c>
      <c r="H79">
        <v>2023</v>
      </c>
      <c r="I79" t="s">
        <v>18</v>
      </c>
      <c r="J79" s="4">
        <v>0.23792635658914699</v>
      </c>
      <c r="K79" t="s">
        <v>40</v>
      </c>
      <c r="L79" t="s">
        <v>52</v>
      </c>
      <c r="M79">
        <v>11</v>
      </c>
      <c r="N79" t="s">
        <v>58</v>
      </c>
    </row>
    <row r="80" spans="1:14" x14ac:dyDescent="0.3">
      <c r="A80" s="1">
        <v>44992</v>
      </c>
      <c r="B80" t="s">
        <v>10</v>
      </c>
      <c r="C80" t="s">
        <v>11</v>
      </c>
      <c r="D80" t="s">
        <v>22</v>
      </c>
      <c r="E80">
        <v>8</v>
      </c>
      <c r="F80">
        <v>2624</v>
      </c>
      <c r="G80">
        <v>294.24</v>
      </c>
      <c r="H80">
        <v>2023</v>
      </c>
      <c r="I80" t="s">
        <v>15</v>
      </c>
      <c r="J80" s="4">
        <v>0.112134146341463</v>
      </c>
      <c r="K80" t="s">
        <v>40</v>
      </c>
      <c r="L80" t="s">
        <v>55</v>
      </c>
      <c r="M80">
        <v>3</v>
      </c>
      <c r="N80" t="s">
        <v>56</v>
      </c>
    </row>
    <row r="81" spans="1:14" x14ac:dyDescent="0.3">
      <c r="A81" s="1">
        <v>44929</v>
      </c>
      <c r="B81" t="s">
        <v>10</v>
      </c>
      <c r="C81" t="s">
        <v>11</v>
      </c>
      <c r="D81" t="s">
        <v>17</v>
      </c>
      <c r="E81">
        <v>9</v>
      </c>
      <c r="F81">
        <v>9180</v>
      </c>
      <c r="G81">
        <v>2752.84</v>
      </c>
      <c r="H81">
        <v>2023</v>
      </c>
      <c r="I81" t="s">
        <v>26</v>
      </c>
      <c r="J81" s="4">
        <v>0.29987363834422698</v>
      </c>
      <c r="K81" t="s">
        <v>40</v>
      </c>
      <c r="L81" t="s">
        <v>55</v>
      </c>
      <c r="M81">
        <v>1</v>
      </c>
      <c r="N81" t="s">
        <v>65</v>
      </c>
    </row>
    <row r="82" spans="1:14" x14ac:dyDescent="0.3">
      <c r="A82" s="1">
        <v>45041</v>
      </c>
      <c r="B82" t="s">
        <v>10</v>
      </c>
      <c r="C82" t="s">
        <v>11</v>
      </c>
      <c r="D82" t="s">
        <v>22</v>
      </c>
      <c r="E82">
        <v>7</v>
      </c>
      <c r="F82">
        <v>3136</v>
      </c>
      <c r="G82">
        <v>850.3</v>
      </c>
      <c r="H82">
        <v>2023</v>
      </c>
      <c r="I82" t="s">
        <v>23</v>
      </c>
      <c r="J82" s="4">
        <v>0.27114158163265301</v>
      </c>
      <c r="K82" t="s">
        <v>40</v>
      </c>
      <c r="L82" t="s">
        <v>59</v>
      </c>
      <c r="M82">
        <v>4</v>
      </c>
      <c r="N82" t="s">
        <v>62</v>
      </c>
    </row>
    <row r="83" spans="1:14" x14ac:dyDescent="0.3">
      <c r="A83" s="1">
        <v>45269</v>
      </c>
      <c r="B83" t="s">
        <v>10</v>
      </c>
      <c r="C83" t="s">
        <v>11</v>
      </c>
      <c r="D83" t="s">
        <v>22</v>
      </c>
      <c r="E83">
        <v>4</v>
      </c>
      <c r="F83">
        <v>4176</v>
      </c>
      <c r="G83">
        <v>980.11</v>
      </c>
      <c r="H83">
        <v>2023</v>
      </c>
      <c r="I83" t="s">
        <v>13</v>
      </c>
      <c r="J83" s="4">
        <v>0.23470067049808399</v>
      </c>
      <c r="K83" t="s">
        <v>40</v>
      </c>
      <c r="L83" t="s">
        <v>52</v>
      </c>
      <c r="M83">
        <v>12</v>
      </c>
      <c r="N83" t="s">
        <v>53</v>
      </c>
    </row>
    <row r="84" spans="1:14" x14ac:dyDescent="0.3">
      <c r="A84" s="1">
        <v>45201</v>
      </c>
      <c r="B84" t="s">
        <v>10</v>
      </c>
      <c r="C84" t="s">
        <v>11</v>
      </c>
      <c r="D84" t="s">
        <v>22</v>
      </c>
      <c r="E84">
        <v>4</v>
      </c>
      <c r="F84">
        <v>3084</v>
      </c>
      <c r="G84">
        <v>348.38</v>
      </c>
      <c r="H84">
        <v>2023</v>
      </c>
      <c r="I84" t="s">
        <v>14</v>
      </c>
      <c r="J84" s="4">
        <v>0.11296368352788599</v>
      </c>
      <c r="K84" t="s">
        <v>40</v>
      </c>
      <c r="L84" t="s">
        <v>52</v>
      </c>
      <c r="M84">
        <v>10</v>
      </c>
      <c r="N84" t="s">
        <v>54</v>
      </c>
    </row>
    <row r="85" spans="1:14" x14ac:dyDescent="0.3">
      <c r="A85" s="1">
        <v>44967</v>
      </c>
      <c r="B85" t="s">
        <v>10</v>
      </c>
      <c r="C85" t="s">
        <v>11</v>
      </c>
      <c r="D85" t="s">
        <v>12</v>
      </c>
      <c r="E85">
        <v>7</v>
      </c>
      <c r="F85">
        <v>5355</v>
      </c>
      <c r="G85">
        <v>1143.1600000000001</v>
      </c>
      <c r="H85">
        <v>2023</v>
      </c>
      <c r="I85" t="s">
        <v>16</v>
      </c>
      <c r="J85" s="4">
        <v>0.21347525676937401</v>
      </c>
      <c r="K85" t="s">
        <v>40</v>
      </c>
      <c r="L85" t="s">
        <v>55</v>
      </c>
      <c r="M85">
        <v>2</v>
      </c>
      <c r="N85" t="s">
        <v>57</v>
      </c>
    </row>
    <row r="86" spans="1:14" x14ac:dyDescent="0.3">
      <c r="A86" s="1">
        <v>44947</v>
      </c>
      <c r="B86" t="s">
        <v>10</v>
      </c>
      <c r="C86" t="s">
        <v>11</v>
      </c>
      <c r="D86" t="s">
        <v>19</v>
      </c>
      <c r="E86">
        <v>2</v>
      </c>
      <c r="F86">
        <v>2084</v>
      </c>
      <c r="G86">
        <v>586.72</v>
      </c>
      <c r="H86">
        <v>2023</v>
      </c>
      <c r="I86" t="s">
        <v>26</v>
      </c>
      <c r="J86" s="4">
        <v>0.28153550863723598</v>
      </c>
      <c r="K86" t="s">
        <v>40</v>
      </c>
      <c r="L86" t="s">
        <v>55</v>
      </c>
      <c r="M86">
        <v>1</v>
      </c>
      <c r="N86" t="s">
        <v>65</v>
      </c>
    </row>
    <row r="87" spans="1:14" x14ac:dyDescent="0.3">
      <c r="A87" s="1">
        <v>45157</v>
      </c>
      <c r="B87" t="s">
        <v>10</v>
      </c>
      <c r="C87" t="s">
        <v>11</v>
      </c>
      <c r="D87" t="s">
        <v>19</v>
      </c>
      <c r="E87">
        <v>2</v>
      </c>
      <c r="F87">
        <v>2174</v>
      </c>
      <c r="G87">
        <v>335.37</v>
      </c>
      <c r="H87">
        <v>2023</v>
      </c>
      <c r="I87" t="s">
        <v>24</v>
      </c>
      <c r="J87" s="4">
        <v>0.154264029438822</v>
      </c>
      <c r="K87" t="s">
        <v>40</v>
      </c>
      <c r="L87" t="s">
        <v>60</v>
      </c>
      <c r="M87">
        <v>8</v>
      </c>
      <c r="N87" t="s">
        <v>63</v>
      </c>
    </row>
    <row r="88" spans="1:14" x14ac:dyDescent="0.3">
      <c r="A88" s="1">
        <v>45281</v>
      </c>
      <c r="B88" t="s">
        <v>10</v>
      </c>
      <c r="C88" t="s">
        <v>11</v>
      </c>
      <c r="D88" t="s">
        <v>19</v>
      </c>
      <c r="E88">
        <v>8</v>
      </c>
      <c r="F88">
        <v>8440</v>
      </c>
      <c r="G88">
        <v>1504.18</v>
      </c>
      <c r="H88">
        <v>2023</v>
      </c>
      <c r="I88" t="s">
        <v>13</v>
      </c>
      <c r="J88" s="4">
        <v>0.17822037914691899</v>
      </c>
      <c r="K88" t="s">
        <v>40</v>
      </c>
      <c r="L88" t="s">
        <v>52</v>
      </c>
      <c r="M88">
        <v>12</v>
      </c>
      <c r="N88" t="s">
        <v>53</v>
      </c>
    </row>
    <row r="89" spans="1:14" x14ac:dyDescent="0.3">
      <c r="A89" s="1">
        <v>45152</v>
      </c>
      <c r="B89" t="s">
        <v>10</v>
      </c>
      <c r="C89" t="s">
        <v>11</v>
      </c>
      <c r="D89" t="s">
        <v>19</v>
      </c>
      <c r="E89">
        <v>5</v>
      </c>
      <c r="F89">
        <v>3630</v>
      </c>
      <c r="G89">
        <v>537.92999999999995</v>
      </c>
      <c r="H89">
        <v>2023</v>
      </c>
      <c r="I89" t="s">
        <v>24</v>
      </c>
      <c r="J89" s="4">
        <v>0.14819008264462799</v>
      </c>
      <c r="K89" t="s">
        <v>40</v>
      </c>
      <c r="L89" t="s">
        <v>60</v>
      </c>
      <c r="M89">
        <v>8</v>
      </c>
      <c r="N89" t="s">
        <v>63</v>
      </c>
    </row>
    <row r="90" spans="1:14" x14ac:dyDescent="0.3">
      <c r="A90" s="1">
        <v>44954</v>
      </c>
      <c r="B90" t="s">
        <v>10</v>
      </c>
      <c r="C90" t="s">
        <v>11</v>
      </c>
      <c r="D90" t="s">
        <v>19</v>
      </c>
      <c r="E90">
        <v>6</v>
      </c>
      <c r="F90">
        <v>2562</v>
      </c>
      <c r="G90">
        <v>612.36</v>
      </c>
      <c r="H90">
        <v>2023</v>
      </c>
      <c r="I90" t="s">
        <v>26</v>
      </c>
      <c r="J90" s="4">
        <v>0.23901639344262299</v>
      </c>
      <c r="K90" t="s">
        <v>40</v>
      </c>
      <c r="L90" t="s">
        <v>55</v>
      </c>
      <c r="M90">
        <v>1</v>
      </c>
      <c r="N90" t="s">
        <v>65</v>
      </c>
    </row>
    <row r="91" spans="1:14" x14ac:dyDescent="0.3">
      <c r="A91" s="1">
        <v>45157</v>
      </c>
      <c r="B91" t="s">
        <v>10</v>
      </c>
      <c r="C91" t="s">
        <v>11</v>
      </c>
      <c r="D91" t="s">
        <v>22</v>
      </c>
      <c r="E91">
        <v>7</v>
      </c>
      <c r="F91">
        <v>7301</v>
      </c>
      <c r="G91">
        <v>1311.65</v>
      </c>
      <c r="H91">
        <v>2023</v>
      </c>
      <c r="I91" t="s">
        <v>24</v>
      </c>
      <c r="J91" s="4">
        <v>0.179653472127106</v>
      </c>
      <c r="K91" t="s">
        <v>40</v>
      </c>
      <c r="L91" t="s">
        <v>60</v>
      </c>
      <c r="M91">
        <v>8</v>
      </c>
      <c r="N91" t="s">
        <v>63</v>
      </c>
    </row>
    <row r="92" spans="1:14" x14ac:dyDescent="0.3">
      <c r="A92" s="1">
        <v>44929</v>
      </c>
      <c r="B92" t="s">
        <v>10</v>
      </c>
      <c r="C92" t="s">
        <v>11</v>
      </c>
      <c r="D92" t="s">
        <v>12</v>
      </c>
      <c r="E92">
        <v>6</v>
      </c>
      <c r="F92">
        <v>696</v>
      </c>
      <c r="G92">
        <v>100.78</v>
      </c>
      <c r="H92">
        <v>2023</v>
      </c>
      <c r="I92" t="s">
        <v>26</v>
      </c>
      <c r="J92" s="4">
        <v>0.14479885057471301</v>
      </c>
      <c r="K92" t="s">
        <v>40</v>
      </c>
      <c r="L92" t="s">
        <v>55</v>
      </c>
      <c r="M92">
        <v>1</v>
      </c>
      <c r="N92" t="s">
        <v>65</v>
      </c>
    </row>
    <row r="93" spans="1:14" x14ac:dyDescent="0.3">
      <c r="A93" s="1">
        <v>45285</v>
      </c>
      <c r="B93" t="s">
        <v>10</v>
      </c>
      <c r="C93" t="s">
        <v>11</v>
      </c>
      <c r="D93" t="s">
        <v>22</v>
      </c>
      <c r="E93">
        <v>5</v>
      </c>
      <c r="F93">
        <v>3455</v>
      </c>
      <c r="G93">
        <v>867.55</v>
      </c>
      <c r="H93">
        <v>2023</v>
      </c>
      <c r="I93" t="s">
        <v>13</v>
      </c>
      <c r="J93" s="4">
        <v>0.25109985528220002</v>
      </c>
      <c r="K93" t="s">
        <v>40</v>
      </c>
      <c r="L93" t="s">
        <v>52</v>
      </c>
      <c r="M93">
        <v>12</v>
      </c>
      <c r="N93" t="s">
        <v>53</v>
      </c>
    </row>
    <row r="94" spans="1:14" x14ac:dyDescent="0.3">
      <c r="A94" s="1">
        <v>45087</v>
      </c>
      <c r="B94" t="s">
        <v>10</v>
      </c>
      <c r="C94" t="s">
        <v>11</v>
      </c>
      <c r="D94" t="s">
        <v>12</v>
      </c>
      <c r="E94">
        <v>4</v>
      </c>
      <c r="F94">
        <v>1168</v>
      </c>
      <c r="G94">
        <v>135.36000000000001</v>
      </c>
      <c r="H94">
        <v>2023</v>
      </c>
      <c r="I94" t="s">
        <v>27</v>
      </c>
      <c r="J94" s="4">
        <v>0.115890410958904</v>
      </c>
      <c r="K94" t="s">
        <v>40</v>
      </c>
      <c r="L94" t="s">
        <v>59</v>
      </c>
      <c r="M94">
        <v>6</v>
      </c>
      <c r="N94" t="s">
        <v>66</v>
      </c>
    </row>
    <row r="95" spans="1:14" x14ac:dyDescent="0.3">
      <c r="A95" s="1">
        <v>45186</v>
      </c>
      <c r="B95" t="s">
        <v>10</v>
      </c>
      <c r="C95" t="s">
        <v>11</v>
      </c>
      <c r="D95" t="s">
        <v>17</v>
      </c>
      <c r="E95">
        <v>2</v>
      </c>
      <c r="F95">
        <v>1314</v>
      </c>
      <c r="G95">
        <v>391.55</v>
      </c>
      <c r="H95">
        <v>2023</v>
      </c>
      <c r="I95" t="s">
        <v>21</v>
      </c>
      <c r="J95" s="4">
        <v>0.29798325722983299</v>
      </c>
      <c r="K95" t="s">
        <v>40</v>
      </c>
      <c r="L95" t="s">
        <v>60</v>
      </c>
      <c r="M95">
        <v>9</v>
      </c>
      <c r="N95" t="s">
        <v>61</v>
      </c>
    </row>
    <row r="96" spans="1:14" x14ac:dyDescent="0.3">
      <c r="A96" s="1">
        <v>45268</v>
      </c>
      <c r="B96" t="s">
        <v>10</v>
      </c>
      <c r="C96" t="s">
        <v>11</v>
      </c>
      <c r="D96" t="s">
        <v>22</v>
      </c>
      <c r="E96">
        <v>9</v>
      </c>
      <c r="F96">
        <v>9936</v>
      </c>
      <c r="G96">
        <v>2797.45</v>
      </c>
      <c r="H96">
        <v>2023</v>
      </c>
      <c r="I96" t="s">
        <v>13</v>
      </c>
      <c r="J96" s="4">
        <v>0.28154690016103101</v>
      </c>
      <c r="K96" t="s">
        <v>40</v>
      </c>
      <c r="L96" t="s">
        <v>52</v>
      </c>
      <c r="M96">
        <v>12</v>
      </c>
      <c r="N96" t="s">
        <v>53</v>
      </c>
    </row>
    <row r="97" spans="1:14" x14ac:dyDescent="0.3">
      <c r="A97" s="1">
        <v>45180</v>
      </c>
      <c r="B97" t="s">
        <v>10</v>
      </c>
      <c r="C97" t="s">
        <v>11</v>
      </c>
      <c r="D97" t="s">
        <v>22</v>
      </c>
      <c r="E97">
        <v>3</v>
      </c>
      <c r="F97">
        <v>3399</v>
      </c>
      <c r="G97">
        <v>489.36</v>
      </c>
      <c r="H97">
        <v>2023</v>
      </c>
      <c r="I97" t="s">
        <v>21</v>
      </c>
      <c r="J97" s="4">
        <v>0.143971756398941</v>
      </c>
      <c r="K97" t="s">
        <v>40</v>
      </c>
      <c r="L97" t="s">
        <v>60</v>
      </c>
      <c r="M97">
        <v>9</v>
      </c>
      <c r="N97" t="s">
        <v>61</v>
      </c>
    </row>
    <row r="98" spans="1:14" x14ac:dyDescent="0.3">
      <c r="A98" s="1">
        <v>44965</v>
      </c>
      <c r="B98" t="s">
        <v>10</v>
      </c>
      <c r="C98" t="s">
        <v>11</v>
      </c>
      <c r="D98" t="s">
        <v>22</v>
      </c>
      <c r="E98">
        <v>7</v>
      </c>
      <c r="F98">
        <v>5621</v>
      </c>
      <c r="G98">
        <v>1390.73</v>
      </c>
      <c r="H98">
        <v>2023</v>
      </c>
      <c r="I98" t="s">
        <v>16</v>
      </c>
      <c r="J98" s="4">
        <v>0.24741682974559701</v>
      </c>
      <c r="K98" t="s">
        <v>40</v>
      </c>
      <c r="L98" t="s">
        <v>55</v>
      </c>
      <c r="M98">
        <v>2</v>
      </c>
      <c r="N98" t="s">
        <v>57</v>
      </c>
    </row>
    <row r="99" spans="1:14" x14ac:dyDescent="0.3">
      <c r="A99" s="1">
        <v>45088</v>
      </c>
      <c r="B99" t="s">
        <v>10</v>
      </c>
      <c r="C99" t="s">
        <v>11</v>
      </c>
      <c r="D99" t="s">
        <v>17</v>
      </c>
      <c r="E99">
        <v>2</v>
      </c>
      <c r="F99">
        <v>452</v>
      </c>
      <c r="G99">
        <v>74.34</v>
      </c>
      <c r="H99">
        <v>2023</v>
      </c>
      <c r="I99" t="s">
        <v>27</v>
      </c>
      <c r="J99" s="4">
        <v>0.16446902654867299</v>
      </c>
      <c r="K99" t="s">
        <v>40</v>
      </c>
      <c r="L99" t="s">
        <v>59</v>
      </c>
      <c r="M99">
        <v>6</v>
      </c>
      <c r="N99" t="s">
        <v>66</v>
      </c>
    </row>
    <row r="100" spans="1:14" x14ac:dyDescent="0.3">
      <c r="A100" s="1">
        <v>45079</v>
      </c>
      <c r="B100" t="s">
        <v>10</v>
      </c>
      <c r="C100" t="s">
        <v>11</v>
      </c>
      <c r="D100" t="s">
        <v>22</v>
      </c>
      <c r="E100">
        <v>7</v>
      </c>
      <c r="F100">
        <v>5887</v>
      </c>
      <c r="G100">
        <v>1035.5</v>
      </c>
      <c r="H100">
        <v>2023</v>
      </c>
      <c r="I100" t="s">
        <v>27</v>
      </c>
      <c r="J100" s="4">
        <v>0.17589604212672</v>
      </c>
      <c r="K100" t="s">
        <v>40</v>
      </c>
      <c r="L100" t="s">
        <v>59</v>
      </c>
      <c r="M100">
        <v>6</v>
      </c>
      <c r="N100" t="s">
        <v>66</v>
      </c>
    </row>
    <row r="101" spans="1:14" x14ac:dyDescent="0.3">
      <c r="A101" s="1">
        <v>45183</v>
      </c>
      <c r="B101" t="s">
        <v>10</v>
      </c>
      <c r="C101" t="s">
        <v>11</v>
      </c>
      <c r="D101" t="s">
        <v>17</v>
      </c>
      <c r="E101">
        <v>8</v>
      </c>
      <c r="F101">
        <v>2984</v>
      </c>
      <c r="G101">
        <v>631.80999999999995</v>
      </c>
      <c r="H101">
        <v>2023</v>
      </c>
      <c r="I101" t="s">
        <v>21</v>
      </c>
      <c r="J101" s="4">
        <v>0.211732573726542</v>
      </c>
      <c r="K101" t="s">
        <v>40</v>
      </c>
      <c r="L101" t="s">
        <v>60</v>
      </c>
      <c r="M101">
        <v>9</v>
      </c>
      <c r="N101" t="s">
        <v>61</v>
      </c>
    </row>
    <row r="102" spans="1:14" x14ac:dyDescent="0.3">
      <c r="A102" s="1">
        <v>45079</v>
      </c>
      <c r="B102" t="s">
        <v>10</v>
      </c>
      <c r="C102" t="s">
        <v>11</v>
      </c>
      <c r="D102" t="s">
        <v>19</v>
      </c>
      <c r="E102">
        <v>2</v>
      </c>
      <c r="F102">
        <v>788</v>
      </c>
      <c r="G102">
        <v>195.15</v>
      </c>
      <c r="H102">
        <v>2023</v>
      </c>
      <c r="I102" t="s">
        <v>27</v>
      </c>
      <c r="J102" s="4">
        <v>0.24765228426395899</v>
      </c>
      <c r="K102" t="s">
        <v>40</v>
      </c>
      <c r="L102" t="s">
        <v>59</v>
      </c>
      <c r="M102">
        <v>6</v>
      </c>
      <c r="N102" t="s">
        <v>66</v>
      </c>
    </row>
    <row r="103" spans="1:14" x14ac:dyDescent="0.3">
      <c r="A103" s="1">
        <v>45088</v>
      </c>
      <c r="B103" t="s">
        <v>10</v>
      </c>
      <c r="C103" t="s">
        <v>11</v>
      </c>
      <c r="D103" t="s">
        <v>12</v>
      </c>
      <c r="E103">
        <v>4</v>
      </c>
      <c r="F103">
        <v>2472</v>
      </c>
      <c r="G103">
        <v>594.62</v>
      </c>
      <c r="H103">
        <v>2023</v>
      </c>
      <c r="I103" t="s">
        <v>27</v>
      </c>
      <c r="J103" s="4">
        <v>0.240542071197411</v>
      </c>
      <c r="K103" t="s">
        <v>40</v>
      </c>
      <c r="L103" t="s">
        <v>59</v>
      </c>
      <c r="M103">
        <v>6</v>
      </c>
      <c r="N103" t="s">
        <v>66</v>
      </c>
    </row>
    <row r="104" spans="1:14" x14ac:dyDescent="0.3">
      <c r="A104" s="1">
        <v>45150</v>
      </c>
      <c r="B104" t="s">
        <v>10</v>
      </c>
      <c r="C104" t="s">
        <v>11</v>
      </c>
      <c r="D104" t="s">
        <v>19</v>
      </c>
      <c r="E104">
        <v>4</v>
      </c>
      <c r="F104">
        <v>772</v>
      </c>
      <c r="G104">
        <v>215.62</v>
      </c>
      <c r="H104">
        <v>2023</v>
      </c>
      <c r="I104" t="s">
        <v>24</v>
      </c>
      <c r="J104" s="4">
        <v>0.27930051813471501</v>
      </c>
      <c r="K104" t="s">
        <v>40</v>
      </c>
      <c r="L104" t="s">
        <v>60</v>
      </c>
      <c r="M104">
        <v>8</v>
      </c>
      <c r="N104" t="s">
        <v>63</v>
      </c>
    </row>
    <row r="105" spans="1:14" x14ac:dyDescent="0.3">
      <c r="A105" s="1">
        <v>45150</v>
      </c>
      <c r="B105" t="s">
        <v>10</v>
      </c>
      <c r="C105" t="s">
        <v>11</v>
      </c>
      <c r="D105" t="s">
        <v>19</v>
      </c>
      <c r="E105">
        <v>3</v>
      </c>
      <c r="F105">
        <v>2280</v>
      </c>
      <c r="G105">
        <v>365.17</v>
      </c>
      <c r="H105">
        <v>2023</v>
      </c>
      <c r="I105" t="s">
        <v>24</v>
      </c>
      <c r="J105" s="4">
        <v>0.16016228070175401</v>
      </c>
      <c r="K105" t="s">
        <v>40</v>
      </c>
      <c r="L105" t="s">
        <v>60</v>
      </c>
      <c r="M105">
        <v>8</v>
      </c>
      <c r="N105" t="s">
        <v>63</v>
      </c>
    </row>
    <row r="106" spans="1:14" x14ac:dyDescent="0.3">
      <c r="A106" s="1">
        <v>45088</v>
      </c>
      <c r="B106" t="s">
        <v>10</v>
      </c>
      <c r="C106" t="s">
        <v>11</v>
      </c>
      <c r="D106" t="s">
        <v>17</v>
      </c>
      <c r="E106">
        <v>5</v>
      </c>
      <c r="F106">
        <v>995</v>
      </c>
      <c r="G106">
        <v>206.95</v>
      </c>
      <c r="H106">
        <v>2023</v>
      </c>
      <c r="I106" t="s">
        <v>27</v>
      </c>
      <c r="J106" s="4">
        <v>0.20798994974874399</v>
      </c>
      <c r="K106" t="s">
        <v>40</v>
      </c>
      <c r="L106" t="s">
        <v>59</v>
      </c>
      <c r="M106">
        <v>6</v>
      </c>
      <c r="N106" t="s">
        <v>66</v>
      </c>
    </row>
    <row r="107" spans="1:14" x14ac:dyDescent="0.3">
      <c r="A107" s="1">
        <v>45045</v>
      </c>
      <c r="B107" t="s">
        <v>10</v>
      </c>
      <c r="C107" t="s">
        <v>11</v>
      </c>
      <c r="D107" t="s">
        <v>12</v>
      </c>
      <c r="E107">
        <v>5</v>
      </c>
      <c r="F107">
        <v>5170</v>
      </c>
      <c r="G107">
        <v>1248.6600000000001</v>
      </c>
      <c r="H107">
        <v>2023</v>
      </c>
      <c r="I107" t="s">
        <v>23</v>
      </c>
      <c r="J107" s="4">
        <v>0.24152030947775599</v>
      </c>
      <c r="K107" t="s">
        <v>40</v>
      </c>
      <c r="L107" t="s">
        <v>59</v>
      </c>
      <c r="M107">
        <v>4</v>
      </c>
      <c r="N107" t="s">
        <v>62</v>
      </c>
    </row>
    <row r="108" spans="1:14" x14ac:dyDescent="0.3">
      <c r="A108" s="1">
        <v>45007</v>
      </c>
      <c r="B108" t="s">
        <v>10</v>
      </c>
      <c r="C108" t="s">
        <v>11</v>
      </c>
      <c r="D108" t="s">
        <v>22</v>
      </c>
      <c r="E108">
        <v>1</v>
      </c>
      <c r="F108">
        <v>1084</v>
      </c>
      <c r="G108">
        <v>103.06</v>
      </c>
      <c r="H108">
        <v>2023</v>
      </c>
      <c r="I108" t="s">
        <v>15</v>
      </c>
      <c r="J108" s="4">
        <v>9.5073800738007405E-2</v>
      </c>
      <c r="K108" t="s">
        <v>40</v>
      </c>
      <c r="L108" t="s">
        <v>55</v>
      </c>
      <c r="M108">
        <v>3</v>
      </c>
      <c r="N108" t="s">
        <v>56</v>
      </c>
    </row>
    <row r="109" spans="1:14" x14ac:dyDescent="0.3">
      <c r="A109" s="1">
        <v>45231</v>
      </c>
      <c r="B109" t="s">
        <v>10</v>
      </c>
      <c r="C109" t="s">
        <v>11</v>
      </c>
      <c r="D109" t="s">
        <v>19</v>
      </c>
      <c r="E109">
        <v>1</v>
      </c>
      <c r="F109">
        <v>113</v>
      </c>
      <c r="G109">
        <v>20.07</v>
      </c>
      <c r="H109">
        <v>2023</v>
      </c>
      <c r="I109" t="s">
        <v>18</v>
      </c>
      <c r="J109" s="4">
        <v>0.17761061946902701</v>
      </c>
      <c r="K109" t="s">
        <v>40</v>
      </c>
      <c r="L109" t="s">
        <v>52</v>
      </c>
      <c r="M109">
        <v>11</v>
      </c>
      <c r="N109" t="s">
        <v>58</v>
      </c>
    </row>
    <row r="110" spans="1:14" x14ac:dyDescent="0.3">
      <c r="A110" s="1">
        <v>45015</v>
      </c>
      <c r="B110" t="s">
        <v>10</v>
      </c>
      <c r="C110" t="s">
        <v>11</v>
      </c>
      <c r="D110" t="s">
        <v>22</v>
      </c>
      <c r="E110">
        <v>4</v>
      </c>
      <c r="F110">
        <v>1836</v>
      </c>
      <c r="G110">
        <v>462.52</v>
      </c>
      <c r="H110">
        <v>2023</v>
      </c>
      <c r="I110" t="s">
        <v>15</v>
      </c>
      <c r="J110" s="4">
        <v>0.25191721132897599</v>
      </c>
      <c r="K110" t="s">
        <v>40</v>
      </c>
      <c r="L110" t="s">
        <v>55</v>
      </c>
      <c r="M110">
        <v>3</v>
      </c>
      <c r="N110" t="s">
        <v>56</v>
      </c>
    </row>
    <row r="111" spans="1:14" x14ac:dyDescent="0.3">
      <c r="A111" s="1">
        <v>44934</v>
      </c>
      <c r="B111" t="s">
        <v>10</v>
      </c>
      <c r="C111" t="s">
        <v>11</v>
      </c>
      <c r="D111" t="s">
        <v>17</v>
      </c>
      <c r="E111">
        <v>7</v>
      </c>
      <c r="F111">
        <v>6853</v>
      </c>
      <c r="G111">
        <v>1259.03</v>
      </c>
      <c r="H111">
        <v>2023</v>
      </c>
      <c r="I111" t="s">
        <v>26</v>
      </c>
      <c r="J111" s="4">
        <v>0.18371953888807799</v>
      </c>
      <c r="K111" t="s">
        <v>40</v>
      </c>
      <c r="L111" t="s">
        <v>55</v>
      </c>
      <c r="M111">
        <v>1</v>
      </c>
      <c r="N111" t="s">
        <v>65</v>
      </c>
    </row>
    <row r="112" spans="1:14" x14ac:dyDescent="0.3">
      <c r="A112" s="1">
        <v>44934</v>
      </c>
      <c r="B112" t="s">
        <v>10</v>
      </c>
      <c r="C112" t="s">
        <v>11</v>
      </c>
      <c r="D112" t="s">
        <v>22</v>
      </c>
      <c r="E112">
        <v>5</v>
      </c>
      <c r="F112">
        <v>905</v>
      </c>
      <c r="G112">
        <v>70.91</v>
      </c>
      <c r="H112">
        <v>2023</v>
      </c>
      <c r="I112" t="s">
        <v>26</v>
      </c>
      <c r="J112" s="4">
        <v>7.8353591160221003E-2</v>
      </c>
      <c r="K112" t="s">
        <v>40</v>
      </c>
      <c r="L112" t="s">
        <v>55</v>
      </c>
      <c r="M112">
        <v>1</v>
      </c>
      <c r="N112" t="s">
        <v>65</v>
      </c>
    </row>
    <row r="113" spans="1:14" x14ac:dyDescent="0.3">
      <c r="A113" s="1">
        <v>45081</v>
      </c>
      <c r="B113" t="s">
        <v>10</v>
      </c>
      <c r="C113" t="s">
        <v>11</v>
      </c>
      <c r="D113" t="s">
        <v>19</v>
      </c>
      <c r="E113">
        <v>8</v>
      </c>
      <c r="F113">
        <v>2360</v>
      </c>
      <c r="G113">
        <v>653.29999999999995</v>
      </c>
      <c r="H113">
        <v>2023</v>
      </c>
      <c r="I113" t="s">
        <v>27</v>
      </c>
      <c r="J113" s="4">
        <v>0.27682203389830501</v>
      </c>
      <c r="K113" t="s">
        <v>40</v>
      </c>
      <c r="L113" t="s">
        <v>59</v>
      </c>
      <c r="M113">
        <v>6</v>
      </c>
      <c r="N113" t="s">
        <v>66</v>
      </c>
    </row>
    <row r="114" spans="1:14" x14ac:dyDescent="0.3">
      <c r="A114" s="1">
        <v>45158</v>
      </c>
      <c r="B114" t="s">
        <v>10</v>
      </c>
      <c r="C114" t="s">
        <v>11</v>
      </c>
      <c r="D114" t="s">
        <v>22</v>
      </c>
      <c r="E114">
        <v>4</v>
      </c>
      <c r="F114">
        <v>3616</v>
      </c>
      <c r="G114">
        <v>789.63</v>
      </c>
      <c r="H114">
        <v>2023</v>
      </c>
      <c r="I114" t="s">
        <v>24</v>
      </c>
      <c r="J114" s="4">
        <v>0.21837112831858399</v>
      </c>
      <c r="K114" t="s">
        <v>40</v>
      </c>
      <c r="L114" t="s">
        <v>60</v>
      </c>
      <c r="M114">
        <v>8</v>
      </c>
      <c r="N114" t="s">
        <v>63</v>
      </c>
    </row>
    <row r="115" spans="1:14" x14ac:dyDescent="0.3">
      <c r="A115" s="1">
        <v>45151</v>
      </c>
      <c r="B115" t="s">
        <v>10</v>
      </c>
      <c r="C115" t="s">
        <v>11</v>
      </c>
      <c r="D115" t="s">
        <v>22</v>
      </c>
      <c r="E115">
        <v>7</v>
      </c>
      <c r="F115">
        <v>4557</v>
      </c>
      <c r="G115">
        <v>234.62</v>
      </c>
      <c r="H115">
        <v>2023</v>
      </c>
      <c r="I115" t="s">
        <v>24</v>
      </c>
      <c r="J115" s="4">
        <v>5.1485626508668003E-2</v>
      </c>
      <c r="K115" t="s">
        <v>40</v>
      </c>
      <c r="L115" t="s">
        <v>60</v>
      </c>
      <c r="M115">
        <v>8</v>
      </c>
      <c r="N115" t="s">
        <v>63</v>
      </c>
    </row>
    <row r="116" spans="1:14" x14ac:dyDescent="0.3">
      <c r="A116" s="1">
        <v>45246</v>
      </c>
      <c r="B116" t="s">
        <v>10</v>
      </c>
      <c r="C116" t="s">
        <v>11</v>
      </c>
      <c r="D116" t="s">
        <v>19</v>
      </c>
      <c r="E116">
        <v>6</v>
      </c>
      <c r="F116">
        <v>6534</v>
      </c>
      <c r="G116">
        <v>355.03</v>
      </c>
      <c r="H116">
        <v>2023</v>
      </c>
      <c r="I116" t="s">
        <v>18</v>
      </c>
      <c r="J116" s="4">
        <v>5.4335782063054797E-2</v>
      </c>
      <c r="K116" t="s">
        <v>40</v>
      </c>
      <c r="L116" t="s">
        <v>52</v>
      </c>
      <c r="M116">
        <v>11</v>
      </c>
      <c r="N116" t="s">
        <v>58</v>
      </c>
    </row>
    <row r="117" spans="1:14" x14ac:dyDescent="0.3">
      <c r="A117" s="1">
        <v>44942</v>
      </c>
      <c r="B117" t="s">
        <v>10</v>
      </c>
      <c r="C117" t="s">
        <v>11</v>
      </c>
      <c r="D117" t="s">
        <v>12</v>
      </c>
      <c r="E117">
        <v>9</v>
      </c>
      <c r="F117">
        <v>6876</v>
      </c>
      <c r="G117">
        <v>1895.24</v>
      </c>
      <c r="H117">
        <v>2023</v>
      </c>
      <c r="I117" t="s">
        <v>26</v>
      </c>
      <c r="J117" s="4">
        <v>0.27563118091913902</v>
      </c>
      <c r="K117" t="s">
        <v>40</v>
      </c>
      <c r="L117" t="s">
        <v>55</v>
      </c>
      <c r="M117">
        <v>1</v>
      </c>
      <c r="N117" t="s">
        <v>65</v>
      </c>
    </row>
    <row r="118" spans="1:14" x14ac:dyDescent="0.3">
      <c r="A118" s="1">
        <v>45026</v>
      </c>
      <c r="B118" t="s">
        <v>10</v>
      </c>
      <c r="C118" t="s">
        <v>11</v>
      </c>
      <c r="D118" t="s">
        <v>12</v>
      </c>
      <c r="E118">
        <v>7</v>
      </c>
      <c r="F118">
        <v>6384</v>
      </c>
      <c r="G118">
        <v>1324.49</v>
      </c>
      <c r="H118">
        <v>2023</v>
      </c>
      <c r="I118" t="s">
        <v>23</v>
      </c>
      <c r="J118" s="4">
        <v>0.20747023809523801</v>
      </c>
      <c r="K118" t="s">
        <v>40</v>
      </c>
      <c r="L118" t="s">
        <v>59</v>
      </c>
      <c r="M118">
        <v>4</v>
      </c>
      <c r="N118" t="s">
        <v>62</v>
      </c>
    </row>
    <row r="119" spans="1:14" x14ac:dyDescent="0.3">
      <c r="A119" s="1">
        <v>45018</v>
      </c>
      <c r="B119" t="s">
        <v>10</v>
      </c>
      <c r="C119" t="s">
        <v>11</v>
      </c>
      <c r="D119" t="s">
        <v>17</v>
      </c>
      <c r="E119">
        <v>8</v>
      </c>
      <c r="F119">
        <v>7040</v>
      </c>
      <c r="G119">
        <v>1969.93</v>
      </c>
      <c r="H119">
        <v>2023</v>
      </c>
      <c r="I119" t="s">
        <v>23</v>
      </c>
      <c r="J119" s="4">
        <v>0.27981960227272701</v>
      </c>
      <c r="K119" t="s">
        <v>40</v>
      </c>
      <c r="L119" t="s">
        <v>59</v>
      </c>
      <c r="M119">
        <v>4</v>
      </c>
      <c r="N119" t="s">
        <v>62</v>
      </c>
    </row>
    <row r="120" spans="1:14" x14ac:dyDescent="0.3">
      <c r="A120" s="1">
        <v>45016</v>
      </c>
      <c r="B120" t="s">
        <v>10</v>
      </c>
      <c r="C120" t="s">
        <v>11</v>
      </c>
      <c r="D120" t="s">
        <v>22</v>
      </c>
      <c r="E120">
        <v>6</v>
      </c>
      <c r="F120">
        <v>3660</v>
      </c>
      <c r="G120">
        <v>675.38</v>
      </c>
      <c r="H120">
        <v>2023</v>
      </c>
      <c r="I120" t="s">
        <v>15</v>
      </c>
      <c r="J120" s="4">
        <v>0.18453005464480901</v>
      </c>
      <c r="K120" t="s">
        <v>40</v>
      </c>
      <c r="L120" t="s">
        <v>55</v>
      </c>
      <c r="M120">
        <v>3</v>
      </c>
      <c r="N120" t="s">
        <v>56</v>
      </c>
    </row>
    <row r="121" spans="1:14" x14ac:dyDescent="0.3">
      <c r="A121" s="1">
        <v>45123</v>
      </c>
      <c r="B121" t="s">
        <v>10</v>
      </c>
      <c r="C121" t="s">
        <v>11</v>
      </c>
      <c r="D121" t="s">
        <v>12</v>
      </c>
      <c r="E121">
        <v>2</v>
      </c>
      <c r="F121">
        <v>2304</v>
      </c>
      <c r="G121">
        <v>444.08</v>
      </c>
      <c r="H121">
        <v>2023</v>
      </c>
      <c r="I121" t="s">
        <v>25</v>
      </c>
      <c r="J121" s="4">
        <v>0.19274305555555599</v>
      </c>
      <c r="K121" t="s">
        <v>40</v>
      </c>
      <c r="L121" t="s">
        <v>60</v>
      </c>
      <c r="M121">
        <v>7</v>
      </c>
      <c r="N121" t="s">
        <v>64</v>
      </c>
    </row>
    <row r="122" spans="1:14" x14ac:dyDescent="0.3">
      <c r="A122" s="1">
        <v>44966</v>
      </c>
      <c r="B122" t="s">
        <v>10</v>
      </c>
      <c r="C122" t="s">
        <v>11</v>
      </c>
      <c r="D122" t="s">
        <v>12</v>
      </c>
      <c r="E122">
        <v>2</v>
      </c>
      <c r="F122">
        <v>1958</v>
      </c>
      <c r="G122">
        <v>227.77</v>
      </c>
      <c r="H122">
        <v>2023</v>
      </c>
      <c r="I122" t="s">
        <v>16</v>
      </c>
      <c r="J122" s="4">
        <v>0.116327885597549</v>
      </c>
      <c r="K122" t="s">
        <v>40</v>
      </c>
      <c r="L122" t="s">
        <v>55</v>
      </c>
      <c r="M122">
        <v>2</v>
      </c>
      <c r="N122" t="s">
        <v>57</v>
      </c>
    </row>
    <row r="123" spans="1:14" x14ac:dyDescent="0.3">
      <c r="A123" s="1">
        <v>45255</v>
      </c>
      <c r="B123" t="s">
        <v>10</v>
      </c>
      <c r="C123" t="s">
        <v>11</v>
      </c>
      <c r="D123" t="s">
        <v>19</v>
      </c>
      <c r="E123">
        <v>2</v>
      </c>
      <c r="F123">
        <v>494</v>
      </c>
      <c r="G123">
        <v>56.41</v>
      </c>
      <c r="H123">
        <v>2023</v>
      </c>
      <c r="I123" t="s">
        <v>18</v>
      </c>
      <c r="J123" s="4">
        <v>0.11419028340081</v>
      </c>
      <c r="K123" t="s">
        <v>40</v>
      </c>
      <c r="L123" t="s">
        <v>52</v>
      </c>
      <c r="M123">
        <v>11</v>
      </c>
      <c r="N123" t="s">
        <v>58</v>
      </c>
    </row>
    <row r="124" spans="1:14" x14ac:dyDescent="0.3">
      <c r="A124" s="1">
        <v>44969</v>
      </c>
      <c r="B124" t="s">
        <v>10</v>
      </c>
      <c r="C124" t="s">
        <v>11</v>
      </c>
      <c r="D124" t="s">
        <v>17</v>
      </c>
      <c r="E124">
        <v>6</v>
      </c>
      <c r="F124">
        <v>1836</v>
      </c>
      <c r="G124">
        <v>508.81</v>
      </c>
      <c r="H124">
        <v>2023</v>
      </c>
      <c r="I124" t="s">
        <v>16</v>
      </c>
      <c r="J124" s="4">
        <v>0.27712962962963</v>
      </c>
      <c r="K124" t="s">
        <v>40</v>
      </c>
      <c r="L124" t="s">
        <v>55</v>
      </c>
      <c r="M124">
        <v>2</v>
      </c>
      <c r="N124" t="s">
        <v>57</v>
      </c>
    </row>
    <row r="125" spans="1:14" x14ac:dyDescent="0.3">
      <c r="A125" s="1">
        <v>44939</v>
      </c>
      <c r="B125" t="s">
        <v>10</v>
      </c>
      <c r="C125" t="s">
        <v>11</v>
      </c>
      <c r="D125" t="s">
        <v>12</v>
      </c>
      <c r="E125">
        <v>3</v>
      </c>
      <c r="F125">
        <v>1722</v>
      </c>
      <c r="G125">
        <v>203.04</v>
      </c>
      <c r="H125">
        <v>2023</v>
      </c>
      <c r="I125" t="s">
        <v>26</v>
      </c>
      <c r="J125" s="4">
        <v>0.11790940766550501</v>
      </c>
      <c r="K125" t="s">
        <v>40</v>
      </c>
      <c r="L125" t="s">
        <v>55</v>
      </c>
      <c r="M125">
        <v>1</v>
      </c>
      <c r="N125" t="s">
        <v>65</v>
      </c>
    </row>
    <row r="126" spans="1:14" x14ac:dyDescent="0.3">
      <c r="A126" s="1">
        <v>45217</v>
      </c>
      <c r="B126" t="s">
        <v>10</v>
      </c>
      <c r="C126" t="s">
        <v>11</v>
      </c>
      <c r="D126" t="s">
        <v>12</v>
      </c>
      <c r="E126">
        <v>6</v>
      </c>
      <c r="F126">
        <v>6846</v>
      </c>
      <c r="G126">
        <v>932.21</v>
      </c>
      <c r="H126">
        <v>2023</v>
      </c>
      <c r="I126" t="s">
        <v>14</v>
      </c>
      <c r="J126" s="4">
        <v>0.136168565585744</v>
      </c>
      <c r="K126" t="s">
        <v>40</v>
      </c>
      <c r="L126" t="s">
        <v>52</v>
      </c>
      <c r="M126">
        <v>10</v>
      </c>
      <c r="N126" t="s">
        <v>54</v>
      </c>
    </row>
    <row r="127" spans="1:14" x14ac:dyDescent="0.3">
      <c r="A127" s="1">
        <v>44960</v>
      </c>
      <c r="B127" t="s">
        <v>10</v>
      </c>
      <c r="C127" t="s">
        <v>11</v>
      </c>
      <c r="D127" t="s">
        <v>12</v>
      </c>
      <c r="E127">
        <v>5</v>
      </c>
      <c r="F127">
        <v>845</v>
      </c>
      <c r="G127">
        <v>69.349999999999994</v>
      </c>
      <c r="H127">
        <v>2023</v>
      </c>
      <c r="I127" t="s">
        <v>16</v>
      </c>
      <c r="J127" s="4">
        <v>8.2071005917159795E-2</v>
      </c>
      <c r="K127" t="s">
        <v>40</v>
      </c>
      <c r="L127" t="s">
        <v>55</v>
      </c>
      <c r="M127">
        <v>2</v>
      </c>
      <c r="N127" t="s">
        <v>57</v>
      </c>
    </row>
    <row r="128" spans="1:14" x14ac:dyDescent="0.3">
      <c r="A128" s="1">
        <v>44932</v>
      </c>
      <c r="B128" t="s">
        <v>10</v>
      </c>
      <c r="C128" t="s">
        <v>11</v>
      </c>
      <c r="D128" t="s">
        <v>19</v>
      </c>
      <c r="E128">
        <v>4</v>
      </c>
      <c r="F128">
        <v>4416</v>
      </c>
      <c r="G128">
        <v>1081.53</v>
      </c>
      <c r="H128">
        <v>2023</v>
      </c>
      <c r="I128" t="s">
        <v>26</v>
      </c>
      <c r="J128" s="4">
        <v>0.244911684782609</v>
      </c>
      <c r="K128" t="s">
        <v>40</v>
      </c>
      <c r="L128" t="s">
        <v>55</v>
      </c>
      <c r="M128">
        <v>1</v>
      </c>
      <c r="N128" t="s">
        <v>65</v>
      </c>
    </row>
    <row r="129" spans="1:14" x14ac:dyDescent="0.3">
      <c r="A129" s="1">
        <v>44999</v>
      </c>
      <c r="B129" t="s">
        <v>10</v>
      </c>
      <c r="C129" t="s">
        <v>11</v>
      </c>
      <c r="D129" t="s">
        <v>19</v>
      </c>
      <c r="E129">
        <v>4</v>
      </c>
      <c r="F129">
        <v>4692</v>
      </c>
      <c r="G129">
        <v>409.07</v>
      </c>
      <c r="H129">
        <v>2023</v>
      </c>
      <c r="I129" t="s">
        <v>15</v>
      </c>
      <c r="J129" s="4">
        <v>8.7184569479965904E-2</v>
      </c>
      <c r="K129" t="s">
        <v>40</v>
      </c>
      <c r="L129" t="s">
        <v>55</v>
      </c>
      <c r="M129">
        <v>3</v>
      </c>
      <c r="N129" t="s">
        <v>56</v>
      </c>
    </row>
    <row r="130" spans="1:14" x14ac:dyDescent="0.3">
      <c r="A130" s="1">
        <v>44993</v>
      </c>
      <c r="B130" t="s">
        <v>10</v>
      </c>
      <c r="C130" t="s">
        <v>11</v>
      </c>
      <c r="D130" t="s">
        <v>17</v>
      </c>
      <c r="E130">
        <v>2</v>
      </c>
      <c r="F130">
        <v>2134</v>
      </c>
      <c r="G130">
        <v>119.89</v>
      </c>
      <c r="H130">
        <v>2023</v>
      </c>
      <c r="I130" t="s">
        <v>15</v>
      </c>
      <c r="J130" s="4">
        <v>5.6180880974695403E-2</v>
      </c>
      <c r="K130" t="s">
        <v>40</v>
      </c>
      <c r="L130" t="s">
        <v>55</v>
      </c>
      <c r="M130">
        <v>3</v>
      </c>
      <c r="N130" t="s">
        <v>56</v>
      </c>
    </row>
    <row r="131" spans="1:14" x14ac:dyDescent="0.3">
      <c r="A131" s="1">
        <v>44976</v>
      </c>
      <c r="B131" t="s">
        <v>10</v>
      </c>
      <c r="C131" t="s">
        <v>11</v>
      </c>
      <c r="D131" t="s">
        <v>22</v>
      </c>
      <c r="E131">
        <v>3</v>
      </c>
      <c r="F131">
        <v>3126</v>
      </c>
      <c r="G131">
        <v>710.14</v>
      </c>
      <c r="H131">
        <v>2023</v>
      </c>
      <c r="I131" t="s">
        <v>16</v>
      </c>
      <c r="J131" s="4">
        <v>0.22717210492642401</v>
      </c>
      <c r="K131" t="s">
        <v>40</v>
      </c>
      <c r="L131" t="s">
        <v>55</v>
      </c>
      <c r="M131">
        <v>2</v>
      </c>
      <c r="N131" t="s">
        <v>57</v>
      </c>
    </row>
    <row r="132" spans="1:14" x14ac:dyDescent="0.3">
      <c r="A132" s="1">
        <v>45121</v>
      </c>
      <c r="B132" t="s">
        <v>10</v>
      </c>
      <c r="C132" t="s">
        <v>11</v>
      </c>
      <c r="D132" t="s">
        <v>22</v>
      </c>
      <c r="E132">
        <v>1</v>
      </c>
      <c r="F132">
        <v>440</v>
      </c>
      <c r="G132">
        <v>34.74</v>
      </c>
      <c r="H132">
        <v>2023</v>
      </c>
      <c r="I132" t="s">
        <v>25</v>
      </c>
      <c r="J132" s="4">
        <v>7.8954545454545402E-2</v>
      </c>
      <c r="K132" t="s">
        <v>40</v>
      </c>
      <c r="L132" t="s">
        <v>60</v>
      </c>
      <c r="M132">
        <v>7</v>
      </c>
      <c r="N132" t="s">
        <v>64</v>
      </c>
    </row>
    <row r="133" spans="1:14" x14ac:dyDescent="0.3">
      <c r="A133" s="1">
        <v>45136</v>
      </c>
      <c r="B133" t="s">
        <v>10</v>
      </c>
      <c r="C133" t="s">
        <v>11</v>
      </c>
      <c r="D133" t="s">
        <v>22</v>
      </c>
      <c r="E133">
        <v>3</v>
      </c>
      <c r="F133">
        <v>1098</v>
      </c>
      <c r="G133">
        <v>77.81</v>
      </c>
      <c r="H133">
        <v>2023</v>
      </c>
      <c r="I133" t="s">
        <v>25</v>
      </c>
      <c r="J133" s="4">
        <v>7.0865209471766805E-2</v>
      </c>
      <c r="K133" t="s">
        <v>40</v>
      </c>
      <c r="L133" t="s">
        <v>60</v>
      </c>
      <c r="M133">
        <v>7</v>
      </c>
      <c r="N133" t="s">
        <v>64</v>
      </c>
    </row>
    <row r="134" spans="1:14" x14ac:dyDescent="0.3">
      <c r="A134" s="1">
        <v>45009</v>
      </c>
      <c r="B134" t="s">
        <v>10</v>
      </c>
      <c r="C134" t="s">
        <v>11</v>
      </c>
      <c r="D134" t="s">
        <v>12</v>
      </c>
      <c r="E134">
        <v>7</v>
      </c>
      <c r="F134">
        <v>7455</v>
      </c>
      <c r="G134">
        <v>966.64</v>
      </c>
      <c r="H134">
        <v>2023</v>
      </c>
      <c r="I134" t="s">
        <v>15</v>
      </c>
      <c r="J134" s="4">
        <v>0.12966331321260899</v>
      </c>
      <c r="K134" t="s">
        <v>40</v>
      </c>
      <c r="L134" t="s">
        <v>55</v>
      </c>
      <c r="M134">
        <v>3</v>
      </c>
      <c r="N134" t="s">
        <v>56</v>
      </c>
    </row>
    <row r="135" spans="1:14" x14ac:dyDescent="0.3">
      <c r="A135" s="1">
        <v>45279</v>
      </c>
      <c r="B135" t="s">
        <v>10</v>
      </c>
      <c r="C135" t="s">
        <v>11</v>
      </c>
      <c r="D135" t="s">
        <v>12</v>
      </c>
      <c r="E135">
        <v>3</v>
      </c>
      <c r="F135">
        <v>1959</v>
      </c>
      <c r="G135">
        <v>274.27</v>
      </c>
      <c r="H135">
        <v>2023</v>
      </c>
      <c r="I135" t="s">
        <v>13</v>
      </c>
      <c r="J135" s="4">
        <v>0.140005104645227</v>
      </c>
      <c r="K135" t="s">
        <v>40</v>
      </c>
      <c r="L135" t="s">
        <v>52</v>
      </c>
      <c r="M135">
        <v>12</v>
      </c>
      <c r="N135" t="s">
        <v>53</v>
      </c>
    </row>
    <row r="136" spans="1:14" x14ac:dyDescent="0.3">
      <c r="A136" s="1">
        <v>45356</v>
      </c>
      <c r="B136" t="s">
        <v>10</v>
      </c>
      <c r="C136" t="s">
        <v>11</v>
      </c>
      <c r="D136" t="s">
        <v>22</v>
      </c>
      <c r="E136">
        <v>1</v>
      </c>
      <c r="F136">
        <v>219</v>
      </c>
      <c r="G136">
        <v>32.67</v>
      </c>
      <c r="H136">
        <v>2024</v>
      </c>
      <c r="I136" t="s">
        <v>15</v>
      </c>
      <c r="J136" s="4">
        <v>0.149178082191781</v>
      </c>
      <c r="K136" t="s">
        <v>41</v>
      </c>
      <c r="L136" t="s">
        <v>55</v>
      </c>
      <c r="M136">
        <v>3</v>
      </c>
      <c r="N136" t="s">
        <v>56</v>
      </c>
    </row>
    <row r="137" spans="1:14" x14ac:dyDescent="0.3">
      <c r="A137" s="1">
        <v>45480</v>
      </c>
      <c r="B137" t="s">
        <v>10</v>
      </c>
      <c r="C137" t="s">
        <v>11</v>
      </c>
      <c r="D137" t="s">
        <v>19</v>
      </c>
      <c r="E137">
        <v>1</v>
      </c>
      <c r="F137">
        <v>673</v>
      </c>
      <c r="G137">
        <v>114.42</v>
      </c>
      <c r="H137">
        <v>2024</v>
      </c>
      <c r="I137" t="s">
        <v>25</v>
      </c>
      <c r="J137" s="4">
        <v>0.17001485884101</v>
      </c>
      <c r="K137" t="s">
        <v>41</v>
      </c>
      <c r="L137" t="s">
        <v>60</v>
      </c>
      <c r="M137">
        <v>7</v>
      </c>
      <c r="N137" t="s">
        <v>64</v>
      </c>
    </row>
    <row r="138" spans="1:14" x14ac:dyDescent="0.3">
      <c r="A138" s="1">
        <v>45568</v>
      </c>
      <c r="B138" t="s">
        <v>10</v>
      </c>
      <c r="C138" t="s">
        <v>11</v>
      </c>
      <c r="D138" t="s">
        <v>12</v>
      </c>
      <c r="E138">
        <v>5</v>
      </c>
      <c r="F138">
        <v>3140</v>
      </c>
      <c r="G138">
        <v>853.66</v>
      </c>
      <c r="H138">
        <v>2024</v>
      </c>
      <c r="I138" t="s">
        <v>14</v>
      </c>
      <c r="J138" s="4">
        <v>0.27186624203821702</v>
      </c>
      <c r="K138" t="s">
        <v>41</v>
      </c>
      <c r="L138" t="s">
        <v>52</v>
      </c>
      <c r="M138">
        <v>10</v>
      </c>
      <c r="N138" t="s">
        <v>54</v>
      </c>
    </row>
    <row r="139" spans="1:14" x14ac:dyDescent="0.3">
      <c r="A139" s="1">
        <v>45483</v>
      </c>
      <c r="B139" t="s">
        <v>10</v>
      </c>
      <c r="C139" t="s">
        <v>11</v>
      </c>
      <c r="D139" t="s">
        <v>17</v>
      </c>
      <c r="E139">
        <v>5</v>
      </c>
      <c r="F139">
        <v>2520</v>
      </c>
      <c r="G139">
        <v>487.18</v>
      </c>
      <c r="H139">
        <v>2024</v>
      </c>
      <c r="I139" t="s">
        <v>25</v>
      </c>
      <c r="J139" s="4">
        <v>0.19332539682539701</v>
      </c>
      <c r="K139" t="s">
        <v>41</v>
      </c>
      <c r="L139" t="s">
        <v>60</v>
      </c>
      <c r="M139">
        <v>7</v>
      </c>
      <c r="N139" t="s">
        <v>64</v>
      </c>
    </row>
    <row r="140" spans="1:14" x14ac:dyDescent="0.3">
      <c r="A140" s="1">
        <v>45513</v>
      </c>
      <c r="B140" t="s">
        <v>10</v>
      </c>
      <c r="C140" t="s">
        <v>11</v>
      </c>
      <c r="D140" t="s">
        <v>19</v>
      </c>
      <c r="E140">
        <v>9</v>
      </c>
      <c r="F140">
        <v>5661</v>
      </c>
      <c r="G140">
        <v>1104.02</v>
      </c>
      <c r="H140">
        <v>2024</v>
      </c>
      <c r="I140" t="s">
        <v>24</v>
      </c>
      <c r="J140" s="4">
        <v>0.19502208090443399</v>
      </c>
      <c r="K140" t="s">
        <v>41</v>
      </c>
      <c r="L140" t="s">
        <v>60</v>
      </c>
      <c r="M140">
        <v>8</v>
      </c>
      <c r="N140" t="s">
        <v>63</v>
      </c>
    </row>
    <row r="141" spans="1:14" x14ac:dyDescent="0.3">
      <c r="A141" s="1">
        <v>45377</v>
      </c>
      <c r="B141" t="s">
        <v>10</v>
      </c>
      <c r="C141" t="s">
        <v>11</v>
      </c>
      <c r="D141" t="s">
        <v>22</v>
      </c>
      <c r="E141">
        <v>3</v>
      </c>
      <c r="F141">
        <v>402</v>
      </c>
      <c r="G141">
        <v>106.87</v>
      </c>
      <c r="H141">
        <v>2024</v>
      </c>
      <c r="I141" t="s">
        <v>15</v>
      </c>
      <c r="J141" s="4">
        <v>0.26584577114427899</v>
      </c>
      <c r="K141" t="s">
        <v>41</v>
      </c>
      <c r="L141" t="s">
        <v>55</v>
      </c>
      <c r="M141">
        <v>3</v>
      </c>
      <c r="N141" t="s">
        <v>56</v>
      </c>
    </row>
    <row r="142" spans="1:14" x14ac:dyDescent="0.3">
      <c r="A142" s="1">
        <v>45539</v>
      </c>
      <c r="B142" t="s">
        <v>10</v>
      </c>
      <c r="C142" t="s">
        <v>11</v>
      </c>
      <c r="D142" t="s">
        <v>12</v>
      </c>
      <c r="E142">
        <v>5</v>
      </c>
      <c r="F142">
        <v>5785</v>
      </c>
      <c r="G142">
        <v>1191.1099999999999</v>
      </c>
      <c r="H142">
        <v>2024</v>
      </c>
      <c r="I142" t="s">
        <v>21</v>
      </c>
      <c r="J142" s="4">
        <v>0.20589628349178901</v>
      </c>
      <c r="K142" t="s">
        <v>41</v>
      </c>
      <c r="L142" t="s">
        <v>60</v>
      </c>
      <c r="M142">
        <v>9</v>
      </c>
      <c r="N142" t="s">
        <v>61</v>
      </c>
    </row>
    <row r="143" spans="1:14" x14ac:dyDescent="0.3">
      <c r="A143" s="1">
        <v>45492</v>
      </c>
      <c r="B143" t="s">
        <v>10</v>
      </c>
      <c r="C143" t="s">
        <v>11</v>
      </c>
      <c r="D143" t="s">
        <v>22</v>
      </c>
      <c r="E143">
        <v>5</v>
      </c>
      <c r="F143">
        <v>3135</v>
      </c>
      <c r="G143">
        <v>277.27999999999997</v>
      </c>
      <c r="H143">
        <v>2024</v>
      </c>
      <c r="I143" t="s">
        <v>25</v>
      </c>
      <c r="J143" s="4">
        <v>8.8446570972886801E-2</v>
      </c>
      <c r="K143" t="s">
        <v>41</v>
      </c>
      <c r="L143" t="s">
        <v>60</v>
      </c>
      <c r="M143">
        <v>7</v>
      </c>
      <c r="N143" t="s">
        <v>64</v>
      </c>
    </row>
    <row r="144" spans="1:14" x14ac:dyDescent="0.3">
      <c r="A144" s="1">
        <v>45484</v>
      </c>
      <c r="B144" t="s">
        <v>10</v>
      </c>
      <c r="C144" t="s">
        <v>11</v>
      </c>
      <c r="D144" t="s">
        <v>22</v>
      </c>
      <c r="E144">
        <v>5</v>
      </c>
      <c r="F144">
        <v>1755</v>
      </c>
      <c r="G144">
        <v>358.01</v>
      </c>
      <c r="H144">
        <v>2024</v>
      </c>
      <c r="I144" t="s">
        <v>25</v>
      </c>
      <c r="J144" s="4">
        <v>0.20399430199430199</v>
      </c>
      <c r="K144" t="s">
        <v>41</v>
      </c>
      <c r="L144" t="s">
        <v>60</v>
      </c>
      <c r="M144">
        <v>7</v>
      </c>
      <c r="N144" t="s">
        <v>64</v>
      </c>
    </row>
    <row r="145" spans="1:14" x14ac:dyDescent="0.3">
      <c r="A145" s="1">
        <v>45545</v>
      </c>
      <c r="B145" t="s">
        <v>10</v>
      </c>
      <c r="C145" t="s">
        <v>11</v>
      </c>
      <c r="D145" t="s">
        <v>17</v>
      </c>
      <c r="E145">
        <v>5</v>
      </c>
      <c r="F145">
        <v>1815</v>
      </c>
      <c r="G145">
        <v>535.22</v>
      </c>
      <c r="H145">
        <v>2024</v>
      </c>
      <c r="I145" t="s">
        <v>21</v>
      </c>
      <c r="J145" s="4">
        <v>0.29488705234159801</v>
      </c>
      <c r="K145" t="s">
        <v>41</v>
      </c>
      <c r="L145" t="s">
        <v>60</v>
      </c>
      <c r="M145">
        <v>9</v>
      </c>
      <c r="N145" t="s">
        <v>61</v>
      </c>
    </row>
    <row r="146" spans="1:14" x14ac:dyDescent="0.3">
      <c r="A146" s="1">
        <v>45417</v>
      </c>
      <c r="B146" t="s">
        <v>10</v>
      </c>
      <c r="C146" t="s">
        <v>11</v>
      </c>
      <c r="D146" t="s">
        <v>17</v>
      </c>
      <c r="E146">
        <v>8</v>
      </c>
      <c r="F146">
        <v>6928</v>
      </c>
      <c r="G146">
        <v>1415.16</v>
      </c>
      <c r="H146">
        <v>2024</v>
      </c>
      <c r="I146" t="s">
        <v>20</v>
      </c>
      <c r="J146" s="4">
        <v>0.204266743648961</v>
      </c>
      <c r="K146" t="s">
        <v>41</v>
      </c>
      <c r="L146" t="s">
        <v>59</v>
      </c>
      <c r="M146">
        <v>5</v>
      </c>
      <c r="N146" t="s">
        <v>20</v>
      </c>
    </row>
    <row r="147" spans="1:14" x14ac:dyDescent="0.3">
      <c r="A147" s="1">
        <v>45560</v>
      </c>
      <c r="B147" t="s">
        <v>10</v>
      </c>
      <c r="C147" t="s">
        <v>11</v>
      </c>
      <c r="D147" t="s">
        <v>17</v>
      </c>
      <c r="E147">
        <v>8</v>
      </c>
      <c r="F147">
        <v>6488</v>
      </c>
      <c r="G147">
        <v>1072.8599999999999</v>
      </c>
      <c r="H147">
        <v>2024</v>
      </c>
      <c r="I147" t="s">
        <v>21</v>
      </c>
      <c r="J147" s="4">
        <v>0.16536066584463599</v>
      </c>
      <c r="K147" t="s">
        <v>41</v>
      </c>
      <c r="L147" t="s">
        <v>60</v>
      </c>
      <c r="M147">
        <v>9</v>
      </c>
      <c r="N147" t="s">
        <v>61</v>
      </c>
    </row>
    <row r="148" spans="1:14" x14ac:dyDescent="0.3">
      <c r="A148" s="1">
        <v>45355</v>
      </c>
      <c r="B148" t="s">
        <v>10</v>
      </c>
      <c r="C148" t="s">
        <v>11</v>
      </c>
      <c r="D148" t="s">
        <v>17</v>
      </c>
      <c r="E148">
        <v>3</v>
      </c>
      <c r="F148">
        <v>204</v>
      </c>
      <c r="G148">
        <v>20.43</v>
      </c>
      <c r="H148">
        <v>2024</v>
      </c>
      <c r="I148" t="s">
        <v>15</v>
      </c>
      <c r="J148" s="4">
        <v>0.10014705882352901</v>
      </c>
      <c r="K148" t="s">
        <v>41</v>
      </c>
      <c r="L148" t="s">
        <v>55</v>
      </c>
      <c r="M148">
        <v>3</v>
      </c>
      <c r="N148" t="s">
        <v>56</v>
      </c>
    </row>
    <row r="149" spans="1:14" x14ac:dyDescent="0.3">
      <c r="A149" s="1">
        <v>45453</v>
      </c>
      <c r="B149" t="s">
        <v>10</v>
      </c>
      <c r="C149" t="s">
        <v>11</v>
      </c>
      <c r="D149" t="s">
        <v>19</v>
      </c>
      <c r="E149">
        <v>3</v>
      </c>
      <c r="F149">
        <v>828</v>
      </c>
      <c r="G149">
        <v>117.95</v>
      </c>
      <c r="H149">
        <v>2024</v>
      </c>
      <c r="I149" t="s">
        <v>27</v>
      </c>
      <c r="J149" s="4">
        <v>0.142451690821256</v>
      </c>
      <c r="K149" t="s">
        <v>41</v>
      </c>
      <c r="L149" t="s">
        <v>59</v>
      </c>
      <c r="M149">
        <v>6</v>
      </c>
      <c r="N149" t="s">
        <v>66</v>
      </c>
    </row>
    <row r="150" spans="1:14" x14ac:dyDescent="0.3">
      <c r="A150" s="1">
        <v>45630</v>
      </c>
      <c r="B150" t="s">
        <v>10</v>
      </c>
      <c r="C150" t="s">
        <v>11</v>
      </c>
      <c r="D150" t="s">
        <v>22</v>
      </c>
      <c r="E150">
        <v>8</v>
      </c>
      <c r="F150">
        <v>2192</v>
      </c>
      <c r="G150">
        <v>441.77</v>
      </c>
      <c r="H150">
        <v>2024</v>
      </c>
      <c r="I150" t="s">
        <v>13</v>
      </c>
      <c r="J150" s="4">
        <v>0.20153740875912399</v>
      </c>
      <c r="K150" t="s">
        <v>41</v>
      </c>
      <c r="L150" t="s">
        <v>52</v>
      </c>
      <c r="M150">
        <v>12</v>
      </c>
      <c r="N150" t="s">
        <v>53</v>
      </c>
    </row>
    <row r="151" spans="1:14" x14ac:dyDescent="0.3">
      <c r="A151" s="1">
        <v>45294</v>
      </c>
      <c r="B151" t="s">
        <v>10</v>
      </c>
      <c r="C151" t="s">
        <v>11</v>
      </c>
      <c r="D151" t="s">
        <v>12</v>
      </c>
      <c r="E151">
        <v>9</v>
      </c>
      <c r="F151">
        <v>3627</v>
      </c>
      <c r="G151">
        <v>797.53</v>
      </c>
      <c r="H151">
        <v>2024</v>
      </c>
      <c r="I151" t="s">
        <v>26</v>
      </c>
      <c r="J151" s="4">
        <v>0.219886958919217</v>
      </c>
      <c r="K151" t="s">
        <v>41</v>
      </c>
      <c r="L151" t="s">
        <v>55</v>
      </c>
      <c r="M151">
        <v>1</v>
      </c>
      <c r="N151" t="s">
        <v>65</v>
      </c>
    </row>
    <row r="152" spans="1:14" x14ac:dyDescent="0.3">
      <c r="A152" s="1">
        <v>45430</v>
      </c>
      <c r="B152" t="s">
        <v>10</v>
      </c>
      <c r="C152" t="s">
        <v>11</v>
      </c>
      <c r="D152" t="s">
        <v>17</v>
      </c>
      <c r="E152">
        <v>5</v>
      </c>
      <c r="F152">
        <v>1775</v>
      </c>
      <c r="G152">
        <v>486.37</v>
      </c>
      <c r="H152">
        <v>2024</v>
      </c>
      <c r="I152" t="s">
        <v>20</v>
      </c>
      <c r="J152" s="4">
        <v>0.27401126760563399</v>
      </c>
      <c r="K152" t="s">
        <v>41</v>
      </c>
      <c r="L152" t="s">
        <v>59</v>
      </c>
      <c r="M152">
        <v>5</v>
      </c>
      <c r="N152" t="s">
        <v>20</v>
      </c>
    </row>
    <row r="153" spans="1:14" x14ac:dyDescent="0.3">
      <c r="A153" s="1">
        <v>45592</v>
      </c>
      <c r="B153" t="s">
        <v>10</v>
      </c>
      <c r="C153" t="s">
        <v>11</v>
      </c>
      <c r="D153" t="s">
        <v>17</v>
      </c>
      <c r="E153">
        <v>1</v>
      </c>
      <c r="F153">
        <v>930</v>
      </c>
      <c r="G153">
        <v>136.16</v>
      </c>
      <c r="H153">
        <v>2024</v>
      </c>
      <c r="I153" t="s">
        <v>14</v>
      </c>
      <c r="J153" s="4">
        <v>0.146408602150538</v>
      </c>
      <c r="K153" t="s">
        <v>41</v>
      </c>
      <c r="L153" t="s">
        <v>52</v>
      </c>
      <c r="M153">
        <v>10</v>
      </c>
      <c r="N153" t="s">
        <v>54</v>
      </c>
    </row>
    <row r="154" spans="1:14" x14ac:dyDescent="0.3">
      <c r="A154" s="1">
        <v>45368</v>
      </c>
      <c r="B154" t="s">
        <v>10</v>
      </c>
      <c r="C154" t="s">
        <v>11</v>
      </c>
      <c r="D154" t="s">
        <v>12</v>
      </c>
      <c r="E154">
        <v>4</v>
      </c>
      <c r="F154">
        <v>1196</v>
      </c>
      <c r="G154">
        <v>223.66</v>
      </c>
      <c r="H154">
        <v>2024</v>
      </c>
      <c r="I154" t="s">
        <v>15</v>
      </c>
      <c r="J154" s="4">
        <v>0.18700668896321099</v>
      </c>
      <c r="K154" t="s">
        <v>41</v>
      </c>
      <c r="L154" t="s">
        <v>55</v>
      </c>
      <c r="M154">
        <v>3</v>
      </c>
      <c r="N154" t="s">
        <v>56</v>
      </c>
    </row>
    <row r="155" spans="1:14" x14ac:dyDescent="0.3">
      <c r="A155" s="1">
        <v>45586</v>
      </c>
      <c r="B155" t="s">
        <v>10</v>
      </c>
      <c r="C155" t="s">
        <v>11</v>
      </c>
      <c r="D155" t="s">
        <v>12</v>
      </c>
      <c r="E155">
        <v>4</v>
      </c>
      <c r="F155">
        <v>2792</v>
      </c>
      <c r="G155">
        <v>725.35</v>
      </c>
      <c r="H155">
        <v>2024</v>
      </c>
      <c r="I155" t="s">
        <v>14</v>
      </c>
      <c r="J155" s="4">
        <v>0.25979584527220601</v>
      </c>
      <c r="K155" t="s">
        <v>41</v>
      </c>
      <c r="L155" t="s">
        <v>52</v>
      </c>
      <c r="M155">
        <v>10</v>
      </c>
      <c r="N155" t="s">
        <v>54</v>
      </c>
    </row>
    <row r="156" spans="1:14" x14ac:dyDescent="0.3">
      <c r="A156" s="1">
        <v>45417</v>
      </c>
      <c r="B156" t="s">
        <v>10</v>
      </c>
      <c r="C156" t="s">
        <v>11</v>
      </c>
      <c r="D156" t="s">
        <v>17</v>
      </c>
      <c r="E156">
        <v>1</v>
      </c>
      <c r="F156">
        <v>276</v>
      </c>
      <c r="G156">
        <v>42.68</v>
      </c>
      <c r="H156">
        <v>2024</v>
      </c>
      <c r="I156" t="s">
        <v>20</v>
      </c>
      <c r="J156" s="4">
        <v>0.15463768115942</v>
      </c>
      <c r="K156" t="s">
        <v>41</v>
      </c>
      <c r="L156" t="s">
        <v>59</v>
      </c>
      <c r="M156">
        <v>5</v>
      </c>
      <c r="N156" t="s">
        <v>20</v>
      </c>
    </row>
    <row r="157" spans="1:14" x14ac:dyDescent="0.3">
      <c r="A157" s="1">
        <v>45437</v>
      </c>
      <c r="B157" t="s">
        <v>10</v>
      </c>
      <c r="C157" t="s">
        <v>11</v>
      </c>
      <c r="D157" t="s">
        <v>19</v>
      </c>
      <c r="E157">
        <v>7</v>
      </c>
      <c r="F157">
        <v>7077</v>
      </c>
      <c r="G157">
        <v>1921.73</v>
      </c>
      <c r="H157">
        <v>2024</v>
      </c>
      <c r="I157" t="s">
        <v>20</v>
      </c>
      <c r="J157" s="4">
        <v>0.27154585276247001</v>
      </c>
      <c r="K157" t="s">
        <v>41</v>
      </c>
      <c r="L157" t="s">
        <v>59</v>
      </c>
      <c r="M157">
        <v>5</v>
      </c>
      <c r="N157" t="s">
        <v>20</v>
      </c>
    </row>
    <row r="158" spans="1:14" x14ac:dyDescent="0.3">
      <c r="A158" s="1">
        <v>45610</v>
      </c>
      <c r="B158" t="s">
        <v>10</v>
      </c>
      <c r="C158" t="s">
        <v>11</v>
      </c>
      <c r="D158" t="s">
        <v>22</v>
      </c>
      <c r="E158">
        <v>9</v>
      </c>
      <c r="F158">
        <v>5895</v>
      </c>
      <c r="G158">
        <v>442.49</v>
      </c>
      <c r="H158">
        <v>2024</v>
      </c>
      <c r="I158" t="s">
        <v>18</v>
      </c>
      <c r="J158" s="4">
        <v>7.5061916878710805E-2</v>
      </c>
      <c r="K158" t="s">
        <v>41</v>
      </c>
      <c r="L158" t="s">
        <v>52</v>
      </c>
      <c r="M158">
        <v>11</v>
      </c>
      <c r="N158" t="s">
        <v>58</v>
      </c>
    </row>
    <row r="159" spans="1:14" x14ac:dyDescent="0.3">
      <c r="A159" s="1">
        <v>45388</v>
      </c>
      <c r="B159" t="s">
        <v>10</v>
      </c>
      <c r="C159" t="s">
        <v>11</v>
      </c>
      <c r="D159" t="s">
        <v>19</v>
      </c>
      <c r="E159">
        <v>4</v>
      </c>
      <c r="F159">
        <v>4192</v>
      </c>
      <c r="G159">
        <v>216.16</v>
      </c>
      <c r="H159">
        <v>2024</v>
      </c>
      <c r="I159" t="s">
        <v>23</v>
      </c>
      <c r="J159" s="4">
        <v>5.1564885496183203E-2</v>
      </c>
      <c r="K159" t="s">
        <v>41</v>
      </c>
      <c r="L159" t="s">
        <v>59</v>
      </c>
      <c r="M159">
        <v>4</v>
      </c>
      <c r="N159" t="s">
        <v>62</v>
      </c>
    </row>
    <row r="160" spans="1:14" x14ac:dyDescent="0.3">
      <c r="A160" s="1">
        <v>45477</v>
      </c>
      <c r="B160" t="s">
        <v>10</v>
      </c>
      <c r="C160" t="s">
        <v>11</v>
      </c>
      <c r="D160" t="s">
        <v>19</v>
      </c>
      <c r="E160">
        <v>4</v>
      </c>
      <c r="F160">
        <v>4492</v>
      </c>
      <c r="G160">
        <v>670.42</v>
      </c>
      <c r="H160">
        <v>2024</v>
      </c>
      <c r="I160" t="s">
        <v>25</v>
      </c>
      <c r="J160" s="4">
        <v>0.14924755120213701</v>
      </c>
      <c r="K160" t="s">
        <v>41</v>
      </c>
      <c r="L160" t="s">
        <v>60</v>
      </c>
      <c r="M160">
        <v>7</v>
      </c>
      <c r="N160" t="s">
        <v>64</v>
      </c>
    </row>
    <row r="161" spans="1:14" x14ac:dyDescent="0.3">
      <c r="A161" s="1">
        <v>45438</v>
      </c>
      <c r="B161" t="s">
        <v>10</v>
      </c>
      <c r="C161" t="s">
        <v>11</v>
      </c>
      <c r="D161" t="s">
        <v>22</v>
      </c>
      <c r="E161">
        <v>6</v>
      </c>
      <c r="F161">
        <v>606</v>
      </c>
      <c r="G161">
        <v>104.85</v>
      </c>
      <c r="H161">
        <v>2024</v>
      </c>
      <c r="I161" t="s">
        <v>20</v>
      </c>
      <c r="J161" s="4">
        <v>0.17301980198019801</v>
      </c>
      <c r="K161" t="s">
        <v>41</v>
      </c>
      <c r="L161" t="s">
        <v>59</v>
      </c>
      <c r="M161">
        <v>5</v>
      </c>
      <c r="N161" t="s">
        <v>20</v>
      </c>
    </row>
    <row r="162" spans="1:14" x14ac:dyDescent="0.3">
      <c r="A162" s="1">
        <v>45426</v>
      </c>
      <c r="B162" t="s">
        <v>10</v>
      </c>
      <c r="C162" t="s">
        <v>11</v>
      </c>
      <c r="D162" t="s">
        <v>12</v>
      </c>
      <c r="E162">
        <v>9</v>
      </c>
      <c r="F162">
        <v>10143</v>
      </c>
      <c r="G162">
        <v>1690.66</v>
      </c>
      <c r="H162">
        <v>2024</v>
      </c>
      <c r="I162" t="s">
        <v>20</v>
      </c>
      <c r="J162" s="4">
        <v>0.16668244109237901</v>
      </c>
      <c r="K162" t="s">
        <v>41</v>
      </c>
      <c r="L162" t="s">
        <v>59</v>
      </c>
      <c r="M162">
        <v>5</v>
      </c>
      <c r="N162" t="s">
        <v>20</v>
      </c>
    </row>
    <row r="163" spans="1:14" x14ac:dyDescent="0.3">
      <c r="A163" s="1">
        <v>45526</v>
      </c>
      <c r="B163" t="s">
        <v>10</v>
      </c>
      <c r="C163" t="s">
        <v>11</v>
      </c>
      <c r="D163" t="s">
        <v>19</v>
      </c>
      <c r="E163">
        <v>7</v>
      </c>
      <c r="F163">
        <v>1540</v>
      </c>
      <c r="G163">
        <v>342.93</v>
      </c>
      <c r="H163">
        <v>2024</v>
      </c>
      <c r="I163" t="s">
        <v>24</v>
      </c>
      <c r="J163" s="4">
        <v>0.22268181818181801</v>
      </c>
      <c r="K163" t="s">
        <v>41</v>
      </c>
      <c r="L163" t="s">
        <v>60</v>
      </c>
      <c r="M163">
        <v>8</v>
      </c>
      <c r="N163" t="s">
        <v>63</v>
      </c>
    </row>
    <row r="164" spans="1:14" x14ac:dyDescent="0.3">
      <c r="A164" s="1">
        <v>45500</v>
      </c>
      <c r="B164" t="s">
        <v>10</v>
      </c>
      <c r="C164" t="s">
        <v>11</v>
      </c>
      <c r="D164" t="s">
        <v>19</v>
      </c>
      <c r="E164">
        <v>1</v>
      </c>
      <c r="F164">
        <v>712</v>
      </c>
      <c r="G164">
        <v>89.5</v>
      </c>
      <c r="H164">
        <v>2024</v>
      </c>
      <c r="I164" t="s">
        <v>25</v>
      </c>
      <c r="J164" s="4">
        <v>0.125702247191011</v>
      </c>
      <c r="K164" t="s">
        <v>41</v>
      </c>
      <c r="L164" t="s">
        <v>60</v>
      </c>
      <c r="M164">
        <v>7</v>
      </c>
      <c r="N164" t="s">
        <v>64</v>
      </c>
    </row>
    <row r="165" spans="1:14" x14ac:dyDescent="0.3">
      <c r="A165" s="1">
        <v>45395</v>
      </c>
      <c r="B165" t="s">
        <v>10</v>
      </c>
      <c r="C165" t="s">
        <v>11</v>
      </c>
      <c r="D165" t="s">
        <v>12</v>
      </c>
      <c r="E165">
        <v>6</v>
      </c>
      <c r="F165">
        <v>5706</v>
      </c>
      <c r="G165">
        <v>319.45999999999998</v>
      </c>
      <c r="H165">
        <v>2024</v>
      </c>
      <c r="I165" t="s">
        <v>23</v>
      </c>
      <c r="J165" s="4">
        <v>5.5986680686996103E-2</v>
      </c>
      <c r="K165" t="s">
        <v>41</v>
      </c>
      <c r="L165" t="s">
        <v>59</v>
      </c>
      <c r="M165">
        <v>4</v>
      </c>
      <c r="N165" t="s">
        <v>62</v>
      </c>
    </row>
    <row r="166" spans="1:14" x14ac:dyDescent="0.3">
      <c r="A166" s="1">
        <v>45314</v>
      </c>
      <c r="B166" t="s">
        <v>10</v>
      </c>
      <c r="C166" t="s">
        <v>11</v>
      </c>
      <c r="D166" t="s">
        <v>17</v>
      </c>
      <c r="E166">
        <v>2</v>
      </c>
      <c r="F166">
        <v>2066</v>
      </c>
      <c r="G166">
        <v>608.23</v>
      </c>
      <c r="H166">
        <v>2024</v>
      </c>
      <c r="I166" t="s">
        <v>26</v>
      </c>
      <c r="J166" s="4">
        <v>0.29439980638915803</v>
      </c>
      <c r="K166" t="s">
        <v>41</v>
      </c>
      <c r="L166" t="s">
        <v>55</v>
      </c>
      <c r="M166">
        <v>1</v>
      </c>
      <c r="N166" t="s">
        <v>65</v>
      </c>
    </row>
    <row r="167" spans="1:14" x14ac:dyDescent="0.3">
      <c r="A167" s="1">
        <v>45577</v>
      </c>
      <c r="B167" t="s">
        <v>10</v>
      </c>
      <c r="C167" t="s">
        <v>11</v>
      </c>
      <c r="D167" t="s">
        <v>17</v>
      </c>
      <c r="E167">
        <v>4</v>
      </c>
      <c r="F167">
        <v>784</v>
      </c>
      <c r="G167">
        <v>192.77</v>
      </c>
      <c r="H167">
        <v>2024</v>
      </c>
      <c r="I167" t="s">
        <v>14</v>
      </c>
      <c r="J167" s="4">
        <v>0.24588010204081601</v>
      </c>
      <c r="K167" t="s">
        <v>41</v>
      </c>
      <c r="L167" t="s">
        <v>52</v>
      </c>
      <c r="M167">
        <v>10</v>
      </c>
      <c r="N167" t="s">
        <v>54</v>
      </c>
    </row>
    <row r="168" spans="1:14" x14ac:dyDescent="0.3">
      <c r="A168" s="1">
        <v>45641</v>
      </c>
      <c r="B168" t="s">
        <v>10</v>
      </c>
      <c r="C168" t="s">
        <v>11</v>
      </c>
      <c r="D168" t="s">
        <v>12</v>
      </c>
      <c r="E168">
        <v>5</v>
      </c>
      <c r="F168">
        <v>3685</v>
      </c>
      <c r="G168">
        <v>476.2</v>
      </c>
      <c r="H168">
        <v>2024</v>
      </c>
      <c r="I168" t="s">
        <v>13</v>
      </c>
      <c r="J168" s="4">
        <v>0.12922659430122099</v>
      </c>
      <c r="K168" t="s">
        <v>41</v>
      </c>
      <c r="L168" t="s">
        <v>52</v>
      </c>
      <c r="M168">
        <v>12</v>
      </c>
      <c r="N168" t="s">
        <v>53</v>
      </c>
    </row>
    <row r="169" spans="1:14" x14ac:dyDescent="0.3">
      <c r="A169" s="1">
        <v>45407</v>
      </c>
      <c r="B169" t="s">
        <v>10</v>
      </c>
      <c r="C169" t="s">
        <v>11</v>
      </c>
      <c r="D169" t="s">
        <v>17</v>
      </c>
      <c r="E169">
        <v>8</v>
      </c>
      <c r="F169">
        <v>4080</v>
      </c>
      <c r="G169">
        <v>1079.49</v>
      </c>
      <c r="H169">
        <v>2024</v>
      </c>
      <c r="I169" t="s">
        <v>23</v>
      </c>
      <c r="J169" s="4">
        <v>0.26458088235294103</v>
      </c>
      <c r="K169" t="s">
        <v>41</v>
      </c>
      <c r="L169" t="s">
        <v>59</v>
      </c>
      <c r="M169">
        <v>4</v>
      </c>
      <c r="N169" t="s">
        <v>62</v>
      </c>
    </row>
    <row r="170" spans="1:14" x14ac:dyDescent="0.3">
      <c r="A170" s="1">
        <v>45624</v>
      </c>
      <c r="B170" t="s">
        <v>10</v>
      </c>
      <c r="C170" t="s">
        <v>11</v>
      </c>
      <c r="D170" t="s">
        <v>12</v>
      </c>
      <c r="E170">
        <v>6</v>
      </c>
      <c r="F170">
        <v>4116</v>
      </c>
      <c r="G170">
        <v>381.35</v>
      </c>
      <c r="H170">
        <v>2024</v>
      </c>
      <c r="I170" t="s">
        <v>18</v>
      </c>
      <c r="J170" s="4">
        <v>9.2650631681243906E-2</v>
      </c>
      <c r="K170" t="s">
        <v>41</v>
      </c>
      <c r="L170" t="s">
        <v>52</v>
      </c>
      <c r="M170">
        <v>11</v>
      </c>
      <c r="N170" t="s">
        <v>58</v>
      </c>
    </row>
    <row r="171" spans="1:14" x14ac:dyDescent="0.3">
      <c r="A171" s="1">
        <v>45447</v>
      </c>
      <c r="B171" t="s">
        <v>10</v>
      </c>
      <c r="C171" t="s">
        <v>11</v>
      </c>
      <c r="D171" t="s">
        <v>17</v>
      </c>
      <c r="E171">
        <v>9</v>
      </c>
      <c r="F171">
        <v>4959</v>
      </c>
      <c r="G171">
        <v>479.28</v>
      </c>
      <c r="H171">
        <v>2024</v>
      </c>
      <c r="I171" t="s">
        <v>27</v>
      </c>
      <c r="J171" s="4">
        <v>9.6648517846340001E-2</v>
      </c>
      <c r="K171" t="s">
        <v>41</v>
      </c>
      <c r="L171" t="s">
        <v>59</v>
      </c>
      <c r="M171">
        <v>6</v>
      </c>
      <c r="N171" t="s">
        <v>66</v>
      </c>
    </row>
    <row r="172" spans="1:14" x14ac:dyDescent="0.3">
      <c r="A172" s="1">
        <v>45448</v>
      </c>
      <c r="B172" t="s">
        <v>10</v>
      </c>
      <c r="C172" t="s">
        <v>11</v>
      </c>
      <c r="D172" t="s">
        <v>22</v>
      </c>
      <c r="E172">
        <v>9</v>
      </c>
      <c r="F172">
        <v>9423</v>
      </c>
      <c r="G172">
        <v>652.05999999999995</v>
      </c>
      <c r="H172">
        <v>2024</v>
      </c>
      <c r="I172" t="s">
        <v>27</v>
      </c>
      <c r="J172" s="4">
        <v>6.9198768969542607E-2</v>
      </c>
      <c r="K172" t="s">
        <v>41</v>
      </c>
      <c r="L172" t="s">
        <v>59</v>
      </c>
      <c r="M172">
        <v>6</v>
      </c>
      <c r="N172" t="s">
        <v>66</v>
      </c>
    </row>
    <row r="173" spans="1:14" x14ac:dyDescent="0.3">
      <c r="A173" s="1">
        <v>45447</v>
      </c>
      <c r="B173" t="s">
        <v>10</v>
      </c>
      <c r="C173" t="s">
        <v>11</v>
      </c>
      <c r="D173" t="s">
        <v>19</v>
      </c>
      <c r="E173">
        <v>2</v>
      </c>
      <c r="F173">
        <v>2092</v>
      </c>
      <c r="G173">
        <v>366.12</v>
      </c>
      <c r="H173">
        <v>2024</v>
      </c>
      <c r="I173" t="s">
        <v>27</v>
      </c>
      <c r="J173" s="4">
        <v>0.175009560229446</v>
      </c>
      <c r="K173" t="s">
        <v>41</v>
      </c>
      <c r="L173" t="s">
        <v>59</v>
      </c>
      <c r="M173">
        <v>6</v>
      </c>
      <c r="N173" t="s">
        <v>66</v>
      </c>
    </row>
    <row r="174" spans="1:14" x14ac:dyDescent="0.3">
      <c r="A174" s="1">
        <v>45364</v>
      </c>
      <c r="B174" t="s">
        <v>10</v>
      </c>
      <c r="C174" t="s">
        <v>11</v>
      </c>
      <c r="D174" t="s">
        <v>22</v>
      </c>
      <c r="E174">
        <v>2</v>
      </c>
      <c r="F174">
        <v>2248</v>
      </c>
      <c r="G174">
        <v>636.52</v>
      </c>
      <c r="H174">
        <v>2024</v>
      </c>
      <c r="I174" t="s">
        <v>15</v>
      </c>
      <c r="J174" s="4">
        <v>0.28314946619217102</v>
      </c>
      <c r="K174" t="s">
        <v>41</v>
      </c>
      <c r="L174" t="s">
        <v>55</v>
      </c>
      <c r="M174">
        <v>3</v>
      </c>
      <c r="N174" t="s">
        <v>56</v>
      </c>
    </row>
    <row r="175" spans="1:14" x14ac:dyDescent="0.3">
      <c r="A175" s="1">
        <v>45367</v>
      </c>
      <c r="B175" t="s">
        <v>10</v>
      </c>
      <c r="C175" t="s">
        <v>11</v>
      </c>
      <c r="D175" t="s">
        <v>19</v>
      </c>
      <c r="E175">
        <v>1</v>
      </c>
      <c r="F175">
        <v>907</v>
      </c>
      <c r="G175">
        <v>249.2</v>
      </c>
      <c r="H175">
        <v>2024</v>
      </c>
      <c r="I175" t="s">
        <v>15</v>
      </c>
      <c r="J175" s="4">
        <v>0.27475192943770699</v>
      </c>
      <c r="K175" t="s">
        <v>41</v>
      </c>
      <c r="L175" t="s">
        <v>55</v>
      </c>
      <c r="M175">
        <v>3</v>
      </c>
      <c r="N175" t="s">
        <v>56</v>
      </c>
    </row>
    <row r="176" spans="1:14" x14ac:dyDescent="0.3">
      <c r="A176" s="1">
        <v>45307</v>
      </c>
      <c r="B176" t="s">
        <v>10</v>
      </c>
      <c r="C176" t="s">
        <v>11</v>
      </c>
      <c r="D176" t="s">
        <v>19</v>
      </c>
      <c r="E176">
        <v>8</v>
      </c>
      <c r="F176">
        <v>3432</v>
      </c>
      <c r="G176">
        <v>172.69</v>
      </c>
      <c r="H176">
        <v>2024</v>
      </c>
      <c r="I176" t="s">
        <v>26</v>
      </c>
      <c r="J176" s="4">
        <v>5.0317599067599098E-2</v>
      </c>
      <c r="K176" t="s">
        <v>41</v>
      </c>
      <c r="L176" t="s">
        <v>55</v>
      </c>
      <c r="M176">
        <v>1</v>
      </c>
      <c r="N176" t="s">
        <v>65</v>
      </c>
    </row>
    <row r="177" spans="1:14" x14ac:dyDescent="0.3">
      <c r="A177" s="1">
        <v>45435</v>
      </c>
      <c r="B177" t="s">
        <v>10</v>
      </c>
      <c r="C177" t="s">
        <v>11</v>
      </c>
      <c r="D177" t="s">
        <v>19</v>
      </c>
      <c r="E177">
        <v>9</v>
      </c>
      <c r="F177">
        <v>1791</v>
      </c>
      <c r="G177">
        <v>187.28</v>
      </c>
      <c r="H177">
        <v>2024</v>
      </c>
      <c r="I177" t="s">
        <v>20</v>
      </c>
      <c r="J177" s="4">
        <v>0.10456728084868799</v>
      </c>
      <c r="K177" t="s">
        <v>41</v>
      </c>
      <c r="L177" t="s">
        <v>59</v>
      </c>
      <c r="M177">
        <v>5</v>
      </c>
      <c r="N177" t="s">
        <v>20</v>
      </c>
    </row>
    <row r="178" spans="1:14" x14ac:dyDescent="0.3">
      <c r="A178" s="1">
        <v>45326</v>
      </c>
      <c r="B178" t="s">
        <v>10</v>
      </c>
      <c r="C178" t="s">
        <v>11</v>
      </c>
      <c r="D178" t="s">
        <v>19</v>
      </c>
      <c r="E178">
        <v>8</v>
      </c>
      <c r="F178">
        <v>688</v>
      </c>
      <c r="G178">
        <v>131.26</v>
      </c>
      <c r="H178">
        <v>2024</v>
      </c>
      <c r="I178" t="s">
        <v>16</v>
      </c>
      <c r="J178" s="4">
        <v>0.19078488372093</v>
      </c>
      <c r="K178" t="s">
        <v>41</v>
      </c>
      <c r="L178" t="s">
        <v>55</v>
      </c>
      <c r="M178">
        <v>2</v>
      </c>
      <c r="N178" t="s">
        <v>57</v>
      </c>
    </row>
    <row r="179" spans="1:14" x14ac:dyDescent="0.3">
      <c r="A179" s="1">
        <v>45354</v>
      </c>
      <c r="B179" t="s">
        <v>10</v>
      </c>
      <c r="C179" t="s">
        <v>11</v>
      </c>
      <c r="D179" t="s">
        <v>19</v>
      </c>
      <c r="E179">
        <v>2</v>
      </c>
      <c r="F179">
        <v>810</v>
      </c>
      <c r="G179">
        <v>229.33</v>
      </c>
      <c r="H179">
        <v>2024</v>
      </c>
      <c r="I179" t="s">
        <v>15</v>
      </c>
      <c r="J179" s="4">
        <v>0.28312345679012302</v>
      </c>
      <c r="K179" t="s">
        <v>41</v>
      </c>
      <c r="L179" t="s">
        <v>55</v>
      </c>
      <c r="M179">
        <v>3</v>
      </c>
      <c r="N179" t="s">
        <v>56</v>
      </c>
    </row>
    <row r="180" spans="1:14" x14ac:dyDescent="0.3">
      <c r="A180" s="1">
        <v>45423</v>
      </c>
      <c r="B180" t="s">
        <v>10</v>
      </c>
      <c r="C180" t="s">
        <v>11</v>
      </c>
      <c r="D180" t="s">
        <v>22</v>
      </c>
      <c r="E180">
        <v>6</v>
      </c>
      <c r="F180">
        <v>5106</v>
      </c>
      <c r="G180">
        <v>1500.2</v>
      </c>
      <c r="H180">
        <v>2024</v>
      </c>
      <c r="I180" t="s">
        <v>20</v>
      </c>
      <c r="J180" s="4">
        <v>0.293811202506855</v>
      </c>
      <c r="K180" t="s">
        <v>41</v>
      </c>
      <c r="L180" t="s">
        <v>59</v>
      </c>
      <c r="M180">
        <v>5</v>
      </c>
      <c r="N180" t="s">
        <v>20</v>
      </c>
    </row>
    <row r="181" spans="1:14" x14ac:dyDescent="0.3">
      <c r="A181" s="1">
        <v>45377</v>
      </c>
      <c r="B181" t="s">
        <v>10</v>
      </c>
      <c r="C181" t="s">
        <v>11</v>
      </c>
      <c r="D181" t="s">
        <v>12</v>
      </c>
      <c r="E181">
        <v>4</v>
      </c>
      <c r="F181">
        <v>4596</v>
      </c>
      <c r="G181">
        <v>553.58000000000004</v>
      </c>
      <c r="H181">
        <v>2024</v>
      </c>
      <c r="I181" t="s">
        <v>15</v>
      </c>
      <c r="J181" s="4">
        <v>0.120448215839861</v>
      </c>
      <c r="K181" t="s">
        <v>41</v>
      </c>
      <c r="L181" t="s">
        <v>55</v>
      </c>
      <c r="M181">
        <v>3</v>
      </c>
      <c r="N181" t="s">
        <v>56</v>
      </c>
    </row>
    <row r="182" spans="1:14" x14ac:dyDescent="0.3">
      <c r="A182" s="1">
        <v>45651</v>
      </c>
      <c r="B182" t="s">
        <v>10</v>
      </c>
      <c r="C182" t="s">
        <v>11</v>
      </c>
      <c r="D182" t="s">
        <v>22</v>
      </c>
      <c r="E182">
        <v>4</v>
      </c>
      <c r="F182">
        <v>4644</v>
      </c>
      <c r="G182">
        <v>277.26</v>
      </c>
      <c r="H182">
        <v>2024</v>
      </c>
      <c r="I182" t="s">
        <v>13</v>
      </c>
      <c r="J182" s="4">
        <v>5.9702842377260999E-2</v>
      </c>
      <c r="K182" t="s">
        <v>41</v>
      </c>
      <c r="L182" t="s">
        <v>52</v>
      </c>
      <c r="M182">
        <v>12</v>
      </c>
      <c r="N182" t="s">
        <v>53</v>
      </c>
    </row>
    <row r="183" spans="1:14" x14ac:dyDescent="0.3">
      <c r="A183" s="1">
        <v>45405</v>
      </c>
      <c r="B183" t="s">
        <v>10</v>
      </c>
      <c r="C183" t="s">
        <v>11</v>
      </c>
      <c r="D183" t="s">
        <v>12</v>
      </c>
      <c r="E183">
        <v>8</v>
      </c>
      <c r="F183">
        <v>3752</v>
      </c>
      <c r="G183">
        <v>537.98</v>
      </c>
      <c r="H183">
        <v>2024</v>
      </c>
      <c r="I183" t="s">
        <v>23</v>
      </c>
      <c r="J183" s="4">
        <v>0.14338486140724899</v>
      </c>
      <c r="K183" t="s">
        <v>41</v>
      </c>
      <c r="L183" t="s">
        <v>59</v>
      </c>
      <c r="M183">
        <v>4</v>
      </c>
      <c r="N183" t="s">
        <v>62</v>
      </c>
    </row>
    <row r="184" spans="1:14" x14ac:dyDescent="0.3">
      <c r="A184" s="1">
        <v>45501</v>
      </c>
      <c r="B184" t="s">
        <v>10</v>
      </c>
      <c r="C184" t="s">
        <v>11</v>
      </c>
      <c r="D184" t="s">
        <v>17</v>
      </c>
      <c r="E184">
        <v>9</v>
      </c>
      <c r="F184">
        <v>4554</v>
      </c>
      <c r="G184">
        <v>1031.0899999999999</v>
      </c>
      <c r="H184">
        <v>2024</v>
      </c>
      <c r="I184" t="s">
        <v>25</v>
      </c>
      <c r="J184" s="4">
        <v>0.22641414141414101</v>
      </c>
      <c r="K184" t="s">
        <v>41</v>
      </c>
      <c r="L184" t="s">
        <v>60</v>
      </c>
      <c r="M184">
        <v>7</v>
      </c>
      <c r="N184" t="s">
        <v>64</v>
      </c>
    </row>
    <row r="185" spans="1:14" x14ac:dyDescent="0.3">
      <c r="A185" s="1">
        <v>45418</v>
      </c>
      <c r="B185" t="s">
        <v>10</v>
      </c>
      <c r="C185" t="s">
        <v>11</v>
      </c>
      <c r="D185" t="s">
        <v>17</v>
      </c>
      <c r="E185">
        <v>5</v>
      </c>
      <c r="F185">
        <v>1030</v>
      </c>
      <c r="G185">
        <v>64.81</v>
      </c>
      <c r="H185">
        <v>2024</v>
      </c>
      <c r="I185" t="s">
        <v>20</v>
      </c>
      <c r="J185" s="4">
        <v>6.2922330097087406E-2</v>
      </c>
      <c r="K185" t="s">
        <v>41</v>
      </c>
      <c r="L185" t="s">
        <v>59</v>
      </c>
      <c r="M185">
        <v>5</v>
      </c>
      <c r="N185" t="s">
        <v>20</v>
      </c>
    </row>
    <row r="186" spans="1:14" x14ac:dyDescent="0.3">
      <c r="A186" s="1">
        <v>45463</v>
      </c>
      <c r="B186" t="s">
        <v>10</v>
      </c>
      <c r="C186" t="s">
        <v>11</v>
      </c>
      <c r="D186" t="s">
        <v>12</v>
      </c>
      <c r="E186">
        <v>3</v>
      </c>
      <c r="F186">
        <v>861</v>
      </c>
      <c r="G186">
        <v>173.49</v>
      </c>
      <c r="H186">
        <v>2024</v>
      </c>
      <c r="I186" t="s">
        <v>27</v>
      </c>
      <c r="J186" s="4">
        <v>0.201498257839721</v>
      </c>
      <c r="K186" t="s">
        <v>41</v>
      </c>
      <c r="L186" t="s">
        <v>59</v>
      </c>
      <c r="M186">
        <v>6</v>
      </c>
      <c r="N186" t="s">
        <v>66</v>
      </c>
    </row>
    <row r="187" spans="1:14" x14ac:dyDescent="0.3">
      <c r="A187" s="1">
        <v>45542</v>
      </c>
      <c r="B187" t="s">
        <v>10</v>
      </c>
      <c r="C187" t="s">
        <v>11</v>
      </c>
      <c r="D187" t="s">
        <v>17</v>
      </c>
      <c r="E187">
        <v>5</v>
      </c>
      <c r="F187">
        <v>3250</v>
      </c>
      <c r="G187">
        <v>699.99</v>
      </c>
      <c r="H187">
        <v>2024</v>
      </c>
      <c r="I187" t="s">
        <v>21</v>
      </c>
      <c r="J187" s="4">
        <v>0.21538153846153801</v>
      </c>
      <c r="K187" t="s">
        <v>41</v>
      </c>
      <c r="L187" t="s">
        <v>60</v>
      </c>
      <c r="M187">
        <v>9</v>
      </c>
      <c r="N187" t="s">
        <v>61</v>
      </c>
    </row>
    <row r="188" spans="1:14" x14ac:dyDescent="0.3">
      <c r="A188" s="1">
        <v>45560</v>
      </c>
      <c r="B188" t="s">
        <v>10</v>
      </c>
      <c r="C188" t="s">
        <v>11</v>
      </c>
      <c r="D188" t="s">
        <v>17</v>
      </c>
      <c r="E188">
        <v>5</v>
      </c>
      <c r="F188">
        <v>5990</v>
      </c>
      <c r="G188">
        <v>1548.62</v>
      </c>
      <c r="H188">
        <v>2024</v>
      </c>
      <c r="I188" t="s">
        <v>21</v>
      </c>
      <c r="J188" s="4">
        <v>0.25853422370617701</v>
      </c>
      <c r="K188" t="s">
        <v>41</v>
      </c>
      <c r="L188" t="s">
        <v>60</v>
      </c>
      <c r="M188">
        <v>9</v>
      </c>
      <c r="N188" t="s">
        <v>61</v>
      </c>
    </row>
    <row r="189" spans="1:14" x14ac:dyDescent="0.3">
      <c r="A189" s="1">
        <v>45569</v>
      </c>
      <c r="B189" t="s">
        <v>10</v>
      </c>
      <c r="C189" t="s">
        <v>11</v>
      </c>
      <c r="D189" t="s">
        <v>22</v>
      </c>
      <c r="E189">
        <v>5</v>
      </c>
      <c r="F189">
        <v>1825</v>
      </c>
      <c r="G189">
        <v>221.47</v>
      </c>
      <c r="H189">
        <v>2024</v>
      </c>
      <c r="I189" t="s">
        <v>14</v>
      </c>
      <c r="J189" s="4">
        <v>0.121353424657534</v>
      </c>
      <c r="K189" t="s">
        <v>41</v>
      </c>
      <c r="L189" t="s">
        <v>52</v>
      </c>
      <c r="M189">
        <v>10</v>
      </c>
      <c r="N189" t="s">
        <v>54</v>
      </c>
    </row>
    <row r="190" spans="1:14" x14ac:dyDescent="0.3">
      <c r="A190" s="1">
        <v>45540</v>
      </c>
      <c r="B190" t="s">
        <v>10</v>
      </c>
      <c r="C190" t="s">
        <v>11</v>
      </c>
      <c r="D190" t="s">
        <v>12</v>
      </c>
      <c r="E190">
        <v>9</v>
      </c>
      <c r="F190">
        <v>3177</v>
      </c>
      <c r="G190">
        <v>629.96</v>
      </c>
      <c r="H190">
        <v>2024</v>
      </c>
      <c r="I190" t="s">
        <v>21</v>
      </c>
      <c r="J190" s="4">
        <v>0.198287692791942</v>
      </c>
      <c r="K190" t="s">
        <v>41</v>
      </c>
      <c r="L190" t="s">
        <v>60</v>
      </c>
      <c r="M190">
        <v>9</v>
      </c>
      <c r="N190" t="s">
        <v>61</v>
      </c>
    </row>
    <row r="191" spans="1:14" x14ac:dyDescent="0.3">
      <c r="A191" s="1">
        <v>45646</v>
      </c>
      <c r="B191" t="s">
        <v>10</v>
      </c>
      <c r="C191" t="s">
        <v>11</v>
      </c>
      <c r="D191" t="s">
        <v>17</v>
      </c>
      <c r="E191">
        <v>4</v>
      </c>
      <c r="F191">
        <v>3424</v>
      </c>
      <c r="G191">
        <v>845.68</v>
      </c>
      <c r="H191">
        <v>2024</v>
      </c>
      <c r="I191" t="s">
        <v>13</v>
      </c>
      <c r="J191" s="4">
        <v>0.24698598130841101</v>
      </c>
      <c r="K191" t="s">
        <v>41</v>
      </c>
      <c r="L191" t="s">
        <v>52</v>
      </c>
      <c r="M191">
        <v>12</v>
      </c>
      <c r="N191" t="s">
        <v>53</v>
      </c>
    </row>
    <row r="192" spans="1:14" x14ac:dyDescent="0.3">
      <c r="A192" s="1">
        <v>45461</v>
      </c>
      <c r="B192" t="s">
        <v>10</v>
      </c>
      <c r="C192" t="s">
        <v>11</v>
      </c>
      <c r="D192" t="s">
        <v>22</v>
      </c>
      <c r="E192">
        <v>7</v>
      </c>
      <c r="F192">
        <v>2667</v>
      </c>
      <c r="G192">
        <v>363.5</v>
      </c>
      <c r="H192">
        <v>2024</v>
      </c>
      <c r="I192" t="s">
        <v>27</v>
      </c>
      <c r="J192" s="4">
        <v>0.13629546306711701</v>
      </c>
      <c r="K192" t="s">
        <v>41</v>
      </c>
      <c r="L192" t="s">
        <v>59</v>
      </c>
      <c r="M192">
        <v>6</v>
      </c>
      <c r="N192" t="s">
        <v>66</v>
      </c>
    </row>
    <row r="193" spans="1:14" x14ac:dyDescent="0.3">
      <c r="A193" s="1">
        <v>45325</v>
      </c>
      <c r="B193" t="s">
        <v>10</v>
      </c>
      <c r="C193" t="s">
        <v>11</v>
      </c>
      <c r="D193" t="s">
        <v>19</v>
      </c>
      <c r="E193">
        <v>2</v>
      </c>
      <c r="F193">
        <v>254</v>
      </c>
      <c r="G193">
        <v>20.48</v>
      </c>
      <c r="H193">
        <v>2024</v>
      </c>
      <c r="I193" t="s">
        <v>16</v>
      </c>
      <c r="J193" s="4">
        <v>8.0629921259842502E-2</v>
      </c>
      <c r="K193" t="s">
        <v>41</v>
      </c>
      <c r="L193" t="s">
        <v>55</v>
      </c>
      <c r="M193">
        <v>2</v>
      </c>
      <c r="N193" t="s">
        <v>57</v>
      </c>
    </row>
    <row r="194" spans="1:14" x14ac:dyDescent="0.3">
      <c r="A194" s="1">
        <v>45355</v>
      </c>
      <c r="B194" t="s">
        <v>10</v>
      </c>
      <c r="C194" t="s">
        <v>11</v>
      </c>
      <c r="D194" t="s">
        <v>12</v>
      </c>
      <c r="E194">
        <v>1</v>
      </c>
      <c r="F194">
        <v>972</v>
      </c>
      <c r="G194">
        <v>261.91000000000003</v>
      </c>
      <c r="H194">
        <v>2024</v>
      </c>
      <c r="I194" t="s">
        <v>15</v>
      </c>
      <c r="J194" s="4">
        <v>0.26945473251028801</v>
      </c>
      <c r="K194" t="s">
        <v>41</v>
      </c>
      <c r="L194" t="s">
        <v>55</v>
      </c>
      <c r="M194">
        <v>3</v>
      </c>
      <c r="N194" t="s">
        <v>56</v>
      </c>
    </row>
    <row r="195" spans="1:14" x14ac:dyDescent="0.3">
      <c r="A195" s="1">
        <v>45315</v>
      </c>
      <c r="B195" t="s">
        <v>10</v>
      </c>
      <c r="C195" t="s">
        <v>11</v>
      </c>
      <c r="D195" t="s">
        <v>12</v>
      </c>
      <c r="E195">
        <v>2</v>
      </c>
      <c r="F195">
        <v>834</v>
      </c>
      <c r="G195">
        <v>150.12</v>
      </c>
      <c r="H195">
        <v>2024</v>
      </c>
      <c r="I195" t="s">
        <v>26</v>
      </c>
      <c r="J195" s="4">
        <v>0.18</v>
      </c>
      <c r="K195" t="s">
        <v>41</v>
      </c>
      <c r="L195" t="s">
        <v>55</v>
      </c>
      <c r="M195">
        <v>1</v>
      </c>
      <c r="N195" t="s">
        <v>65</v>
      </c>
    </row>
    <row r="196" spans="1:14" x14ac:dyDescent="0.3">
      <c r="A196" s="1">
        <v>45355</v>
      </c>
      <c r="B196" t="s">
        <v>10</v>
      </c>
      <c r="C196" t="s">
        <v>11</v>
      </c>
      <c r="D196" t="s">
        <v>12</v>
      </c>
      <c r="E196">
        <v>9</v>
      </c>
      <c r="F196">
        <v>7974</v>
      </c>
      <c r="G196">
        <v>1965.96</v>
      </c>
      <c r="H196">
        <v>2024</v>
      </c>
      <c r="I196" t="s">
        <v>15</v>
      </c>
      <c r="J196" s="4">
        <v>0.24654627539503399</v>
      </c>
      <c r="K196" t="s">
        <v>41</v>
      </c>
      <c r="L196" t="s">
        <v>55</v>
      </c>
      <c r="M196">
        <v>3</v>
      </c>
      <c r="N196" t="s">
        <v>56</v>
      </c>
    </row>
    <row r="197" spans="1:14" x14ac:dyDescent="0.3">
      <c r="A197" s="1">
        <v>45397</v>
      </c>
      <c r="B197" t="s">
        <v>10</v>
      </c>
      <c r="C197" t="s">
        <v>11</v>
      </c>
      <c r="D197" t="s">
        <v>12</v>
      </c>
      <c r="E197">
        <v>7</v>
      </c>
      <c r="F197">
        <v>4690</v>
      </c>
      <c r="G197">
        <v>319.42</v>
      </c>
      <c r="H197">
        <v>2024</v>
      </c>
      <c r="I197" t="s">
        <v>23</v>
      </c>
      <c r="J197" s="4">
        <v>6.8106609808102403E-2</v>
      </c>
      <c r="K197" t="s">
        <v>41</v>
      </c>
      <c r="L197" t="s">
        <v>59</v>
      </c>
      <c r="M197">
        <v>4</v>
      </c>
      <c r="N197" t="s">
        <v>62</v>
      </c>
    </row>
    <row r="198" spans="1:14" x14ac:dyDescent="0.3">
      <c r="A198" s="1">
        <v>45365</v>
      </c>
      <c r="B198" t="s">
        <v>10</v>
      </c>
      <c r="C198" t="s">
        <v>11</v>
      </c>
      <c r="D198" t="s">
        <v>19</v>
      </c>
      <c r="E198">
        <v>2</v>
      </c>
      <c r="F198">
        <v>944</v>
      </c>
      <c r="G198">
        <v>149.38</v>
      </c>
      <c r="H198">
        <v>2024</v>
      </c>
      <c r="I198" t="s">
        <v>15</v>
      </c>
      <c r="J198" s="4">
        <v>0.15824152542372899</v>
      </c>
      <c r="K198" t="s">
        <v>41</v>
      </c>
      <c r="L198" t="s">
        <v>55</v>
      </c>
      <c r="M198">
        <v>3</v>
      </c>
      <c r="N198" t="s">
        <v>56</v>
      </c>
    </row>
    <row r="199" spans="1:14" x14ac:dyDescent="0.3">
      <c r="A199" s="1">
        <v>45555</v>
      </c>
      <c r="B199" t="s">
        <v>10</v>
      </c>
      <c r="C199" t="s">
        <v>11</v>
      </c>
      <c r="D199" t="s">
        <v>22</v>
      </c>
      <c r="E199">
        <v>6</v>
      </c>
      <c r="F199">
        <v>816</v>
      </c>
      <c r="G199">
        <v>98.75</v>
      </c>
      <c r="H199">
        <v>2024</v>
      </c>
      <c r="I199" t="s">
        <v>21</v>
      </c>
      <c r="J199" s="4">
        <v>0.121017156862745</v>
      </c>
      <c r="K199" t="s">
        <v>41</v>
      </c>
      <c r="L199" t="s">
        <v>60</v>
      </c>
      <c r="M199">
        <v>9</v>
      </c>
      <c r="N199" t="s">
        <v>61</v>
      </c>
    </row>
    <row r="200" spans="1:14" x14ac:dyDescent="0.3">
      <c r="A200" s="1">
        <v>45379</v>
      </c>
      <c r="B200" t="s">
        <v>10</v>
      </c>
      <c r="C200" t="s">
        <v>11</v>
      </c>
      <c r="D200" t="s">
        <v>17</v>
      </c>
      <c r="E200">
        <v>4</v>
      </c>
      <c r="F200">
        <v>4480</v>
      </c>
      <c r="G200">
        <v>412.05</v>
      </c>
      <c r="H200">
        <v>2024</v>
      </c>
      <c r="I200" t="s">
        <v>15</v>
      </c>
      <c r="J200" s="4">
        <v>9.1975446428571403E-2</v>
      </c>
      <c r="K200" t="s">
        <v>41</v>
      </c>
      <c r="L200" t="s">
        <v>55</v>
      </c>
      <c r="M200">
        <v>3</v>
      </c>
      <c r="N200" t="s">
        <v>56</v>
      </c>
    </row>
    <row r="201" spans="1:14" x14ac:dyDescent="0.3">
      <c r="A201" s="1">
        <v>45336</v>
      </c>
      <c r="B201" t="s">
        <v>10</v>
      </c>
      <c r="C201" t="s">
        <v>11</v>
      </c>
      <c r="D201" t="s">
        <v>12</v>
      </c>
      <c r="E201">
        <v>8</v>
      </c>
      <c r="F201">
        <v>9232</v>
      </c>
      <c r="G201">
        <v>880.52</v>
      </c>
      <c r="H201">
        <v>2024</v>
      </c>
      <c r="I201" t="s">
        <v>16</v>
      </c>
      <c r="J201" s="4">
        <v>9.5376949740034606E-2</v>
      </c>
      <c r="K201" t="s">
        <v>41</v>
      </c>
      <c r="L201" t="s">
        <v>55</v>
      </c>
      <c r="M201">
        <v>2</v>
      </c>
      <c r="N201" t="s">
        <v>57</v>
      </c>
    </row>
    <row r="202" spans="1:14" x14ac:dyDescent="0.3">
      <c r="A202" s="1">
        <v>45314</v>
      </c>
      <c r="B202" t="s">
        <v>10</v>
      </c>
      <c r="C202" t="s">
        <v>11</v>
      </c>
      <c r="D202" t="s">
        <v>17</v>
      </c>
      <c r="E202">
        <v>9</v>
      </c>
      <c r="F202">
        <v>10188</v>
      </c>
      <c r="G202">
        <v>1408.18</v>
      </c>
      <c r="H202">
        <v>2024</v>
      </c>
      <c r="I202" t="s">
        <v>26</v>
      </c>
      <c r="J202" s="4">
        <v>0.13821947389085201</v>
      </c>
      <c r="K202" t="s">
        <v>41</v>
      </c>
      <c r="L202" t="s">
        <v>55</v>
      </c>
      <c r="M202">
        <v>1</v>
      </c>
      <c r="N202" t="s">
        <v>65</v>
      </c>
    </row>
    <row r="203" spans="1:14" x14ac:dyDescent="0.3">
      <c r="A203" s="1">
        <v>45656</v>
      </c>
      <c r="B203" t="s">
        <v>10</v>
      </c>
      <c r="C203" t="s">
        <v>11</v>
      </c>
      <c r="D203" t="s">
        <v>17</v>
      </c>
      <c r="E203">
        <v>1</v>
      </c>
      <c r="F203">
        <v>379</v>
      </c>
      <c r="G203">
        <v>39.409999999999997</v>
      </c>
      <c r="H203">
        <v>2024</v>
      </c>
      <c r="I203" t="s">
        <v>13</v>
      </c>
      <c r="J203" s="4">
        <v>0.103984168865435</v>
      </c>
      <c r="K203" t="s">
        <v>41</v>
      </c>
      <c r="L203" t="s">
        <v>52</v>
      </c>
      <c r="M203">
        <v>12</v>
      </c>
      <c r="N203" t="s">
        <v>53</v>
      </c>
    </row>
    <row r="204" spans="1:14" x14ac:dyDescent="0.3">
      <c r="A204" s="1">
        <v>45516</v>
      </c>
      <c r="B204" t="s">
        <v>10</v>
      </c>
      <c r="C204" t="s">
        <v>11</v>
      </c>
      <c r="D204" t="s">
        <v>17</v>
      </c>
      <c r="E204">
        <v>4</v>
      </c>
      <c r="F204">
        <v>564</v>
      </c>
      <c r="G204">
        <v>32.799999999999997</v>
      </c>
      <c r="H204">
        <v>2024</v>
      </c>
      <c r="I204" t="s">
        <v>24</v>
      </c>
      <c r="J204" s="4">
        <v>5.8156028368794299E-2</v>
      </c>
      <c r="K204" t="s">
        <v>41</v>
      </c>
      <c r="L204" t="s">
        <v>60</v>
      </c>
      <c r="M204">
        <v>8</v>
      </c>
      <c r="N204" t="s">
        <v>63</v>
      </c>
    </row>
    <row r="205" spans="1:14" x14ac:dyDescent="0.3">
      <c r="A205" s="1">
        <v>45420</v>
      </c>
      <c r="B205" t="s">
        <v>10</v>
      </c>
      <c r="C205" t="s">
        <v>11</v>
      </c>
      <c r="D205" t="s">
        <v>12</v>
      </c>
      <c r="E205">
        <v>5</v>
      </c>
      <c r="F205">
        <v>4435</v>
      </c>
      <c r="G205">
        <v>954.12</v>
      </c>
      <c r="H205">
        <v>2024</v>
      </c>
      <c r="I205" t="s">
        <v>20</v>
      </c>
      <c r="J205" s="4">
        <v>0.21513416009019201</v>
      </c>
      <c r="K205" t="s">
        <v>41</v>
      </c>
      <c r="L205" t="s">
        <v>59</v>
      </c>
      <c r="M205">
        <v>5</v>
      </c>
      <c r="N205" t="s">
        <v>20</v>
      </c>
    </row>
    <row r="206" spans="1:14" x14ac:dyDescent="0.3">
      <c r="A206" s="1">
        <v>45568</v>
      </c>
      <c r="B206" t="s">
        <v>10</v>
      </c>
      <c r="C206" t="s">
        <v>11</v>
      </c>
      <c r="D206" t="s">
        <v>19</v>
      </c>
      <c r="E206">
        <v>4</v>
      </c>
      <c r="F206">
        <v>3296</v>
      </c>
      <c r="G206">
        <v>460.98</v>
      </c>
      <c r="H206">
        <v>2024</v>
      </c>
      <c r="I206" t="s">
        <v>14</v>
      </c>
      <c r="J206" s="4">
        <v>0.13986043689320399</v>
      </c>
      <c r="K206" t="s">
        <v>41</v>
      </c>
      <c r="L206" t="s">
        <v>52</v>
      </c>
      <c r="M206">
        <v>10</v>
      </c>
      <c r="N206" t="s">
        <v>54</v>
      </c>
    </row>
    <row r="207" spans="1:14" x14ac:dyDescent="0.3">
      <c r="A207" s="1">
        <v>45520</v>
      </c>
      <c r="B207" t="s">
        <v>10</v>
      </c>
      <c r="C207" t="s">
        <v>11</v>
      </c>
      <c r="D207" t="s">
        <v>17</v>
      </c>
      <c r="E207">
        <v>2</v>
      </c>
      <c r="F207">
        <v>2216</v>
      </c>
      <c r="G207">
        <v>444.36</v>
      </c>
      <c r="H207">
        <v>2024</v>
      </c>
      <c r="I207" t="s">
        <v>24</v>
      </c>
      <c r="J207" s="4">
        <v>0.200523465703971</v>
      </c>
      <c r="K207" t="s">
        <v>41</v>
      </c>
      <c r="L207" t="s">
        <v>60</v>
      </c>
      <c r="M207">
        <v>8</v>
      </c>
      <c r="N207" t="s">
        <v>63</v>
      </c>
    </row>
    <row r="208" spans="1:14" x14ac:dyDescent="0.3">
      <c r="A208" s="1">
        <v>45587</v>
      </c>
      <c r="B208" t="s">
        <v>10</v>
      </c>
      <c r="C208" t="s">
        <v>11</v>
      </c>
      <c r="D208" t="s">
        <v>22</v>
      </c>
      <c r="E208">
        <v>7</v>
      </c>
      <c r="F208">
        <v>2296</v>
      </c>
      <c r="G208">
        <v>138.93</v>
      </c>
      <c r="H208">
        <v>2024</v>
      </c>
      <c r="I208" t="s">
        <v>14</v>
      </c>
      <c r="J208" s="4">
        <v>6.0509581881533103E-2</v>
      </c>
      <c r="K208" t="s">
        <v>41</v>
      </c>
      <c r="L208" t="s">
        <v>52</v>
      </c>
      <c r="M208">
        <v>10</v>
      </c>
      <c r="N208" t="s">
        <v>54</v>
      </c>
    </row>
    <row r="209" spans="1:14" x14ac:dyDescent="0.3">
      <c r="A209" s="1">
        <v>45495</v>
      </c>
      <c r="B209" t="s">
        <v>10</v>
      </c>
      <c r="C209" t="s">
        <v>11</v>
      </c>
      <c r="D209" t="s">
        <v>19</v>
      </c>
      <c r="E209">
        <v>8</v>
      </c>
      <c r="F209">
        <v>6520</v>
      </c>
      <c r="G209">
        <v>1073.6199999999999</v>
      </c>
      <c r="H209">
        <v>2024</v>
      </c>
      <c r="I209" t="s">
        <v>25</v>
      </c>
      <c r="J209" s="4">
        <v>0.16466564417177901</v>
      </c>
      <c r="K209" t="s">
        <v>41</v>
      </c>
      <c r="L209" t="s">
        <v>60</v>
      </c>
      <c r="M209">
        <v>7</v>
      </c>
      <c r="N209" t="s">
        <v>64</v>
      </c>
    </row>
    <row r="210" spans="1:14" x14ac:dyDescent="0.3">
      <c r="A210" s="1">
        <v>45499</v>
      </c>
      <c r="B210" t="s">
        <v>10</v>
      </c>
      <c r="C210" t="s">
        <v>11</v>
      </c>
      <c r="D210" t="s">
        <v>19</v>
      </c>
      <c r="E210">
        <v>4</v>
      </c>
      <c r="F210">
        <v>1084</v>
      </c>
      <c r="G210">
        <v>134.41999999999999</v>
      </c>
      <c r="H210">
        <v>2024</v>
      </c>
      <c r="I210" t="s">
        <v>25</v>
      </c>
      <c r="J210" s="4">
        <v>0.1240036900369</v>
      </c>
      <c r="K210" t="s">
        <v>41</v>
      </c>
      <c r="L210" t="s">
        <v>60</v>
      </c>
      <c r="M210">
        <v>7</v>
      </c>
      <c r="N210" t="s">
        <v>64</v>
      </c>
    </row>
    <row r="211" spans="1:14" x14ac:dyDescent="0.3">
      <c r="A211" s="1">
        <v>45437</v>
      </c>
      <c r="B211" t="s">
        <v>10</v>
      </c>
      <c r="C211" t="s">
        <v>11</v>
      </c>
      <c r="D211" t="s">
        <v>22</v>
      </c>
      <c r="E211">
        <v>4</v>
      </c>
      <c r="F211">
        <v>912</v>
      </c>
      <c r="G211">
        <v>81.650000000000006</v>
      </c>
      <c r="H211">
        <v>2024</v>
      </c>
      <c r="I211" t="s">
        <v>20</v>
      </c>
      <c r="J211" s="4">
        <v>8.9528508771929804E-2</v>
      </c>
      <c r="K211" t="s">
        <v>41</v>
      </c>
      <c r="L211" t="s">
        <v>59</v>
      </c>
      <c r="M211">
        <v>5</v>
      </c>
      <c r="N211" t="s">
        <v>20</v>
      </c>
    </row>
    <row r="212" spans="1:14" x14ac:dyDescent="0.3">
      <c r="A212" s="1">
        <v>45623</v>
      </c>
      <c r="B212" t="s">
        <v>10</v>
      </c>
      <c r="C212" t="s">
        <v>11</v>
      </c>
      <c r="D212" t="s">
        <v>19</v>
      </c>
      <c r="E212">
        <v>2</v>
      </c>
      <c r="F212">
        <v>626</v>
      </c>
      <c r="G212">
        <v>168.82</v>
      </c>
      <c r="H212">
        <v>2024</v>
      </c>
      <c r="I212" t="s">
        <v>18</v>
      </c>
      <c r="J212" s="4">
        <v>0.26968051118210901</v>
      </c>
      <c r="K212" t="s">
        <v>41</v>
      </c>
      <c r="L212" t="s">
        <v>52</v>
      </c>
      <c r="M212">
        <v>11</v>
      </c>
      <c r="N212" t="s">
        <v>58</v>
      </c>
    </row>
    <row r="213" spans="1:14" x14ac:dyDescent="0.3">
      <c r="A213" s="1">
        <v>45385</v>
      </c>
      <c r="B213" t="s">
        <v>10</v>
      </c>
      <c r="C213" t="s">
        <v>11</v>
      </c>
      <c r="D213" t="s">
        <v>22</v>
      </c>
      <c r="E213">
        <v>9</v>
      </c>
      <c r="F213">
        <v>5085</v>
      </c>
      <c r="G213">
        <v>1372.83</v>
      </c>
      <c r="H213">
        <v>2024</v>
      </c>
      <c r="I213" t="s">
        <v>23</v>
      </c>
      <c r="J213" s="4">
        <v>0.26997640117994098</v>
      </c>
      <c r="K213" t="s">
        <v>41</v>
      </c>
      <c r="L213" t="s">
        <v>59</v>
      </c>
      <c r="M213">
        <v>4</v>
      </c>
      <c r="N213" t="s">
        <v>62</v>
      </c>
    </row>
    <row r="214" spans="1:14" x14ac:dyDescent="0.3">
      <c r="A214" s="1">
        <v>45509</v>
      </c>
      <c r="B214" t="s">
        <v>10</v>
      </c>
      <c r="C214" t="s">
        <v>11</v>
      </c>
      <c r="D214" t="s">
        <v>17</v>
      </c>
      <c r="E214">
        <v>1</v>
      </c>
      <c r="F214">
        <v>635</v>
      </c>
      <c r="G214">
        <v>101.09</v>
      </c>
      <c r="H214">
        <v>2024</v>
      </c>
      <c r="I214" t="s">
        <v>24</v>
      </c>
      <c r="J214" s="4">
        <v>0.15919685039370099</v>
      </c>
      <c r="K214" t="s">
        <v>41</v>
      </c>
      <c r="L214" t="s">
        <v>60</v>
      </c>
      <c r="M214">
        <v>8</v>
      </c>
      <c r="N214" t="s">
        <v>63</v>
      </c>
    </row>
    <row r="215" spans="1:14" x14ac:dyDescent="0.3">
      <c r="A215" s="1">
        <v>45642</v>
      </c>
      <c r="B215" t="s">
        <v>10</v>
      </c>
      <c r="C215" t="s">
        <v>11</v>
      </c>
      <c r="D215" t="s">
        <v>22</v>
      </c>
      <c r="E215">
        <v>2</v>
      </c>
      <c r="F215">
        <v>376</v>
      </c>
      <c r="G215">
        <v>99.16</v>
      </c>
      <c r="H215">
        <v>2024</v>
      </c>
      <c r="I215" t="s">
        <v>13</v>
      </c>
      <c r="J215" s="4">
        <v>0.26372340425531898</v>
      </c>
      <c r="K215" t="s">
        <v>41</v>
      </c>
      <c r="L215" t="s">
        <v>52</v>
      </c>
      <c r="M215">
        <v>12</v>
      </c>
      <c r="N215" t="s">
        <v>53</v>
      </c>
    </row>
    <row r="216" spans="1:14" x14ac:dyDescent="0.3">
      <c r="A216" s="1">
        <v>45600</v>
      </c>
      <c r="B216" t="s">
        <v>10</v>
      </c>
      <c r="C216" t="s">
        <v>11</v>
      </c>
      <c r="D216" t="s">
        <v>22</v>
      </c>
      <c r="E216">
        <v>4</v>
      </c>
      <c r="F216">
        <v>2228</v>
      </c>
      <c r="G216">
        <v>293.25</v>
      </c>
      <c r="H216">
        <v>2024</v>
      </c>
      <c r="I216" t="s">
        <v>18</v>
      </c>
      <c r="J216" s="4">
        <v>0.13162028725314201</v>
      </c>
      <c r="K216" t="s">
        <v>41</v>
      </c>
      <c r="L216" t="s">
        <v>52</v>
      </c>
      <c r="M216">
        <v>11</v>
      </c>
      <c r="N216" t="s">
        <v>58</v>
      </c>
    </row>
    <row r="217" spans="1:14" x14ac:dyDescent="0.3">
      <c r="A217" s="1">
        <v>45541</v>
      </c>
      <c r="B217" t="s">
        <v>10</v>
      </c>
      <c r="C217" t="s">
        <v>11</v>
      </c>
      <c r="D217" t="s">
        <v>19</v>
      </c>
      <c r="E217">
        <v>5</v>
      </c>
      <c r="F217">
        <v>5940</v>
      </c>
      <c r="G217">
        <v>467.31</v>
      </c>
      <c r="H217">
        <v>2024</v>
      </c>
      <c r="I217" t="s">
        <v>21</v>
      </c>
      <c r="J217" s="4">
        <v>7.8671717171717198E-2</v>
      </c>
      <c r="K217" t="s">
        <v>41</v>
      </c>
      <c r="L217" t="s">
        <v>60</v>
      </c>
      <c r="M217">
        <v>9</v>
      </c>
      <c r="N217" t="s">
        <v>61</v>
      </c>
    </row>
    <row r="218" spans="1:14" x14ac:dyDescent="0.3">
      <c r="A218" s="1">
        <v>45566</v>
      </c>
      <c r="B218" t="s">
        <v>10</v>
      </c>
      <c r="C218" t="s">
        <v>11</v>
      </c>
      <c r="D218" t="s">
        <v>17</v>
      </c>
      <c r="E218">
        <v>3</v>
      </c>
      <c r="F218">
        <v>1074</v>
      </c>
      <c r="G218">
        <v>240.44</v>
      </c>
      <c r="H218">
        <v>2024</v>
      </c>
      <c r="I218" t="s">
        <v>14</v>
      </c>
      <c r="J218" s="4">
        <v>0.22387337057728099</v>
      </c>
      <c r="K218" t="s">
        <v>41</v>
      </c>
      <c r="L218" t="s">
        <v>52</v>
      </c>
      <c r="M218">
        <v>10</v>
      </c>
      <c r="N218" t="s">
        <v>54</v>
      </c>
    </row>
    <row r="219" spans="1:14" x14ac:dyDescent="0.3">
      <c r="A219" s="1">
        <v>45295</v>
      </c>
      <c r="B219" t="s">
        <v>10</v>
      </c>
      <c r="C219" t="s">
        <v>11</v>
      </c>
      <c r="D219" t="s">
        <v>22</v>
      </c>
      <c r="E219">
        <v>8</v>
      </c>
      <c r="F219">
        <v>5176</v>
      </c>
      <c r="G219">
        <v>1400.82</v>
      </c>
      <c r="H219">
        <v>2024</v>
      </c>
      <c r="I219" t="s">
        <v>26</v>
      </c>
      <c r="J219" s="4">
        <v>0.27063755795981498</v>
      </c>
      <c r="K219" t="s">
        <v>41</v>
      </c>
      <c r="L219" t="s">
        <v>55</v>
      </c>
      <c r="M219">
        <v>1</v>
      </c>
      <c r="N219" t="s">
        <v>65</v>
      </c>
    </row>
    <row r="220" spans="1:14" x14ac:dyDescent="0.3">
      <c r="A220" s="1">
        <v>45478</v>
      </c>
      <c r="B220" t="s">
        <v>10</v>
      </c>
      <c r="C220" t="s">
        <v>11</v>
      </c>
      <c r="D220" t="s">
        <v>17</v>
      </c>
      <c r="E220">
        <v>6</v>
      </c>
      <c r="F220">
        <v>6144</v>
      </c>
      <c r="G220">
        <v>754.18</v>
      </c>
      <c r="H220">
        <v>2024</v>
      </c>
      <c r="I220" t="s">
        <v>25</v>
      </c>
      <c r="J220" s="4">
        <v>0.12275065104166701</v>
      </c>
      <c r="K220" t="s">
        <v>41</v>
      </c>
      <c r="L220" t="s">
        <v>60</v>
      </c>
      <c r="M220">
        <v>7</v>
      </c>
      <c r="N220" t="s">
        <v>64</v>
      </c>
    </row>
    <row r="221" spans="1:14" x14ac:dyDescent="0.3">
      <c r="A221" s="1">
        <v>45651</v>
      </c>
      <c r="B221" t="s">
        <v>10</v>
      </c>
      <c r="C221" t="s">
        <v>11</v>
      </c>
      <c r="D221" t="s">
        <v>12</v>
      </c>
      <c r="E221">
        <v>5</v>
      </c>
      <c r="F221">
        <v>2525</v>
      </c>
      <c r="G221">
        <v>699.74</v>
      </c>
      <c r="H221">
        <v>2024</v>
      </c>
      <c r="I221" t="s">
        <v>13</v>
      </c>
      <c r="J221" s="4">
        <v>0.27712475247524798</v>
      </c>
      <c r="K221" t="s">
        <v>41</v>
      </c>
      <c r="L221" t="s">
        <v>52</v>
      </c>
      <c r="M221">
        <v>12</v>
      </c>
      <c r="N221" t="s">
        <v>53</v>
      </c>
    </row>
    <row r="222" spans="1:14" x14ac:dyDescent="0.3">
      <c r="A222" s="1">
        <v>45444</v>
      </c>
      <c r="B222" t="s">
        <v>10</v>
      </c>
      <c r="C222" t="s">
        <v>11</v>
      </c>
      <c r="D222" t="s">
        <v>12</v>
      </c>
      <c r="E222">
        <v>7</v>
      </c>
      <c r="F222">
        <v>2597</v>
      </c>
      <c r="G222">
        <v>766.32</v>
      </c>
      <c r="H222">
        <v>2024</v>
      </c>
      <c r="I222" t="s">
        <v>27</v>
      </c>
      <c r="J222" s="4">
        <v>0.29507893723527201</v>
      </c>
      <c r="K222" t="s">
        <v>41</v>
      </c>
      <c r="L222" t="s">
        <v>59</v>
      </c>
      <c r="M222">
        <v>6</v>
      </c>
      <c r="N222" t="s">
        <v>66</v>
      </c>
    </row>
    <row r="223" spans="1:14" x14ac:dyDescent="0.3">
      <c r="A223" s="1">
        <v>45604</v>
      </c>
      <c r="B223" t="s">
        <v>10</v>
      </c>
      <c r="C223" t="s">
        <v>11</v>
      </c>
      <c r="D223" t="s">
        <v>17</v>
      </c>
      <c r="E223">
        <v>3</v>
      </c>
      <c r="F223">
        <v>1209</v>
      </c>
      <c r="G223">
        <v>320.61</v>
      </c>
      <c r="H223">
        <v>2024</v>
      </c>
      <c r="I223" t="s">
        <v>18</v>
      </c>
      <c r="J223" s="4">
        <v>0.26518610421836197</v>
      </c>
      <c r="K223" t="s">
        <v>41</v>
      </c>
      <c r="L223" t="s">
        <v>52</v>
      </c>
      <c r="M223">
        <v>11</v>
      </c>
      <c r="N223" t="s">
        <v>58</v>
      </c>
    </row>
    <row r="224" spans="1:14" x14ac:dyDescent="0.3">
      <c r="A224" s="1">
        <v>45640</v>
      </c>
      <c r="B224" t="s">
        <v>10</v>
      </c>
      <c r="C224" t="s">
        <v>11</v>
      </c>
      <c r="D224" t="s">
        <v>12</v>
      </c>
      <c r="E224">
        <v>5</v>
      </c>
      <c r="F224">
        <v>2445</v>
      </c>
      <c r="G224">
        <v>146.6</v>
      </c>
      <c r="H224">
        <v>2024</v>
      </c>
      <c r="I224" t="s">
        <v>13</v>
      </c>
      <c r="J224" s="4">
        <v>5.9959100204499002E-2</v>
      </c>
      <c r="K224" t="s">
        <v>41</v>
      </c>
      <c r="L224" t="s">
        <v>52</v>
      </c>
      <c r="M224">
        <v>12</v>
      </c>
      <c r="N224" t="s">
        <v>53</v>
      </c>
    </row>
    <row r="225" spans="1:14" x14ac:dyDescent="0.3">
      <c r="A225" s="1">
        <v>45501</v>
      </c>
      <c r="B225" t="s">
        <v>10</v>
      </c>
      <c r="C225" t="s">
        <v>11</v>
      </c>
      <c r="D225" t="s">
        <v>19</v>
      </c>
      <c r="E225">
        <v>7</v>
      </c>
      <c r="F225">
        <v>6468</v>
      </c>
      <c r="G225">
        <v>398.23</v>
      </c>
      <c r="H225">
        <v>2024</v>
      </c>
      <c r="I225" t="s">
        <v>25</v>
      </c>
      <c r="J225" s="4">
        <v>6.15692640692641E-2</v>
      </c>
      <c r="K225" t="s">
        <v>41</v>
      </c>
      <c r="L225" t="s">
        <v>60</v>
      </c>
      <c r="M225">
        <v>7</v>
      </c>
      <c r="N225" t="s">
        <v>64</v>
      </c>
    </row>
    <row r="226" spans="1:14" x14ac:dyDescent="0.3">
      <c r="A226" s="1">
        <v>45502</v>
      </c>
      <c r="B226" t="s">
        <v>10</v>
      </c>
      <c r="C226" t="s">
        <v>11</v>
      </c>
      <c r="D226" t="s">
        <v>12</v>
      </c>
      <c r="E226">
        <v>6</v>
      </c>
      <c r="F226">
        <v>4146</v>
      </c>
      <c r="G226">
        <v>700.46</v>
      </c>
      <c r="H226">
        <v>2024</v>
      </c>
      <c r="I226" t="s">
        <v>25</v>
      </c>
      <c r="J226" s="4">
        <v>0.16894838398456299</v>
      </c>
      <c r="K226" t="s">
        <v>41</v>
      </c>
      <c r="L226" t="s">
        <v>60</v>
      </c>
      <c r="M226">
        <v>7</v>
      </c>
      <c r="N226" t="s">
        <v>64</v>
      </c>
    </row>
    <row r="227" spans="1:14" x14ac:dyDescent="0.3">
      <c r="A227" s="1">
        <v>45544</v>
      </c>
      <c r="B227" t="s">
        <v>10</v>
      </c>
      <c r="C227" t="s">
        <v>11</v>
      </c>
      <c r="D227" t="s">
        <v>19</v>
      </c>
      <c r="E227">
        <v>2</v>
      </c>
      <c r="F227">
        <v>1054</v>
      </c>
      <c r="G227">
        <v>243.5</v>
      </c>
      <c r="H227">
        <v>2024</v>
      </c>
      <c r="I227" t="s">
        <v>21</v>
      </c>
      <c r="J227" s="4">
        <v>0.23102466793168899</v>
      </c>
      <c r="K227" t="s">
        <v>41</v>
      </c>
      <c r="L227" t="s">
        <v>60</v>
      </c>
      <c r="M227">
        <v>9</v>
      </c>
      <c r="N227" t="s">
        <v>61</v>
      </c>
    </row>
    <row r="228" spans="1:14" x14ac:dyDescent="0.3">
      <c r="A228" s="1">
        <v>45636</v>
      </c>
      <c r="B228" t="s">
        <v>10</v>
      </c>
      <c r="C228" t="s">
        <v>11</v>
      </c>
      <c r="D228" t="s">
        <v>12</v>
      </c>
      <c r="E228">
        <v>4</v>
      </c>
      <c r="F228">
        <v>3360</v>
      </c>
      <c r="G228">
        <v>540.38</v>
      </c>
      <c r="H228">
        <v>2024</v>
      </c>
      <c r="I228" t="s">
        <v>13</v>
      </c>
      <c r="J228" s="4">
        <v>0.160827380952381</v>
      </c>
      <c r="K228" t="s">
        <v>41</v>
      </c>
      <c r="L228" t="s">
        <v>52</v>
      </c>
      <c r="M228">
        <v>12</v>
      </c>
      <c r="N228" t="s">
        <v>53</v>
      </c>
    </row>
    <row r="229" spans="1:14" x14ac:dyDescent="0.3">
      <c r="A229" s="1">
        <v>45361</v>
      </c>
      <c r="B229" t="s">
        <v>10</v>
      </c>
      <c r="C229" t="s">
        <v>11</v>
      </c>
      <c r="D229" t="s">
        <v>22</v>
      </c>
      <c r="E229">
        <v>8</v>
      </c>
      <c r="F229">
        <v>4400</v>
      </c>
      <c r="G229">
        <v>351.82</v>
      </c>
      <c r="H229">
        <v>2024</v>
      </c>
      <c r="I229" t="s">
        <v>15</v>
      </c>
      <c r="J229" s="4">
        <v>7.9959090909090896E-2</v>
      </c>
      <c r="K229" t="s">
        <v>41</v>
      </c>
      <c r="L229" t="s">
        <v>55</v>
      </c>
      <c r="M229">
        <v>3</v>
      </c>
      <c r="N229" t="s">
        <v>56</v>
      </c>
    </row>
    <row r="230" spans="1:14" x14ac:dyDescent="0.3">
      <c r="A230" s="1">
        <v>45566</v>
      </c>
      <c r="B230" t="s">
        <v>10</v>
      </c>
      <c r="C230" t="s">
        <v>11</v>
      </c>
      <c r="D230" t="s">
        <v>17</v>
      </c>
      <c r="E230">
        <v>6</v>
      </c>
      <c r="F230">
        <v>6384</v>
      </c>
      <c r="G230">
        <v>1754.15</v>
      </c>
      <c r="H230">
        <v>2024</v>
      </c>
      <c r="I230" t="s">
        <v>14</v>
      </c>
      <c r="J230" s="4">
        <v>0.27477286967418502</v>
      </c>
      <c r="K230" t="s">
        <v>41</v>
      </c>
      <c r="L230" t="s">
        <v>52</v>
      </c>
      <c r="M230">
        <v>10</v>
      </c>
      <c r="N230" t="s">
        <v>54</v>
      </c>
    </row>
    <row r="231" spans="1:14" x14ac:dyDescent="0.3">
      <c r="A231" s="1">
        <v>45532</v>
      </c>
      <c r="B231" t="s">
        <v>10</v>
      </c>
      <c r="C231" t="s">
        <v>11</v>
      </c>
      <c r="D231" t="s">
        <v>12</v>
      </c>
      <c r="E231">
        <v>7</v>
      </c>
      <c r="F231">
        <v>8113</v>
      </c>
      <c r="G231">
        <v>1103.57</v>
      </c>
      <c r="H231">
        <v>2024</v>
      </c>
      <c r="I231" t="s">
        <v>24</v>
      </c>
      <c r="J231" s="4">
        <v>0.136024898311352</v>
      </c>
      <c r="K231" t="s">
        <v>41</v>
      </c>
      <c r="L231" t="s">
        <v>60</v>
      </c>
      <c r="M231">
        <v>8</v>
      </c>
      <c r="N231" t="s">
        <v>63</v>
      </c>
    </row>
    <row r="232" spans="1:14" x14ac:dyDescent="0.3">
      <c r="A232" s="1">
        <v>45429</v>
      </c>
      <c r="B232" t="s">
        <v>10</v>
      </c>
      <c r="C232" t="s">
        <v>11</v>
      </c>
      <c r="D232" t="s">
        <v>19</v>
      </c>
      <c r="E232">
        <v>7</v>
      </c>
      <c r="F232">
        <v>2968</v>
      </c>
      <c r="G232">
        <v>485.13</v>
      </c>
      <c r="H232">
        <v>2024</v>
      </c>
      <c r="I232" t="s">
        <v>20</v>
      </c>
      <c r="J232" s="4">
        <v>0.163453504043127</v>
      </c>
      <c r="K232" t="s">
        <v>41</v>
      </c>
      <c r="L232" t="s">
        <v>59</v>
      </c>
      <c r="M232">
        <v>5</v>
      </c>
      <c r="N232" t="s">
        <v>20</v>
      </c>
    </row>
    <row r="233" spans="1:14" x14ac:dyDescent="0.3">
      <c r="A233" s="1">
        <v>45562</v>
      </c>
      <c r="B233" t="s">
        <v>10</v>
      </c>
      <c r="C233" t="s">
        <v>11</v>
      </c>
      <c r="D233" t="s">
        <v>12</v>
      </c>
      <c r="E233">
        <v>4</v>
      </c>
      <c r="F233">
        <v>1064</v>
      </c>
      <c r="G233">
        <v>314.83999999999997</v>
      </c>
      <c r="H233">
        <v>2024</v>
      </c>
      <c r="I233" t="s">
        <v>21</v>
      </c>
      <c r="J233" s="4">
        <v>0.295902255639098</v>
      </c>
      <c r="K233" t="s">
        <v>41</v>
      </c>
      <c r="L233" t="s">
        <v>60</v>
      </c>
      <c r="M233">
        <v>9</v>
      </c>
      <c r="N233" t="s">
        <v>61</v>
      </c>
    </row>
    <row r="234" spans="1:14" x14ac:dyDescent="0.3">
      <c r="A234" s="1">
        <v>45402</v>
      </c>
      <c r="B234" t="s">
        <v>10</v>
      </c>
      <c r="C234" t="s">
        <v>11</v>
      </c>
      <c r="D234" t="s">
        <v>22</v>
      </c>
      <c r="E234">
        <v>1</v>
      </c>
      <c r="F234">
        <v>998</v>
      </c>
      <c r="G234">
        <v>196.17</v>
      </c>
      <c r="H234">
        <v>2024</v>
      </c>
      <c r="I234" t="s">
        <v>23</v>
      </c>
      <c r="J234" s="4">
        <v>0.19656312625250499</v>
      </c>
      <c r="K234" t="s">
        <v>41</v>
      </c>
      <c r="L234" t="s">
        <v>59</v>
      </c>
      <c r="M234">
        <v>4</v>
      </c>
      <c r="N234" t="s">
        <v>62</v>
      </c>
    </row>
    <row r="235" spans="1:14" x14ac:dyDescent="0.3">
      <c r="A235" s="1">
        <v>45582</v>
      </c>
      <c r="B235" t="s">
        <v>10</v>
      </c>
      <c r="C235" t="s">
        <v>11</v>
      </c>
      <c r="D235" t="s">
        <v>12</v>
      </c>
      <c r="E235">
        <v>8</v>
      </c>
      <c r="F235">
        <v>3152</v>
      </c>
      <c r="G235">
        <v>337.36</v>
      </c>
      <c r="H235">
        <v>2024</v>
      </c>
      <c r="I235" t="s">
        <v>14</v>
      </c>
      <c r="J235" s="4">
        <v>0.107030456852792</v>
      </c>
      <c r="K235" t="s">
        <v>41</v>
      </c>
      <c r="L235" t="s">
        <v>52</v>
      </c>
      <c r="M235">
        <v>10</v>
      </c>
      <c r="N235" t="s">
        <v>54</v>
      </c>
    </row>
    <row r="236" spans="1:14" x14ac:dyDescent="0.3">
      <c r="A236" s="1">
        <v>45454</v>
      </c>
      <c r="B236" t="s">
        <v>10</v>
      </c>
      <c r="C236" t="s">
        <v>11</v>
      </c>
      <c r="D236" t="s">
        <v>19</v>
      </c>
      <c r="E236">
        <v>9</v>
      </c>
      <c r="F236">
        <v>909</v>
      </c>
      <c r="G236">
        <v>138.04</v>
      </c>
      <c r="H236">
        <v>2024</v>
      </c>
      <c r="I236" t="s">
        <v>27</v>
      </c>
      <c r="J236" s="4">
        <v>0.15185918591859199</v>
      </c>
      <c r="K236" t="s">
        <v>41</v>
      </c>
      <c r="L236" t="s">
        <v>59</v>
      </c>
      <c r="M236">
        <v>6</v>
      </c>
      <c r="N236" t="s">
        <v>66</v>
      </c>
    </row>
    <row r="237" spans="1:14" x14ac:dyDescent="0.3">
      <c r="A237" s="1">
        <v>45295</v>
      </c>
      <c r="B237" t="s">
        <v>10</v>
      </c>
      <c r="C237" t="s">
        <v>11</v>
      </c>
      <c r="D237" t="s">
        <v>19</v>
      </c>
      <c r="E237">
        <v>1</v>
      </c>
      <c r="F237">
        <v>179</v>
      </c>
      <c r="G237">
        <v>42.37</v>
      </c>
      <c r="H237">
        <v>2024</v>
      </c>
      <c r="I237" t="s">
        <v>26</v>
      </c>
      <c r="J237" s="4">
        <v>0.236703910614525</v>
      </c>
      <c r="K237" t="s">
        <v>41</v>
      </c>
      <c r="L237" t="s">
        <v>55</v>
      </c>
      <c r="M237">
        <v>1</v>
      </c>
      <c r="N237" t="s">
        <v>65</v>
      </c>
    </row>
    <row r="238" spans="1:14" x14ac:dyDescent="0.3">
      <c r="A238" s="1">
        <v>45505</v>
      </c>
      <c r="B238" t="s">
        <v>10</v>
      </c>
      <c r="C238" t="s">
        <v>11</v>
      </c>
      <c r="D238" t="s">
        <v>19</v>
      </c>
      <c r="E238">
        <v>8</v>
      </c>
      <c r="F238">
        <v>1440</v>
      </c>
      <c r="G238">
        <v>402.06</v>
      </c>
      <c r="H238">
        <v>2024</v>
      </c>
      <c r="I238" t="s">
        <v>24</v>
      </c>
      <c r="J238" s="4">
        <v>0.279208333333333</v>
      </c>
      <c r="K238" t="s">
        <v>41</v>
      </c>
      <c r="L238" t="s">
        <v>60</v>
      </c>
      <c r="M238">
        <v>8</v>
      </c>
      <c r="N238" t="s">
        <v>63</v>
      </c>
    </row>
    <row r="239" spans="1:14" x14ac:dyDescent="0.3">
      <c r="A239" s="1">
        <v>45556</v>
      </c>
      <c r="B239" t="s">
        <v>10</v>
      </c>
      <c r="C239" t="s">
        <v>11</v>
      </c>
      <c r="D239" t="s">
        <v>17</v>
      </c>
      <c r="E239">
        <v>7</v>
      </c>
      <c r="F239">
        <v>7455</v>
      </c>
      <c r="G239">
        <v>1008.42</v>
      </c>
      <c r="H239">
        <v>2024</v>
      </c>
      <c r="I239" t="s">
        <v>21</v>
      </c>
      <c r="J239" s="4">
        <v>0.135267605633803</v>
      </c>
      <c r="K239" t="s">
        <v>41</v>
      </c>
      <c r="L239" t="s">
        <v>60</v>
      </c>
      <c r="M239">
        <v>9</v>
      </c>
      <c r="N239" t="s">
        <v>61</v>
      </c>
    </row>
    <row r="240" spans="1:14" x14ac:dyDescent="0.3">
      <c r="A240" s="1">
        <v>45432</v>
      </c>
      <c r="B240" t="s">
        <v>10</v>
      </c>
      <c r="C240" t="s">
        <v>11</v>
      </c>
      <c r="D240" t="s">
        <v>12</v>
      </c>
      <c r="E240">
        <v>4</v>
      </c>
      <c r="F240">
        <v>764</v>
      </c>
      <c r="G240">
        <v>178.83</v>
      </c>
      <c r="H240">
        <v>2024</v>
      </c>
      <c r="I240" t="s">
        <v>20</v>
      </c>
      <c r="J240" s="4">
        <v>0.23407068062827199</v>
      </c>
      <c r="K240" t="s">
        <v>41</v>
      </c>
      <c r="L240" t="s">
        <v>59</v>
      </c>
      <c r="M240">
        <v>5</v>
      </c>
      <c r="N240" t="s">
        <v>20</v>
      </c>
    </row>
    <row r="241" spans="1:14" x14ac:dyDescent="0.3">
      <c r="A241" s="1">
        <v>45373</v>
      </c>
      <c r="B241" t="s">
        <v>10</v>
      </c>
      <c r="C241" t="s">
        <v>11</v>
      </c>
      <c r="D241" t="s">
        <v>17</v>
      </c>
      <c r="E241">
        <v>4</v>
      </c>
      <c r="F241">
        <v>3792</v>
      </c>
      <c r="G241">
        <v>997.99</v>
      </c>
      <c r="H241">
        <v>2024</v>
      </c>
      <c r="I241" t="s">
        <v>15</v>
      </c>
      <c r="J241" s="4">
        <v>0.26318301687763701</v>
      </c>
      <c r="K241" t="s">
        <v>41</v>
      </c>
      <c r="L241" t="s">
        <v>55</v>
      </c>
      <c r="M241">
        <v>3</v>
      </c>
      <c r="N241" t="s">
        <v>56</v>
      </c>
    </row>
    <row r="242" spans="1:14" x14ac:dyDescent="0.3">
      <c r="A242" s="1">
        <v>45402</v>
      </c>
      <c r="B242" t="s">
        <v>10</v>
      </c>
      <c r="C242" t="s">
        <v>11</v>
      </c>
      <c r="D242" t="s">
        <v>19</v>
      </c>
      <c r="E242">
        <v>5</v>
      </c>
      <c r="F242">
        <v>3005</v>
      </c>
      <c r="G242">
        <v>389.93</v>
      </c>
      <c r="H242">
        <v>2024</v>
      </c>
      <c r="I242" t="s">
        <v>23</v>
      </c>
      <c r="J242" s="4">
        <v>0.129760399334443</v>
      </c>
      <c r="K242" t="s">
        <v>41</v>
      </c>
      <c r="L242" t="s">
        <v>59</v>
      </c>
      <c r="M242">
        <v>4</v>
      </c>
      <c r="N242" t="s">
        <v>62</v>
      </c>
    </row>
    <row r="243" spans="1:14" x14ac:dyDescent="0.3">
      <c r="A243" s="1">
        <v>45425</v>
      </c>
      <c r="B243" t="s">
        <v>10</v>
      </c>
      <c r="C243" t="s">
        <v>11</v>
      </c>
      <c r="D243" t="s">
        <v>12</v>
      </c>
      <c r="E243">
        <v>6</v>
      </c>
      <c r="F243">
        <v>5250</v>
      </c>
      <c r="G243">
        <v>1228.49</v>
      </c>
      <c r="H243">
        <v>2024</v>
      </c>
      <c r="I243" t="s">
        <v>20</v>
      </c>
      <c r="J243" s="4">
        <v>0.23399809523809501</v>
      </c>
      <c r="K243" t="s">
        <v>41</v>
      </c>
      <c r="L243" t="s">
        <v>59</v>
      </c>
      <c r="M243">
        <v>5</v>
      </c>
      <c r="N243" t="s">
        <v>20</v>
      </c>
    </row>
    <row r="244" spans="1:14" x14ac:dyDescent="0.3">
      <c r="A244" s="1">
        <v>45543</v>
      </c>
      <c r="B244" t="s">
        <v>10</v>
      </c>
      <c r="C244" t="s">
        <v>11</v>
      </c>
      <c r="D244" t="s">
        <v>17</v>
      </c>
      <c r="E244">
        <v>6</v>
      </c>
      <c r="F244">
        <v>6528</v>
      </c>
      <c r="G244">
        <v>549.62</v>
      </c>
      <c r="H244">
        <v>2024</v>
      </c>
      <c r="I244" t="s">
        <v>21</v>
      </c>
      <c r="J244" s="4">
        <v>8.4194240196078393E-2</v>
      </c>
      <c r="K244" t="s">
        <v>41</v>
      </c>
      <c r="L244" t="s">
        <v>60</v>
      </c>
      <c r="M244">
        <v>9</v>
      </c>
      <c r="N244" t="s">
        <v>61</v>
      </c>
    </row>
    <row r="245" spans="1:14" x14ac:dyDescent="0.3">
      <c r="A245" s="1">
        <v>45642</v>
      </c>
      <c r="B245" t="s">
        <v>10</v>
      </c>
      <c r="C245" t="s">
        <v>11</v>
      </c>
      <c r="D245" t="s">
        <v>22</v>
      </c>
      <c r="E245">
        <v>2</v>
      </c>
      <c r="F245">
        <v>2092</v>
      </c>
      <c r="G245">
        <v>549.41999999999996</v>
      </c>
      <c r="H245">
        <v>2024</v>
      </c>
      <c r="I245" t="s">
        <v>13</v>
      </c>
      <c r="J245" s="4">
        <v>0.26262906309751399</v>
      </c>
      <c r="K245" t="s">
        <v>41</v>
      </c>
      <c r="L245" t="s">
        <v>52</v>
      </c>
      <c r="M245">
        <v>12</v>
      </c>
      <c r="N245" t="s">
        <v>53</v>
      </c>
    </row>
    <row r="246" spans="1:14" x14ac:dyDescent="0.3">
      <c r="A246" s="1">
        <v>45524</v>
      </c>
      <c r="B246" t="s">
        <v>10</v>
      </c>
      <c r="C246" t="s">
        <v>11</v>
      </c>
      <c r="D246" t="s">
        <v>22</v>
      </c>
      <c r="E246">
        <v>4</v>
      </c>
      <c r="F246">
        <v>1104</v>
      </c>
      <c r="G246">
        <v>63.57</v>
      </c>
      <c r="H246">
        <v>2024</v>
      </c>
      <c r="I246" t="s">
        <v>24</v>
      </c>
      <c r="J246" s="4">
        <v>5.7581521739130399E-2</v>
      </c>
      <c r="K246" t="s">
        <v>41</v>
      </c>
      <c r="L246" t="s">
        <v>60</v>
      </c>
      <c r="M246">
        <v>8</v>
      </c>
      <c r="N246" t="s">
        <v>63</v>
      </c>
    </row>
    <row r="247" spans="1:14" x14ac:dyDescent="0.3">
      <c r="A247" s="1">
        <v>45648</v>
      </c>
      <c r="B247" t="s">
        <v>10</v>
      </c>
      <c r="C247" t="s">
        <v>11</v>
      </c>
      <c r="D247" t="s">
        <v>12</v>
      </c>
      <c r="E247">
        <v>6</v>
      </c>
      <c r="F247">
        <v>1272</v>
      </c>
      <c r="G247">
        <v>336.3</v>
      </c>
      <c r="H247">
        <v>2024</v>
      </c>
      <c r="I247" t="s">
        <v>13</v>
      </c>
      <c r="J247" s="4">
        <v>0.26438679245282998</v>
      </c>
      <c r="K247" t="s">
        <v>41</v>
      </c>
      <c r="L247" t="s">
        <v>52</v>
      </c>
      <c r="M247">
        <v>12</v>
      </c>
      <c r="N247" t="s">
        <v>53</v>
      </c>
    </row>
    <row r="248" spans="1:14" x14ac:dyDescent="0.3">
      <c r="A248" s="1">
        <v>45301</v>
      </c>
      <c r="B248" t="s">
        <v>10</v>
      </c>
      <c r="C248" t="s">
        <v>11</v>
      </c>
      <c r="D248" t="s">
        <v>17</v>
      </c>
      <c r="E248">
        <v>5</v>
      </c>
      <c r="F248">
        <v>3720</v>
      </c>
      <c r="G248">
        <v>1077.21</v>
      </c>
      <c r="H248">
        <v>2024</v>
      </c>
      <c r="I248" t="s">
        <v>26</v>
      </c>
      <c r="J248" s="4">
        <v>0.289572580645161</v>
      </c>
      <c r="K248" t="s">
        <v>41</v>
      </c>
      <c r="L248" t="s">
        <v>55</v>
      </c>
      <c r="M248">
        <v>1</v>
      </c>
      <c r="N248" t="s">
        <v>65</v>
      </c>
    </row>
    <row r="249" spans="1:14" x14ac:dyDescent="0.3">
      <c r="A249" s="1">
        <v>45298</v>
      </c>
      <c r="B249" t="s">
        <v>10</v>
      </c>
      <c r="C249" t="s">
        <v>11</v>
      </c>
      <c r="D249" t="s">
        <v>17</v>
      </c>
      <c r="E249">
        <v>4</v>
      </c>
      <c r="F249">
        <v>4136</v>
      </c>
      <c r="G249">
        <v>294.20999999999998</v>
      </c>
      <c r="H249">
        <v>2024</v>
      </c>
      <c r="I249" t="s">
        <v>26</v>
      </c>
      <c r="J249" s="4">
        <v>7.1133945841392598E-2</v>
      </c>
      <c r="K249" t="s">
        <v>41</v>
      </c>
      <c r="L249" t="s">
        <v>55</v>
      </c>
      <c r="M249">
        <v>1</v>
      </c>
      <c r="N249" t="s">
        <v>65</v>
      </c>
    </row>
    <row r="250" spans="1:14" x14ac:dyDescent="0.3">
      <c r="A250" s="1">
        <v>45580</v>
      </c>
      <c r="B250" t="s">
        <v>10</v>
      </c>
      <c r="C250" t="s">
        <v>11</v>
      </c>
      <c r="D250" t="s">
        <v>12</v>
      </c>
      <c r="E250">
        <v>6</v>
      </c>
      <c r="F250">
        <v>6366</v>
      </c>
      <c r="G250">
        <v>318.97000000000003</v>
      </c>
      <c r="H250">
        <v>2024</v>
      </c>
      <c r="I250" t="s">
        <v>14</v>
      </c>
      <c r="J250" s="4">
        <v>5.0105246622683002E-2</v>
      </c>
      <c r="K250" t="s">
        <v>41</v>
      </c>
      <c r="L250" t="s">
        <v>52</v>
      </c>
      <c r="M250">
        <v>10</v>
      </c>
      <c r="N250" t="s">
        <v>54</v>
      </c>
    </row>
    <row r="251" spans="1:14" x14ac:dyDescent="0.3">
      <c r="A251" s="1">
        <v>45508</v>
      </c>
      <c r="B251" t="s">
        <v>10</v>
      </c>
      <c r="C251" t="s">
        <v>11</v>
      </c>
      <c r="D251" t="s">
        <v>22</v>
      </c>
      <c r="E251">
        <v>7</v>
      </c>
      <c r="F251">
        <v>7791</v>
      </c>
      <c r="G251">
        <v>1844.69</v>
      </c>
      <c r="H251">
        <v>2024</v>
      </c>
      <c r="I251" t="s">
        <v>24</v>
      </c>
      <c r="J251" s="4">
        <v>0.23677191631369501</v>
      </c>
      <c r="K251" t="s">
        <v>41</v>
      </c>
      <c r="L251" t="s">
        <v>60</v>
      </c>
      <c r="M251">
        <v>8</v>
      </c>
      <c r="N251" t="s">
        <v>63</v>
      </c>
    </row>
    <row r="252" spans="1:14" x14ac:dyDescent="0.3">
      <c r="A252" s="1">
        <v>45460</v>
      </c>
      <c r="B252" t="s">
        <v>10</v>
      </c>
      <c r="C252" t="s">
        <v>11</v>
      </c>
      <c r="D252" t="s">
        <v>17</v>
      </c>
      <c r="E252">
        <v>7</v>
      </c>
      <c r="F252">
        <v>7077</v>
      </c>
      <c r="G252">
        <v>804.15</v>
      </c>
      <c r="H252">
        <v>2024</v>
      </c>
      <c r="I252" t="s">
        <v>27</v>
      </c>
      <c r="J252" s="4">
        <v>0.113628656210259</v>
      </c>
      <c r="K252" t="s">
        <v>41</v>
      </c>
      <c r="L252" t="s">
        <v>59</v>
      </c>
      <c r="M252">
        <v>6</v>
      </c>
      <c r="N252" t="s">
        <v>66</v>
      </c>
    </row>
    <row r="253" spans="1:14" x14ac:dyDescent="0.3">
      <c r="A253" s="1">
        <v>45366</v>
      </c>
      <c r="B253" t="s">
        <v>10</v>
      </c>
      <c r="C253" t="s">
        <v>11</v>
      </c>
      <c r="D253" t="s">
        <v>12</v>
      </c>
      <c r="E253">
        <v>3</v>
      </c>
      <c r="F253">
        <v>177</v>
      </c>
      <c r="G253">
        <v>43.41</v>
      </c>
      <c r="H253">
        <v>2024</v>
      </c>
      <c r="I253" t="s">
        <v>15</v>
      </c>
      <c r="J253" s="4">
        <v>0.245254237288136</v>
      </c>
      <c r="K253" t="s">
        <v>41</v>
      </c>
      <c r="L253" t="s">
        <v>55</v>
      </c>
      <c r="M253">
        <v>3</v>
      </c>
      <c r="N253" t="s">
        <v>56</v>
      </c>
    </row>
    <row r="254" spans="1:14" x14ac:dyDescent="0.3">
      <c r="A254" s="1">
        <v>44575</v>
      </c>
      <c r="B254" t="s">
        <v>10</v>
      </c>
      <c r="C254" t="s">
        <v>11</v>
      </c>
      <c r="D254" t="s">
        <v>22</v>
      </c>
      <c r="E254">
        <v>7</v>
      </c>
      <c r="F254">
        <v>3059</v>
      </c>
      <c r="G254">
        <v>873.5</v>
      </c>
      <c r="H254">
        <v>2022</v>
      </c>
      <c r="I254" t="s">
        <v>26</v>
      </c>
      <c r="J254" s="4">
        <v>0.28555083360575401</v>
      </c>
      <c r="K254" t="s">
        <v>42</v>
      </c>
      <c r="L254" t="s">
        <v>55</v>
      </c>
      <c r="M254">
        <v>1</v>
      </c>
      <c r="N254" t="s">
        <v>65</v>
      </c>
    </row>
    <row r="255" spans="1:14" x14ac:dyDescent="0.3">
      <c r="A255" s="1">
        <v>44751</v>
      </c>
      <c r="B255" t="s">
        <v>10</v>
      </c>
      <c r="C255" t="s">
        <v>11</v>
      </c>
      <c r="D255" t="s">
        <v>17</v>
      </c>
      <c r="E255">
        <v>5</v>
      </c>
      <c r="F255">
        <v>3475</v>
      </c>
      <c r="G255">
        <v>570.36</v>
      </c>
      <c r="H255">
        <v>2022</v>
      </c>
      <c r="I255" t="s">
        <v>25</v>
      </c>
      <c r="J255" s="4">
        <v>0.16413237410071899</v>
      </c>
      <c r="K255" t="s">
        <v>42</v>
      </c>
      <c r="L255" t="s">
        <v>60</v>
      </c>
      <c r="M255">
        <v>7</v>
      </c>
      <c r="N255" t="s">
        <v>64</v>
      </c>
    </row>
    <row r="256" spans="1:14" x14ac:dyDescent="0.3">
      <c r="A256" s="1">
        <v>44815</v>
      </c>
      <c r="B256" t="s">
        <v>10</v>
      </c>
      <c r="C256" t="s">
        <v>11</v>
      </c>
      <c r="D256" t="s">
        <v>12</v>
      </c>
      <c r="E256">
        <v>4</v>
      </c>
      <c r="F256">
        <v>3720</v>
      </c>
      <c r="G256">
        <v>410.92</v>
      </c>
      <c r="H256">
        <v>2022</v>
      </c>
      <c r="I256" t="s">
        <v>21</v>
      </c>
      <c r="J256" s="4">
        <v>0.11046236559139801</v>
      </c>
      <c r="K256" t="s">
        <v>42</v>
      </c>
      <c r="L256" t="s">
        <v>60</v>
      </c>
      <c r="M256">
        <v>9</v>
      </c>
      <c r="N256" t="s">
        <v>61</v>
      </c>
    </row>
    <row r="257" spans="1:14" x14ac:dyDescent="0.3">
      <c r="A257" s="1">
        <v>44909</v>
      </c>
      <c r="B257" t="s">
        <v>10</v>
      </c>
      <c r="C257" t="s">
        <v>11</v>
      </c>
      <c r="D257" t="s">
        <v>22</v>
      </c>
      <c r="E257">
        <v>7</v>
      </c>
      <c r="F257">
        <v>7518</v>
      </c>
      <c r="G257">
        <v>1655.91</v>
      </c>
      <c r="H257">
        <v>2022</v>
      </c>
      <c r="I257" t="s">
        <v>13</v>
      </c>
      <c r="J257" s="4">
        <v>0.220259377494014</v>
      </c>
      <c r="K257" t="s">
        <v>42</v>
      </c>
      <c r="L257" t="s">
        <v>52</v>
      </c>
      <c r="M257">
        <v>12</v>
      </c>
      <c r="N257" t="s">
        <v>53</v>
      </c>
    </row>
    <row r="258" spans="1:14" x14ac:dyDescent="0.3">
      <c r="A258" s="1">
        <v>44695</v>
      </c>
      <c r="B258" t="s">
        <v>10</v>
      </c>
      <c r="C258" t="s">
        <v>11</v>
      </c>
      <c r="D258" t="s">
        <v>22</v>
      </c>
      <c r="E258">
        <v>1</v>
      </c>
      <c r="F258">
        <v>873</v>
      </c>
      <c r="G258">
        <v>158.97</v>
      </c>
      <c r="H258">
        <v>2022</v>
      </c>
      <c r="I258" t="s">
        <v>20</v>
      </c>
      <c r="J258" s="4">
        <v>0.18209621993127101</v>
      </c>
      <c r="K258" t="s">
        <v>42</v>
      </c>
      <c r="L258" t="s">
        <v>59</v>
      </c>
      <c r="M258">
        <v>5</v>
      </c>
      <c r="N258" t="s">
        <v>20</v>
      </c>
    </row>
    <row r="259" spans="1:14" x14ac:dyDescent="0.3">
      <c r="A259" s="1">
        <v>44668</v>
      </c>
      <c r="B259" t="s">
        <v>10</v>
      </c>
      <c r="C259" t="s">
        <v>11</v>
      </c>
      <c r="D259" t="s">
        <v>19</v>
      </c>
      <c r="E259">
        <v>6</v>
      </c>
      <c r="F259">
        <v>1728</v>
      </c>
      <c r="G259">
        <v>307.44</v>
      </c>
      <c r="H259">
        <v>2022</v>
      </c>
      <c r="I259" t="s">
        <v>23</v>
      </c>
      <c r="J259" s="4">
        <v>0.177916666666667</v>
      </c>
      <c r="K259" t="s">
        <v>42</v>
      </c>
      <c r="L259" t="s">
        <v>59</v>
      </c>
      <c r="M259">
        <v>4</v>
      </c>
      <c r="N259" t="s">
        <v>62</v>
      </c>
    </row>
    <row r="260" spans="1:14" x14ac:dyDescent="0.3">
      <c r="A260" s="1">
        <v>44805</v>
      </c>
      <c r="B260" t="s">
        <v>10</v>
      </c>
      <c r="C260" t="s">
        <v>11</v>
      </c>
      <c r="D260" t="s">
        <v>17</v>
      </c>
      <c r="E260">
        <v>5</v>
      </c>
      <c r="F260">
        <v>4930</v>
      </c>
      <c r="G260">
        <v>387.33</v>
      </c>
      <c r="H260">
        <v>2022</v>
      </c>
      <c r="I260" t="s">
        <v>21</v>
      </c>
      <c r="J260" s="4">
        <v>7.8565922920892498E-2</v>
      </c>
      <c r="K260" t="s">
        <v>42</v>
      </c>
      <c r="L260" t="s">
        <v>60</v>
      </c>
      <c r="M260">
        <v>9</v>
      </c>
      <c r="N260" t="s">
        <v>61</v>
      </c>
    </row>
    <row r="261" spans="1:14" x14ac:dyDescent="0.3">
      <c r="A261" s="1">
        <v>44889</v>
      </c>
      <c r="B261" t="s">
        <v>10</v>
      </c>
      <c r="C261" t="s">
        <v>11</v>
      </c>
      <c r="D261" t="s">
        <v>22</v>
      </c>
      <c r="E261">
        <v>7</v>
      </c>
      <c r="F261">
        <v>3444</v>
      </c>
      <c r="G261">
        <v>607.44000000000005</v>
      </c>
      <c r="H261">
        <v>2022</v>
      </c>
      <c r="I261" t="s">
        <v>18</v>
      </c>
      <c r="J261" s="4">
        <v>0.17637630662020901</v>
      </c>
      <c r="K261" t="s">
        <v>42</v>
      </c>
      <c r="L261" t="s">
        <v>52</v>
      </c>
      <c r="M261">
        <v>11</v>
      </c>
      <c r="N261" t="s">
        <v>58</v>
      </c>
    </row>
    <row r="262" spans="1:14" x14ac:dyDescent="0.3">
      <c r="A262" s="1">
        <v>44903</v>
      </c>
      <c r="B262" t="s">
        <v>10</v>
      </c>
      <c r="C262" t="s">
        <v>11</v>
      </c>
      <c r="D262" t="s">
        <v>17</v>
      </c>
      <c r="E262">
        <v>6</v>
      </c>
      <c r="F262">
        <v>3822</v>
      </c>
      <c r="G262">
        <v>388.34</v>
      </c>
      <c r="H262">
        <v>2022</v>
      </c>
      <c r="I262" t="s">
        <v>13</v>
      </c>
      <c r="J262" s="4">
        <v>0.101606488749346</v>
      </c>
      <c r="K262" t="s">
        <v>42</v>
      </c>
      <c r="L262" t="s">
        <v>52</v>
      </c>
      <c r="M262">
        <v>12</v>
      </c>
      <c r="N262" t="s">
        <v>53</v>
      </c>
    </row>
    <row r="263" spans="1:14" x14ac:dyDescent="0.3">
      <c r="A263" s="1">
        <v>44829</v>
      </c>
      <c r="B263" t="s">
        <v>10</v>
      </c>
      <c r="C263" t="s">
        <v>11</v>
      </c>
      <c r="D263" t="s">
        <v>17</v>
      </c>
      <c r="E263">
        <v>6</v>
      </c>
      <c r="F263">
        <v>4680</v>
      </c>
      <c r="G263">
        <v>932.97</v>
      </c>
      <c r="H263">
        <v>2022</v>
      </c>
      <c r="I263" t="s">
        <v>21</v>
      </c>
      <c r="J263" s="4">
        <v>0.19935256410256399</v>
      </c>
      <c r="K263" t="s">
        <v>42</v>
      </c>
      <c r="L263" t="s">
        <v>60</v>
      </c>
      <c r="M263">
        <v>9</v>
      </c>
      <c r="N263" t="s">
        <v>61</v>
      </c>
    </row>
    <row r="264" spans="1:14" x14ac:dyDescent="0.3">
      <c r="A264" s="1">
        <v>44692</v>
      </c>
      <c r="B264" t="s">
        <v>10</v>
      </c>
      <c r="C264" t="s">
        <v>11</v>
      </c>
      <c r="D264" t="s">
        <v>22</v>
      </c>
      <c r="E264">
        <v>8</v>
      </c>
      <c r="F264">
        <v>728</v>
      </c>
      <c r="G264">
        <v>120.06</v>
      </c>
      <c r="H264">
        <v>2022</v>
      </c>
      <c r="I264" t="s">
        <v>20</v>
      </c>
      <c r="J264" s="4">
        <v>0.164917582417582</v>
      </c>
      <c r="K264" t="s">
        <v>42</v>
      </c>
      <c r="L264" t="s">
        <v>59</v>
      </c>
      <c r="M264">
        <v>5</v>
      </c>
      <c r="N264" t="s">
        <v>20</v>
      </c>
    </row>
    <row r="265" spans="1:14" x14ac:dyDescent="0.3">
      <c r="A265" s="1">
        <v>44564</v>
      </c>
      <c r="B265" t="s">
        <v>10</v>
      </c>
      <c r="C265" t="s">
        <v>11</v>
      </c>
      <c r="D265" t="s">
        <v>17</v>
      </c>
      <c r="E265">
        <v>7</v>
      </c>
      <c r="F265">
        <v>2723</v>
      </c>
      <c r="G265">
        <v>638.26</v>
      </c>
      <c r="H265">
        <v>2022</v>
      </c>
      <c r="I265" t="s">
        <v>26</v>
      </c>
      <c r="J265" s="4">
        <v>0.23439588688946</v>
      </c>
      <c r="K265" t="s">
        <v>42</v>
      </c>
      <c r="L265" t="s">
        <v>55</v>
      </c>
      <c r="M265">
        <v>1</v>
      </c>
      <c r="N265" t="s">
        <v>65</v>
      </c>
    </row>
    <row r="266" spans="1:14" x14ac:dyDescent="0.3">
      <c r="A266" s="1">
        <v>44731</v>
      </c>
      <c r="B266" t="s">
        <v>10</v>
      </c>
      <c r="C266" t="s">
        <v>11</v>
      </c>
      <c r="D266" t="s">
        <v>17</v>
      </c>
      <c r="E266">
        <v>3</v>
      </c>
      <c r="F266">
        <v>2910</v>
      </c>
      <c r="G266">
        <v>765.47</v>
      </c>
      <c r="H266">
        <v>2022</v>
      </c>
      <c r="I266" t="s">
        <v>27</v>
      </c>
      <c r="J266" s="4">
        <v>0.26304810996563599</v>
      </c>
      <c r="K266" t="s">
        <v>42</v>
      </c>
      <c r="L266" t="s">
        <v>59</v>
      </c>
      <c r="M266">
        <v>6</v>
      </c>
      <c r="N266" t="s">
        <v>66</v>
      </c>
    </row>
    <row r="267" spans="1:14" x14ac:dyDescent="0.3">
      <c r="A267" s="1">
        <v>44760</v>
      </c>
      <c r="B267" t="s">
        <v>10</v>
      </c>
      <c r="C267" t="s">
        <v>11</v>
      </c>
      <c r="D267" t="s">
        <v>19</v>
      </c>
      <c r="E267">
        <v>1</v>
      </c>
      <c r="F267">
        <v>569</v>
      </c>
      <c r="G267">
        <v>138.11000000000001</v>
      </c>
      <c r="H267">
        <v>2022</v>
      </c>
      <c r="I267" t="s">
        <v>25</v>
      </c>
      <c r="J267" s="4">
        <v>0.24272407732864701</v>
      </c>
      <c r="K267" t="s">
        <v>42</v>
      </c>
      <c r="L267" t="s">
        <v>60</v>
      </c>
      <c r="M267">
        <v>7</v>
      </c>
      <c r="N267" t="s">
        <v>64</v>
      </c>
    </row>
    <row r="268" spans="1:14" x14ac:dyDescent="0.3">
      <c r="A268" s="1">
        <v>44580</v>
      </c>
      <c r="B268" t="s">
        <v>10</v>
      </c>
      <c r="C268" t="s">
        <v>11</v>
      </c>
      <c r="D268" t="s">
        <v>22</v>
      </c>
      <c r="E268">
        <v>4</v>
      </c>
      <c r="F268">
        <v>4700</v>
      </c>
      <c r="G268">
        <v>619.26</v>
      </c>
      <c r="H268">
        <v>2022</v>
      </c>
      <c r="I268" t="s">
        <v>26</v>
      </c>
      <c r="J268" s="4">
        <v>0.13175744680851101</v>
      </c>
      <c r="K268" t="s">
        <v>42</v>
      </c>
      <c r="L268" t="s">
        <v>55</v>
      </c>
      <c r="M268">
        <v>1</v>
      </c>
      <c r="N268" t="s">
        <v>65</v>
      </c>
    </row>
    <row r="269" spans="1:14" x14ac:dyDescent="0.3">
      <c r="A269" s="1">
        <v>44852</v>
      </c>
      <c r="B269" t="s">
        <v>10</v>
      </c>
      <c r="C269" t="s">
        <v>11</v>
      </c>
      <c r="D269" t="s">
        <v>12</v>
      </c>
      <c r="E269">
        <v>1</v>
      </c>
      <c r="F269">
        <v>354</v>
      </c>
      <c r="G269">
        <v>65.989999999999995</v>
      </c>
      <c r="H269">
        <v>2022</v>
      </c>
      <c r="I269" t="s">
        <v>14</v>
      </c>
      <c r="J269" s="4">
        <v>0.186412429378531</v>
      </c>
      <c r="K269" t="s">
        <v>42</v>
      </c>
      <c r="L269" t="s">
        <v>52</v>
      </c>
      <c r="M269">
        <v>10</v>
      </c>
      <c r="N269" t="s">
        <v>54</v>
      </c>
    </row>
    <row r="270" spans="1:14" x14ac:dyDescent="0.3">
      <c r="A270" s="1">
        <v>44751</v>
      </c>
      <c r="B270" t="s">
        <v>10</v>
      </c>
      <c r="C270" t="s">
        <v>11</v>
      </c>
      <c r="D270" t="s">
        <v>22</v>
      </c>
      <c r="E270">
        <v>3</v>
      </c>
      <c r="F270">
        <v>594</v>
      </c>
      <c r="G270">
        <v>47.73</v>
      </c>
      <c r="H270">
        <v>2022</v>
      </c>
      <c r="I270" t="s">
        <v>25</v>
      </c>
      <c r="J270" s="4">
        <v>8.0353535353535399E-2</v>
      </c>
      <c r="K270" t="s">
        <v>42</v>
      </c>
      <c r="L270" t="s">
        <v>60</v>
      </c>
      <c r="M270">
        <v>7</v>
      </c>
      <c r="N270" t="s">
        <v>64</v>
      </c>
    </row>
    <row r="271" spans="1:14" x14ac:dyDescent="0.3">
      <c r="A271" s="1">
        <v>44690</v>
      </c>
      <c r="B271" t="s">
        <v>10</v>
      </c>
      <c r="C271" t="s">
        <v>11</v>
      </c>
      <c r="D271" t="s">
        <v>22</v>
      </c>
      <c r="E271">
        <v>1</v>
      </c>
      <c r="F271">
        <v>1193</v>
      </c>
      <c r="G271">
        <v>153.72</v>
      </c>
      <c r="H271">
        <v>2022</v>
      </c>
      <c r="I271" t="s">
        <v>20</v>
      </c>
      <c r="J271" s="4">
        <v>0.12885163453478601</v>
      </c>
      <c r="K271" t="s">
        <v>42</v>
      </c>
      <c r="L271" t="s">
        <v>59</v>
      </c>
      <c r="M271">
        <v>5</v>
      </c>
      <c r="N271" t="s">
        <v>20</v>
      </c>
    </row>
    <row r="272" spans="1:14" x14ac:dyDescent="0.3">
      <c r="A272" s="1">
        <v>44795</v>
      </c>
      <c r="B272" t="s">
        <v>10</v>
      </c>
      <c r="C272" t="s">
        <v>11</v>
      </c>
      <c r="D272" t="s">
        <v>22</v>
      </c>
      <c r="E272">
        <v>9</v>
      </c>
      <c r="F272">
        <v>4941</v>
      </c>
      <c r="G272">
        <v>894.52</v>
      </c>
      <c r="H272">
        <v>2022</v>
      </c>
      <c r="I272" t="s">
        <v>24</v>
      </c>
      <c r="J272" s="4">
        <v>0.18104027524792601</v>
      </c>
      <c r="K272" t="s">
        <v>42</v>
      </c>
      <c r="L272" t="s">
        <v>60</v>
      </c>
      <c r="M272">
        <v>8</v>
      </c>
      <c r="N272" t="s">
        <v>63</v>
      </c>
    </row>
    <row r="273" spans="1:14" x14ac:dyDescent="0.3">
      <c r="A273" s="1">
        <v>44749</v>
      </c>
      <c r="B273" t="s">
        <v>10</v>
      </c>
      <c r="C273" t="s">
        <v>11</v>
      </c>
      <c r="D273" t="s">
        <v>17</v>
      </c>
      <c r="E273">
        <v>6</v>
      </c>
      <c r="F273">
        <v>4410</v>
      </c>
      <c r="G273">
        <v>893.27</v>
      </c>
      <c r="H273">
        <v>2022</v>
      </c>
      <c r="I273" t="s">
        <v>25</v>
      </c>
      <c r="J273" s="4">
        <v>0.20255555555555599</v>
      </c>
      <c r="K273" t="s">
        <v>42</v>
      </c>
      <c r="L273" t="s">
        <v>60</v>
      </c>
      <c r="M273">
        <v>7</v>
      </c>
      <c r="N273" t="s">
        <v>64</v>
      </c>
    </row>
    <row r="274" spans="1:14" x14ac:dyDescent="0.3">
      <c r="A274" s="1">
        <v>44702</v>
      </c>
      <c r="B274" t="s">
        <v>10</v>
      </c>
      <c r="C274" t="s">
        <v>11</v>
      </c>
      <c r="D274" t="s">
        <v>12</v>
      </c>
      <c r="E274">
        <v>5</v>
      </c>
      <c r="F274">
        <v>250</v>
      </c>
      <c r="G274">
        <v>16.809999999999999</v>
      </c>
      <c r="H274">
        <v>2022</v>
      </c>
      <c r="I274" t="s">
        <v>20</v>
      </c>
      <c r="J274" s="4">
        <v>6.7239999999999994E-2</v>
      </c>
      <c r="K274" t="s">
        <v>42</v>
      </c>
      <c r="L274" t="s">
        <v>59</v>
      </c>
      <c r="M274">
        <v>5</v>
      </c>
      <c r="N274" t="s">
        <v>20</v>
      </c>
    </row>
    <row r="275" spans="1:14" x14ac:dyDescent="0.3">
      <c r="A275" s="1">
        <v>44698</v>
      </c>
      <c r="B275" t="s">
        <v>10</v>
      </c>
      <c r="C275" t="s">
        <v>11</v>
      </c>
      <c r="D275" t="s">
        <v>19</v>
      </c>
      <c r="E275">
        <v>9</v>
      </c>
      <c r="F275">
        <v>5634</v>
      </c>
      <c r="G275">
        <v>464.71</v>
      </c>
      <c r="H275">
        <v>2022</v>
      </c>
      <c r="I275" t="s">
        <v>20</v>
      </c>
      <c r="J275" s="4">
        <v>8.2483138090166802E-2</v>
      </c>
      <c r="K275" t="s">
        <v>42</v>
      </c>
      <c r="L275" t="s">
        <v>59</v>
      </c>
      <c r="M275">
        <v>5</v>
      </c>
      <c r="N275" t="s">
        <v>20</v>
      </c>
    </row>
    <row r="276" spans="1:14" x14ac:dyDescent="0.3">
      <c r="A276" s="1">
        <v>44592</v>
      </c>
      <c r="B276" t="s">
        <v>10</v>
      </c>
      <c r="C276" t="s">
        <v>11</v>
      </c>
      <c r="D276" t="s">
        <v>22</v>
      </c>
      <c r="E276">
        <v>2</v>
      </c>
      <c r="F276">
        <v>1580</v>
      </c>
      <c r="G276">
        <v>403.76</v>
      </c>
      <c r="H276">
        <v>2022</v>
      </c>
      <c r="I276" t="s">
        <v>26</v>
      </c>
      <c r="J276" s="4">
        <v>0.25554430379746801</v>
      </c>
      <c r="K276" t="s">
        <v>42</v>
      </c>
      <c r="L276" t="s">
        <v>55</v>
      </c>
      <c r="M276">
        <v>1</v>
      </c>
      <c r="N276" t="s">
        <v>65</v>
      </c>
    </row>
    <row r="277" spans="1:14" x14ac:dyDescent="0.3">
      <c r="A277" s="1">
        <v>44923</v>
      </c>
      <c r="B277" t="s">
        <v>10</v>
      </c>
      <c r="C277" t="s">
        <v>11</v>
      </c>
      <c r="D277" t="s">
        <v>17</v>
      </c>
      <c r="E277">
        <v>1</v>
      </c>
      <c r="F277">
        <v>1163</v>
      </c>
      <c r="G277">
        <v>115.09</v>
      </c>
      <c r="H277">
        <v>2022</v>
      </c>
      <c r="I277" t="s">
        <v>13</v>
      </c>
      <c r="J277" s="4">
        <v>9.8959587274290606E-2</v>
      </c>
      <c r="K277" t="s">
        <v>42</v>
      </c>
      <c r="L277" t="s">
        <v>52</v>
      </c>
      <c r="M277">
        <v>12</v>
      </c>
      <c r="N277" t="s">
        <v>53</v>
      </c>
    </row>
    <row r="278" spans="1:14" x14ac:dyDescent="0.3">
      <c r="A278" s="1">
        <v>44566</v>
      </c>
      <c r="B278" t="s">
        <v>10</v>
      </c>
      <c r="C278" t="s">
        <v>11</v>
      </c>
      <c r="D278" t="s">
        <v>12</v>
      </c>
      <c r="E278">
        <v>2</v>
      </c>
      <c r="F278">
        <v>1686</v>
      </c>
      <c r="G278">
        <v>146.38999999999999</v>
      </c>
      <c r="H278">
        <v>2022</v>
      </c>
      <c r="I278" t="s">
        <v>26</v>
      </c>
      <c r="J278" s="4">
        <v>8.68268090154211E-2</v>
      </c>
      <c r="K278" t="s">
        <v>42</v>
      </c>
      <c r="L278" t="s">
        <v>55</v>
      </c>
      <c r="M278">
        <v>1</v>
      </c>
      <c r="N278" t="s">
        <v>65</v>
      </c>
    </row>
    <row r="279" spans="1:14" x14ac:dyDescent="0.3">
      <c r="A279" s="1">
        <v>44690</v>
      </c>
      <c r="B279" t="s">
        <v>10</v>
      </c>
      <c r="C279" t="s">
        <v>11</v>
      </c>
      <c r="D279" t="s">
        <v>12</v>
      </c>
      <c r="E279">
        <v>6</v>
      </c>
      <c r="F279">
        <v>4296</v>
      </c>
      <c r="G279">
        <v>1240.31</v>
      </c>
      <c r="H279">
        <v>2022</v>
      </c>
      <c r="I279" t="s">
        <v>20</v>
      </c>
      <c r="J279" s="4">
        <v>0.28871275605214203</v>
      </c>
      <c r="K279" t="s">
        <v>42</v>
      </c>
      <c r="L279" t="s">
        <v>59</v>
      </c>
      <c r="M279">
        <v>5</v>
      </c>
      <c r="N279" t="s">
        <v>20</v>
      </c>
    </row>
    <row r="280" spans="1:14" x14ac:dyDescent="0.3">
      <c r="A280" s="1">
        <v>44634</v>
      </c>
      <c r="B280" t="s">
        <v>10</v>
      </c>
      <c r="C280" t="s">
        <v>11</v>
      </c>
      <c r="D280" t="s">
        <v>17</v>
      </c>
      <c r="E280">
        <v>1</v>
      </c>
      <c r="F280">
        <v>812</v>
      </c>
      <c r="G280">
        <v>51.13</v>
      </c>
      <c r="H280">
        <v>2022</v>
      </c>
      <c r="I280" t="s">
        <v>15</v>
      </c>
      <c r="J280" s="4">
        <v>6.2967980295566495E-2</v>
      </c>
      <c r="K280" t="s">
        <v>42</v>
      </c>
      <c r="L280" t="s">
        <v>55</v>
      </c>
      <c r="M280">
        <v>3</v>
      </c>
      <c r="N280" t="s">
        <v>56</v>
      </c>
    </row>
    <row r="281" spans="1:14" x14ac:dyDescent="0.3">
      <c r="A281" s="1">
        <v>44607</v>
      </c>
      <c r="B281" t="s">
        <v>10</v>
      </c>
      <c r="C281" t="s">
        <v>11</v>
      </c>
      <c r="D281" t="s">
        <v>22</v>
      </c>
      <c r="E281">
        <v>4</v>
      </c>
      <c r="F281">
        <v>528</v>
      </c>
      <c r="G281">
        <v>152.80000000000001</v>
      </c>
      <c r="H281">
        <v>2022</v>
      </c>
      <c r="I281" t="s">
        <v>16</v>
      </c>
      <c r="J281" s="4">
        <v>0.28939393939393898</v>
      </c>
      <c r="K281" t="s">
        <v>42</v>
      </c>
      <c r="L281" t="s">
        <v>55</v>
      </c>
      <c r="M281">
        <v>2</v>
      </c>
      <c r="N281" t="s">
        <v>57</v>
      </c>
    </row>
    <row r="282" spans="1:14" x14ac:dyDescent="0.3">
      <c r="A282" s="1">
        <v>44622</v>
      </c>
      <c r="B282" t="s">
        <v>10</v>
      </c>
      <c r="C282" t="s">
        <v>11</v>
      </c>
      <c r="D282" t="s">
        <v>17</v>
      </c>
      <c r="E282">
        <v>3</v>
      </c>
      <c r="F282">
        <v>2181</v>
      </c>
      <c r="G282">
        <v>517.02</v>
      </c>
      <c r="H282">
        <v>2022</v>
      </c>
      <c r="I282" t="s">
        <v>15</v>
      </c>
      <c r="J282" s="4">
        <v>0.237056396148556</v>
      </c>
      <c r="K282" t="s">
        <v>42</v>
      </c>
      <c r="L282" t="s">
        <v>55</v>
      </c>
      <c r="M282">
        <v>3</v>
      </c>
      <c r="N282" t="s">
        <v>56</v>
      </c>
    </row>
    <row r="283" spans="1:14" x14ac:dyDescent="0.3">
      <c r="A283" s="1">
        <v>44635</v>
      </c>
      <c r="B283" t="s">
        <v>10</v>
      </c>
      <c r="C283" t="s">
        <v>11</v>
      </c>
      <c r="D283" t="s">
        <v>17</v>
      </c>
      <c r="E283">
        <v>4</v>
      </c>
      <c r="F283">
        <v>1728</v>
      </c>
      <c r="G283">
        <v>403.06</v>
      </c>
      <c r="H283">
        <v>2022</v>
      </c>
      <c r="I283" t="s">
        <v>15</v>
      </c>
      <c r="J283" s="4">
        <v>0.23325231481481501</v>
      </c>
      <c r="K283" t="s">
        <v>42</v>
      </c>
      <c r="L283" t="s">
        <v>55</v>
      </c>
      <c r="M283">
        <v>3</v>
      </c>
      <c r="N283" t="s">
        <v>56</v>
      </c>
    </row>
    <row r="284" spans="1:14" x14ac:dyDescent="0.3">
      <c r="A284" s="1">
        <v>44787</v>
      </c>
      <c r="B284" t="s">
        <v>10</v>
      </c>
      <c r="C284" t="s">
        <v>11</v>
      </c>
      <c r="D284" t="s">
        <v>17</v>
      </c>
      <c r="E284">
        <v>7</v>
      </c>
      <c r="F284">
        <v>1085</v>
      </c>
      <c r="G284">
        <v>130.72</v>
      </c>
      <c r="H284">
        <v>2022</v>
      </c>
      <c r="I284" t="s">
        <v>24</v>
      </c>
      <c r="J284" s="4">
        <v>0.120479262672811</v>
      </c>
      <c r="K284" t="s">
        <v>42</v>
      </c>
      <c r="L284" t="s">
        <v>60</v>
      </c>
      <c r="M284">
        <v>8</v>
      </c>
      <c r="N284" t="s">
        <v>63</v>
      </c>
    </row>
    <row r="285" spans="1:14" x14ac:dyDescent="0.3">
      <c r="A285" s="1">
        <v>44668</v>
      </c>
      <c r="B285" t="s">
        <v>10</v>
      </c>
      <c r="C285" t="s">
        <v>11</v>
      </c>
      <c r="D285" t="s">
        <v>12</v>
      </c>
      <c r="E285">
        <v>8</v>
      </c>
      <c r="F285">
        <v>968</v>
      </c>
      <c r="G285">
        <v>271.61</v>
      </c>
      <c r="H285">
        <v>2022</v>
      </c>
      <c r="I285" t="s">
        <v>23</v>
      </c>
      <c r="J285" s="4">
        <v>0.28058884297520698</v>
      </c>
      <c r="K285" t="s">
        <v>42</v>
      </c>
      <c r="L285" t="s">
        <v>59</v>
      </c>
      <c r="M285">
        <v>4</v>
      </c>
      <c r="N285" t="s">
        <v>62</v>
      </c>
    </row>
    <row r="286" spans="1:14" x14ac:dyDescent="0.3">
      <c r="A286" s="1">
        <v>44633</v>
      </c>
      <c r="B286" t="s">
        <v>10</v>
      </c>
      <c r="C286" t="s">
        <v>11</v>
      </c>
      <c r="D286" t="s">
        <v>19</v>
      </c>
      <c r="E286">
        <v>6</v>
      </c>
      <c r="F286">
        <v>5316</v>
      </c>
      <c r="G286">
        <v>782.42</v>
      </c>
      <c r="H286">
        <v>2022</v>
      </c>
      <c r="I286" t="s">
        <v>15</v>
      </c>
      <c r="J286" s="4">
        <v>0.14718209179834499</v>
      </c>
      <c r="K286" t="s">
        <v>42</v>
      </c>
      <c r="L286" t="s">
        <v>55</v>
      </c>
      <c r="M286">
        <v>3</v>
      </c>
      <c r="N286" t="s">
        <v>56</v>
      </c>
    </row>
    <row r="287" spans="1:14" x14ac:dyDescent="0.3">
      <c r="A287" s="1">
        <v>44740</v>
      </c>
      <c r="B287" t="s">
        <v>10</v>
      </c>
      <c r="C287" t="s">
        <v>11</v>
      </c>
      <c r="D287" t="s">
        <v>12</v>
      </c>
      <c r="E287">
        <v>2</v>
      </c>
      <c r="F287">
        <v>1414</v>
      </c>
      <c r="G287">
        <v>308.39</v>
      </c>
      <c r="H287">
        <v>2022</v>
      </c>
      <c r="I287" t="s">
        <v>27</v>
      </c>
      <c r="J287" s="4">
        <v>0.21809759547383301</v>
      </c>
      <c r="K287" t="s">
        <v>42</v>
      </c>
      <c r="L287" t="s">
        <v>59</v>
      </c>
      <c r="M287">
        <v>6</v>
      </c>
      <c r="N287" t="s">
        <v>66</v>
      </c>
    </row>
    <row r="288" spans="1:14" x14ac:dyDescent="0.3">
      <c r="A288" s="1">
        <v>44640</v>
      </c>
      <c r="B288" t="s">
        <v>10</v>
      </c>
      <c r="C288" t="s">
        <v>11</v>
      </c>
      <c r="D288" t="s">
        <v>19</v>
      </c>
      <c r="E288">
        <v>5</v>
      </c>
      <c r="F288">
        <v>4485</v>
      </c>
      <c r="G288">
        <v>1324.49</v>
      </c>
      <c r="H288">
        <v>2022</v>
      </c>
      <c r="I288" t="s">
        <v>15</v>
      </c>
      <c r="J288" s="4">
        <v>0.29531549609810498</v>
      </c>
      <c r="K288" t="s">
        <v>42</v>
      </c>
      <c r="L288" t="s">
        <v>55</v>
      </c>
      <c r="M288">
        <v>3</v>
      </c>
      <c r="N288" t="s">
        <v>56</v>
      </c>
    </row>
    <row r="289" spans="1:14" x14ac:dyDescent="0.3">
      <c r="A289" s="1">
        <v>44592</v>
      </c>
      <c r="B289" t="s">
        <v>10</v>
      </c>
      <c r="C289" t="s">
        <v>11</v>
      </c>
      <c r="D289" t="s">
        <v>12</v>
      </c>
      <c r="E289">
        <v>2</v>
      </c>
      <c r="F289">
        <v>1716</v>
      </c>
      <c r="G289">
        <v>368.06</v>
      </c>
      <c r="H289">
        <v>2022</v>
      </c>
      <c r="I289" t="s">
        <v>26</v>
      </c>
      <c r="J289" s="4">
        <v>0.21448717948717999</v>
      </c>
      <c r="K289" t="s">
        <v>42</v>
      </c>
      <c r="L289" t="s">
        <v>55</v>
      </c>
      <c r="M289">
        <v>1</v>
      </c>
      <c r="N289" t="s">
        <v>65</v>
      </c>
    </row>
    <row r="290" spans="1:14" x14ac:dyDescent="0.3">
      <c r="A290" s="1">
        <v>44590</v>
      </c>
      <c r="B290" t="s">
        <v>10</v>
      </c>
      <c r="C290" t="s">
        <v>11</v>
      </c>
      <c r="D290" t="s">
        <v>22</v>
      </c>
      <c r="E290">
        <v>4</v>
      </c>
      <c r="F290">
        <v>4056</v>
      </c>
      <c r="G290">
        <v>1189.26</v>
      </c>
      <c r="H290">
        <v>2022</v>
      </c>
      <c r="I290" t="s">
        <v>26</v>
      </c>
      <c r="J290" s="4">
        <v>0.29321005917159798</v>
      </c>
      <c r="K290" t="s">
        <v>42</v>
      </c>
      <c r="L290" t="s">
        <v>55</v>
      </c>
      <c r="M290">
        <v>1</v>
      </c>
      <c r="N290" t="s">
        <v>65</v>
      </c>
    </row>
    <row r="291" spans="1:14" x14ac:dyDescent="0.3">
      <c r="A291" s="1">
        <v>44917</v>
      </c>
      <c r="B291" t="s">
        <v>10</v>
      </c>
      <c r="C291" t="s">
        <v>11</v>
      </c>
      <c r="D291" t="s">
        <v>19</v>
      </c>
      <c r="E291">
        <v>2</v>
      </c>
      <c r="F291">
        <v>1986</v>
      </c>
      <c r="G291">
        <v>208.88</v>
      </c>
      <c r="H291">
        <v>2022</v>
      </c>
      <c r="I291" t="s">
        <v>13</v>
      </c>
      <c r="J291" s="4">
        <v>0.10517623363544799</v>
      </c>
      <c r="K291" t="s">
        <v>42</v>
      </c>
      <c r="L291" t="s">
        <v>52</v>
      </c>
      <c r="M291">
        <v>12</v>
      </c>
      <c r="N291" t="s">
        <v>53</v>
      </c>
    </row>
    <row r="292" spans="1:14" x14ac:dyDescent="0.3">
      <c r="A292" s="1">
        <v>44647</v>
      </c>
      <c r="B292" t="s">
        <v>10</v>
      </c>
      <c r="C292" t="s">
        <v>11</v>
      </c>
      <c r="D292" t="s">
        <v>19</v>
      </c>
      <c r="E292">
        <v>3</v>
      </c>
      <c r="F292">
        <v>1107</v>
      </c>
      <c r="G292">
        <v>65.88</v>
      </c>
      <c r="H292">
        <v>2022</v>
      </c>
      <c r="I292" t="s">
        <v>15</v>
      </c>
      <c r="J292" s="4">
        <v>5.9512195121951203E-2</v>
      </c>
      <c r="K292" t="s">
        <v>42</v>
      </c>
      <c r="L292" t="s">
        <v>55</v>
      </c>
      <c r="M292">
        <v>3</v>
      </c>
      <c r="N292" t="s">
        <v>56</v>
      </c>
    </row>
    <row r="293" spans="1:14" x14ac:dyDescent="0.3">
      <c r="A293" s="1">
        <v>44734</v>
      </c>
      <c r="B293" t="s">
        <v>10</v>
      </c>
      <c r="C293" t="s">
        <v>11</v>
      </c>
      <c r="D293" t="s">
        <v>22</v>
      </c>
      <c r="E293">
        <v>3</v>
      </c>
      <c r="F293">
        <v>777</v>
      </c>
      <c r="G293">
        <v>71.72</v>
      </c>
      <c r="H293">
        <v>2022</v>
      </c>
      <c r="I293" t="s">
        <v>27</v>
      </c>
      <c r="J293" s="4">
        <v>9.2303732303732303E-2</v>
      </c>
      <c r="K293" t="s">
        <v>42</v>
      </c>
      <c r="L293" t="s">
        <v>59</v>
      </c>
      <c r="M293">
        <v>6</v>
      </c>
      <c r="N293" t="s">
        <v>66</v>
      </c>
    </row>
    <row r="294" spans="1:14" x14ac:dyDescent="0.3">
      <c r="A294" s="1">
        <v>44680</v>
      </c>
      <c r="B294" t="s">
        <v>10</v>
      </c>
      <c r="C294" t="s">
        <v>11</v>
      </c>
      <c r="D294" t="s">
        <v>19</v>
      </c>
      <c r="E294">
        <v>4</v>
      </c>
      <c r="F294">
        <v>3368</v>
      </c>
      <c r="G294">
        <v>558.92999999999995</v>
      </c>
      <c r="H294">
        <v>2022</v>
      </c>
      <c r="I294" t="s">
        <v>23</v>
      </c>
      <c r="J294" s="4">
        <v>0.16595308788598601</v>
      </c>
      <c r="K294" t="s">
        <v>42</v>
      </c>
      <c r="L294" t="s">
        <v>59</v>
      </c>
      <c r="M294">
        <v>4</v>
      </c>
      <c r="N294" t="s">
        <v>62</v>
      </c>
    </row>
    <row r="295" spans="1:14" x14ac:dyDescent="0.3">
      <c r="A295" s="1">
        <v>44924</v>
      </c>
      <c r="B295" t="s">
        <v>10</v>
      </c>
      <c r="C295" t="s">
        <v>11</v>
      </c>
      <c r="D295" t="s">
        <v>12</v>
      </c>
      <c r="E295">
        <v>9</v>
      </c>
      <c r="F295">
        <v>7083</v>
      </c>
      <c r="G295">
        <v>560.88</v>
      </c>
      <c r="H295">
        <v>2022</v>
      </c>
      <c r="I295" t="s">
        <v>13</v>
      </c>
      <c r="J295" s="4">
        <v>7.9186785260482798E-2</v>
      </c>
      <c r="K295" t="s">
        <v>42</v>
      </c>
      <c r="L295" t="s">
        <v>52</v>
      </c>
      <c r="M295">
        <v>12</v>
      </c>
      <c r="N295" t="s">
        <v>53</v>
      </c>
    </row>
    <row r="296" spans="1:14" x14ac:dyDescent="0.3">
      <c r="A296" s="1">
        <v>44840</v>
      </c>
      <c r="B296" t="s">
        <v>10</v>
      </c>
      <c r="C296" t="s">
        <v>11</v>
      </c>
      <c r="D296" t="s">
        <v>19</v>
      </c>
      <c r="E296">
        <v>7</v>
      </c>
      <c r="F296">
        <v>6797</v>
      </c>
      <c r="G296">
        <v>665.29</v>
      </c>
      <c r="H296">
        <v>2022</v>
      </c>
      <c r="I296" t="s">
        <v>14</v>
      </c>
      <c r="J296" s="4">
        <v>9.7879947035456799E-2</v>
      </c>
      <c r="K296" t="s">
        <v>42</v>
      </c>
      <c r="L296" t="s">
        <v>52</v>
      </c>
      <c r="M296">
        <v>10</v>
      </c>
      <c r="N296" t="s">
        <v>54</v>
      </c>
    </row>
    <row r="297" spans="1:14" x14ac:dyDescent="0.3">
      <c r="A297" s="1">
        <v>44790</v>
      </c>
      <c r="B297" t="s">
        <v>10</v>
      </c>
      <c r="C297" t="s">
        <v>11</v>
      </c>
      <c r="D297" t="s">
        <v>19</v>
      </c>
      <c r="E297">
        <v>2</v>
      </c>
      <c r="F297">
        <v>1310</v>
      </c>
      <c r="G297">
        <v>212.43</v>
      </c>
      <c r="H297">
        <v>2022</v>
      </c>
      <c r="I297" t="s">
        <v>24</v>
      </c>
      <c r="J297" s="4">
        <v>0.162160305343511</v>
      </c>
      <c r="K297" t="s">
        <v>42</v>
      </c>
      <c r="L297" t="s">
        <v>60</v>
      </c>
      <c r="M297">
        <v>8</v>
      </c>
      <c r="N297" t="s">
        <v>63</v>
      </c>
    </row>
    <row r="298" spans="1:14" x14ac:dyDescent="0.3">
      <c r="A298" s="1">
        <v>44692</v>
      </c>
      <c r="B298" t="s">
        <v>10</v>
      </c>
      <c r="C298" t="s">
        <v>11</v>
      </c>
      <c r="D298" t="s">
        <v>19</v>
      </c>
      <c r="E298">
        <v>9</v>
      </c>
      <c r="F298">
        <v>8586</v>
      </c>
      <c r="G298">
        <v>700.37</v>
      </c>
      <c r="H298">
        <v>2022</v>
      </c>
      <c r="I298" t="s">
        <v>20</v>
      </c>
      <c r="J298" s="4">
        <v>8.1571162357325894E-2</v>
      </c>
      <c r="K298" t="s">
        <v>42</v>
      </c>
      <c r="L298" t="s">
        <v>59</v>
      </c>
      <c r="M298">
        <v>5</v>
      </c>
      <c r="N298" t="s">
        <v>20</v>
      </c>
    </row>
    <row r="299" spans="1:14" x14ac:dyDescent="0.3">
      <c r="A299" s="1">
        <v>44766</v>
      </c>
      <c r="B299" t="s">
        <v>10</v>
      </c>
      <c r="C299" t="s">
        <v>11</v>
      </c>
      <c r="D299" t="s">
        <v>22</v>
      </c>
      <c r="E299">
        <v>6</v>
      </c>
      <c r="F299">
        <v>2604</v>
      </c>
      <c r="G299">
        <v>566.34</v>
      </c>
      <c r="H299">
        <v>2022</v>
      </c>
      <c r="I299" t="s">
        <v>25</v>
      </c>
      <c r="J299" s="4">
        <v>0.21748847926267301</v>
      </c>
      <c r="K299" t="s">
        <v>42</v>
      </c>
      <c r="L299" t="s">
        <v>60</v>
      </c>
      <c r="M299">
        <v>7</v>
      </c>
      <c r="N299" t="s">
        <v>64</v>
      </c>
    </row>
    <row r="300" spans="1:14" x14ac:dyDescent="0.3">
      <c r="A300" s="1">
        <v>44676</v>
      </c>
      <c r="B300" t="s">
        <v>10</v>
      </c>
      <c r="C300" t="s">
        <v>11</v>
      </c>
      <c r="D300" t="s">
        <v>19</v>
      </c>
      <c r="E300">
        <v>6</v>
      </c>
      <c r="F300">
        <v>996</v>
      </c>
      <c r="G300">
        <v>225.75</v>
      </c>
      <c r="H300">
        <v>2022</v>
      </c>
      <c r="I300" t="s">
        <v>23</v>
      </c>
      <c r="J300" s="4">
        <v>0.226656626506024</v>
      </c>
      <c r="K300" t="s">
        <v>42</v>
      </c>
      <c r="L300" t="s">
        <v>59</v>
      </c>
      <c r="M300">
        <v>4</v>
      </c>
      <c r="N300" t="s">
        <v>62</v>
      </c>
    </row>
    <row r="301" spans="1:14" x14ac:dyDescent="0.3">
      <c r="A301" s="1">
        <v>44836</v>
      </c>
      <c r="B301" t="s">
        <v>10</v>
      </c>
      <c r="C301" t="s">
        <v>11</v>
      </c>
      <c r="D301" t="s">
        <v>22</v>
      </c>
      <c r="E301">
        <v>9</v>
      </c>
      <c r="F301">
        <v>4698</v>
      </c>
      <c r="G301">
        <v>1262.47</v>
      </c>
      <c r="H301">
        <v>2022</v>
      </c>
      <c r="I301" t="s">
        <v>14</v>
      </c>
      <c r="J301" s="4">
        <v>0.26872498935717298</v>
      </c>
      <c r="K301" t="s">
        <v>42</v>
      </c>
      <c r="L301" t="s">
        <v>52</v>
      </c>
      <c r="M301">
        <v>10</v>
      </c>
      <c r="N301" t="s">
        <v>54</v>
      </c>
    </row>
    <row r="302" spans="1:14" x14ac:dyDescent="0.3">
      <c r="A302" s="1">
        <v>44906</v>
      </c>
      <c r="B302" t="s">
        <v>10</v>
      </c>
      <c r="C302" t="s">
        <v>11</v>
      </c>
      <c r="D302" t="s">
        <v>12</v>
      </c>
      <c r="E302">
        <v>7</v>
      </c>
      <c r="F302">
        <v>5572</v>
      </c>
      <c r="G302">
        <v>690.68</v>
      </c>
      <c r="H302">
        <v>2022</v>
      </c>
      <c r="I302" t="s">
        <v>13</v>
      </c>
      <c r="J302" s="4">
        <v>0.123955491744436</v>
      </c>
      <c r="K302" t="s">
        <v>42</v>
      </c>
      <c r="L302" t="s">
        <v>52</v>
      </c>
      <c r="M302">
        <v>12</v>
      </c>
      <c r="N302" t="s">
        <v>53</v>
      </c>
    </row>
    <row r="303" spans="1:14" x14ac:dyDescent="0.3">
      <c r="A303" s="1">
        <v>44630</v>
      </c>
      <c r="B303" t="s">
        <v>10</v>
      </c>
      <c r="C303" t="s">
        <v>11</v>
      </c>
      <c r="D303" t="s">
        <v>17</v>
      </c>
      <c r="E303">
        <v>7</v>
      </c>
      <c r="F303">
        <v>5439</v>
      </c>
      <c r="G303">
        <v>1416.62</v>
      </c>
      <c r="H303">
        <v>2022</v>
      </c>
      <c r="I303" t="s">
        <v>15</v>
      </c>
      <c r="J303" s="4">
        <v>0.26045596617025202</v>
      </c>
      <c r="K303" t="s">
        <v>42</v>
      </c>
      <c r="L303" t="s">
        <v>55</v>
      </c>
      <c r="M303">
        <v>3</v>
      </c>
      <c r="N303" t="s">
        <v>56</v>
      </c>
    </row>
    <row r="304" spans="1:14" x14ac:dyDescent="0.3">
      <c r="A304" s="1">
        <v>44774</v>
      </c>
      <c r="B304" t="s">
        <v>10</v>
      </c>
      <c r="C304" t="s">
        <v>11</v>
      </c>
      <c r="D304" t="s">
        <v>22</v>
      </c>
      <c r="E304">
        <v>6</v>
      </c>
      <c r="F304">
        <v>828</v>
      </c>
      <c r="G304">
        <v>47.91</v>
      </c>
      <c r="H304">
        <v>2022</v>
      </c>
      <c r="I304" t="s">
        <v>24</v>
      </c>
      <c r="J304" s="4">
        <v>5.7862318840579699E-2</v>
      </c>
      <c r="K304" t="s">
        <v>42</v>
      </c>
      <c r="L304" t="s">
        <v>60</v>
      </c>
      <c r="M304">
        <v>8</v>
      </c>
      <c r="N304" t="s">
        <v>63</v>
      </c>
    </row>
    <row r="305" spans="1:14" x14ac:dyDescent="0.3">
      <c r="A305" s="1">
        <v>44704</v>
      </c>
      <c r="B305" t="s">
        <v>10</v>
      </c>
      <c r="C305" t="s">
        <v>11</v>
      </c>
      <c r="D305" t="s">
        <v>17</v>
      </c>
      <c r="E305">
        <v>3</v>
      </c>
      <c r="F305">
        <v>924</v>
      </c>
      <c r="G305">
        <v>183.18</v>
      </c>
      <c r="H305">
        <v>2022</v>
      </c>
      <c r="I305" t="s">
        <v>20</v>
      </c>
      <c r="J305" s="4">
        <v>0.198246753246753</v>
      </c>
      <c r="K305" t="s">
        <v>42</v>
      </c>
      <c r="L305" t="s">
        <v>59</v>
      </c>
      <c r="M305">
        <v>5</v>
      </c>
      <c r="N305" t="s">
        <v>20</v>
      </c>
    </row>
    <row r="306" spans="1:14" x14ac:dyDescent="0.3">
      <c r="A306" s="1">
        <v>44716</v>
      </c>
      <c r="B306" t="s">
        <v>10</v>
      </c>
      <c r="C306" t="s">
        <v>11</v>
      </c>
      <c r="D306" t="s">
        <v>19</v>
      </c>
      <c r="E306">
        <v>5</v>
      </c>
      <c r="F306">
        <v>4235</v>
      </c>
      <c r="G306">
        <v>747.96</v>
      </c>
      <c r="H306">
        <v>2022</v>
      </c>
      <c r="I306" t="s">
        <v>27</v>
      </c>
      <c r="J306" s="4">
        <v>0.17661393152302199</v>
      </c>
      <c r="K306" t="s">
        <v>42</v>
      </c>
      <c r="L306" t="s">
        <v>59</v>
      </c>
      <c r="M306">
        <v>6</v>
      </c>
      <c r="N306" t="s">
        <v>66</v>
      </c>
    </row>
    <row r="307" spans="1:14" x14ac:dyDescent="0.3">
      <c r="A307" s="1">
        <v>44755</v>
      </c>
      <c r="B307" t="s">
        <v>10</v>
      </c>
      <c r="C307" t="s">
        <v>11</v>
      </c>
      <c r="D307" t="s">
        <v>22</v>
      </c>
      <c r="E307">
        <v>6</v>
      </c>
      <c r="F307">
        <v>4260</v>
      </c>
      <c r="G307">
        <v>504.82</v>
      </c>
      <c r="H307">
        <v>2022</v>
      </c>
      <c r="I307" t="s">
        <v>25</v>
      </c>
      <c r="J307" s="4">
        <v>0.11850234741784001</v>
      </c>
      <c r="K307" t="s">
        <v>42</v>
      </c>
      <c r="L307" t="s">
        <v>60</v>
      </c>
      <c r="M307">
        <v>7</v>
      </c>
      <c r="N307" t="s">
        <v>64</v>
      </c>
    </row>
    <row r="308" spans="1:14" x14ac:dyDescent="0.3">
      <c r="A308" s="1">
        <v>44582</v>
      </c>
      <c r="B308" t="s">
        <v>10</v>
      </c>
      <c r="C308" t="s">
        <v>11</v>
      </c>
      <c r="D308" t="s">
        <v>19</v>
      </c>
      <c r="E308">
        <v>9</v>
      </c>
      <c r="F308">
        <v>8055</v>
      </c>
      <c r="G308">
        <v>2300.17</v>
      </c>
      <c r="H308">
        <v>2022</v>
      </c>
      <c r="I308" t="s">
        <v>26</v>
      </c>
      <c r="J308" s="4">
        <v>0.285558038485413</v>
      </c>
      <c r="K308" t="s">
        <v>42</v>
      </c>
      <c r="L308" t="s">
        <v>55</v>
      </c>
      <c r="M308">
        <v>1</v>
      </c>
      <c r="N308" t="s">
        <v>65</v>
      </c>
    </row>
    <row r="309" spans="1:14" x14ac:dyDescent="0.3">
      <c r="A309" s="1">
        <v>44639</v>
      </c>
      <c r="B309" t="s">
        <v>10</v>
      </c>
      <c r="C309" t="s">
        <v>11</v>
      </c>
      <c r="D309" t="s">
        <v>22</v>
      </c>
      <c r="E309">
        <v>2</v>
      </c>
      <c r="F309">
        <v>840</v>
      </c>
      <c r="G309">
        <v>153.61000000000001</v>
      </c>
      <c r="H309">
        <v>2022</v>
      </c>
      <c r="I309" t="s">
        <v>15</v>
      </c>
      <c r="J309" s="4">
        <v>0.18286904761904799</v>
      </c>
      <c r="K309" t="s">
        <v>42</v>
      </c>
      <c r="L309" t="s">
        <v>55</v>
      </c>
      <c r="M309">
        <v>3</v>
      </c>
      <c r="N309" t="s">
        <v>56</v>
      </c>
    </row>
    <row r="310" spans="1:14" x14ac:dyDescent="0.3">
      <c r="A310" s="1">
        <v>44807</v>
      </c>
      <c r="B310" t="s">
        <v>10</v>
      </c>
      <c r="C310" t="s">
        <v>11</v>
      </c>
      <c r="D310" t="s">
        <v>17</v>
      </c>
      <c r="E310">
        <v>4</v>
      </c>
      <c r="F310">
        <v>4716</v>
      </c>
      <c r="G310">
        <v>1084.1600000000001</v>
      </c>
      <c r="H310">
        <v>2022</v>
      </c>
      <c r="I310" t="s">
        <v>21</v>
      </c>
      <c r="J310" s="4">
        <v>0.22988973706530999</v>
      </c>
      <c r="K310" t="s">
        <v>42</v>
      </c>
      <c r="L310" t="s">
        <v>60</v>
      </c>
      <c r="M310">
        <v>9</v>
      </c>
      <c r="N310" t="s">
        <v>61</v>
      </c>
    </row>
    <row r="311" spans="1:14" x14ac:dyDescent="0.3">
      <c r="A311" s="1">
        <v>44767</v>
      </c>
      <c r="B311" t="s">
        <v>10</v>
      </c>
      <c r="C311" t="s">
        <v>11</v>
      </c>
      <c r="D311" t="s">
        <v>12</v>
      </c>
      <c r="E311">
        <v>6</v>
      </c>
      <c r="F311">
        <v>2706</v>
      </c>
      <c r="G311">
        <v>766.68</v>
      </c>
      <c r="H311">
        <v>2022</v>
      </c>
      <c r="I311" t="s">
        <v>25</v>
      </c>
      <c r="J311" s="4">
        <v>0.28332594235033298</v>
      </c>
      <c r="K311" t="s">
        <v>42</v>
      </c>
      <c r="L311" t="s">
        <v>60</v>
      </c>
      <c r="M311">
        <v>7</v>
      </c>
      <c r="N311" t="s">
        <v>64</v>
      </c>
    </row>
    <row r="312" spans="1:14" x14ac:dyDescent="0.3">
      <c r="A312" s="1">
        <v>44645</v>
      </c>
      <c r="B312" t="s">
        <v>10</v>
      </c>
      <c r="C312" t="s">
        <v>11</v>
      </c>
      <c r="D312" t="s">
        <v>12</v>
      </c>
      <c r="E312">
        <v>9</v>
      </c>
      <c r="F312">
        <v>3699</v>
      </c>
      <c r="G312">
        <v>276.07</v>
      </c>
      <c r="H312">
        <v>2022</v>
      </c>
      <c r="I312" t="s">
        <v>15</v>
      </c>
      <c r="J312" s="4">
        <v>7.4633684779670195E-2</v>
      </c>
      <c r="K312" t="s">
        <v>42</v>
      </c>
      <c r="L312" t="s">
        <v>55</v>
      </c>
      <c r="M312">
        <v>3</v>
      </c>
      <c r="N312" t="s">
        <v>56</v>
      </c>
    </row>
    <row r="313" spans="1:14" x14ac:dyDescent="0.3">
      <c r="A313" s="1">
        <v>44605</v>
      </c>
      <c r="B313" t="s">
        <v>10</v>
      </c>
      <c r="C313" t="s">
        <v>11</v>
      </c>
      <c r="D313" t="s">
        <v>12</v>
      </c>
      <c r="E313">
        <v>4</v>
      </c>
      <c r="F313">
        <v>1848</v>
      </c>
      <c r="G313">
        <v>374.66</v>
      </c>
      <c r="H313">
        <v>2022</v>
      </c>
      <c r="I313" t="s">
        <v>16</v>
      </c>
      <c r="J313" s="4">
        <v>0.202738095238095</v>
      </c>
      <c r="K313" t="s">
        <v>42</v>
      </c>
      <c r="L313" t="s">
        <v>55</v>
      </c>
      <c r="M313">
        <v>2</v>
      </c>
      <c r="N313" t="s">
        <v>57</v>
      </c>
    </row>
    <row r="314" spans="1:14" x14ac:dyDescent="0.3">
      <c r="A314" s="1">
        <v>44730</v>
      </c>
      <c r="B314" t="s">
        <v>10</v>
      </c>
      <c r="C314" t="s">
        <v>11</v>
      </c>
      <c r="D314" t="s">
        <v>17</v>
      </c>
      <c r="E314">
        <v>5</v>
      </c>
      <c r="F314">
        <v>5305</v>
      </c>
      <c r="G314">
        <v>1389.25</v>
      </c>
      <c r="H314">
        <v>2022</v>
      </c>
      <c r="I314" t="s">
        <v>27</v>
      </c>
      <c r="J314" s="4">
        <v>0.26187558906691799</v>
      </c>
      <c r="K314" t="s">
        <v>42</v>
      </c>
      <c r="L314" t="s">
        <v>59</v>
      </c>
      <c r="M314">
        <v>6</v>
      </c>
      <c r="N314" t="s">
        <v>66</v>
      </c>
    </row>
    <row r="315" spans="1:14" x14ac:dyDescent="0.3">
      <c r="A315" s="1">
        <v>44854</v>
      </c>
      <c r="B315" t="s">
        <v>10</v>
      </c>
      <c r="C315" t="s">
        <v>11</v>
      </c>
      <c r="D315" t="s">
        <v>22</v>
      </c>
      <c r="E315">
        <v>2</v>
      </c>
      <c r="F315">
        <v>1924</v>
      </c>
      <c r="G315">
        <v>422.25</v>
      </c>
      <c r="H315">
        <v>2022</v>
      </c>
      <c r="I315" t="s">
        <v>14</v>
      </c>
      <c r="J315" s="4">
        <v>0.219464656964657</v>
      </c>
      <c r="K315" t="s">
        <v>42</v>
      </c>
      <c r="L315" t="s">
        <v>52</v>
      </c>
      <c r="M315">
        <v>10</v>
      </c>
      <c r="N315" t="s">
        <v>54</v>
      </c>
    </row>
    <row r="316" spans="1:14" x14ac:dyDescent="0.3">
      <c r="A316" s="1">
        <v>44584</v>
      </c>
      <c r="B316" t="s">
        <v>10</v>
      </c>
      <c r="C316" t="s">
        <v>11</v>
      </c>
      <c r="D316" t="s">
        <v>19</v>
      </c>
      <c r="E316">
        <v>7</v>
      </c>
      <c r="F316">
        <v>1169</v>
      </c>
      <c r="G316">
        <v>264.37</v>
      </c>
      <c r="H316">
        <v>2022</v>
      </c>
      <c r="I316" t="s">
        <v>26</v>
      </c>
      <c r="J316" s="4">
        <v>0.22615055603079601</v>
      </c>
      <c r="K316" t="s">
        <v>42</v>
      </c>
      <c r="L316" t="s">
        <v>55</v>
      </c>
      <c r="M316">
        <v>1</v>
      </c>
      <c r="N316" t="s">
        <v>65</v>
      </c>
    </row>
    <row r="317" spans="1:14" x14ac:dyDescent="0.3">
      <c r="A317" s="1">
        <v>44801</v>
      </c>
      <c r="B317" t="s">
        <v>10</v>
      </c>
      <c r="C317" t="s">
        <v>11</v>
      </c>
      <c r="D317" t="s">
        <v>22</v>
      </c>
      <c r="E317">
        <v>6</v>
      </c>
      <c r="F317">
        <v>1218</v>
      </c>
      <c r="G317">
        <v>129.36000000000001</v>
      </c>
      <c r="H317">
        <v>2022</v>
      </c>
      <c r="I317" t="s">
        <v>24</v>
      </c>
      <c r="J317" s="4">
        <v>0.10620689655172399</v>
      </c>
      <c r="K317" t="s">
        <v>42</v>
      </c>
      <c r="L317" t="s">
        <v>60</v>
      </c>
      <c r="M317">
        <v>8</v>
      </c>
      <c r="N317" t="s">
        <v>63</v>
      </c>
    </row>
    <row r="318" spans="1:14" x14ac:dyDescent="0.3">
      <c r="A318" s="1">
        <v>44645</v>
      </c>
      <c r="B318" t="s">
        <v>10</v>
      </c>
      <c r="C318" t="s">
        <v>11</v>
      </c>
      <c r="D318" t="s">
        <v>19</v>
      </c>
      <c r="E318">
        <v>6</v>
      </c>
      <c r="F318">
        <v>5154</v>
      </c>
      <c r="G318">
        <v>1072.8</v>
      </c>
      <c r="H318">
        <v>2022</v>
      </c>
      <c r="I318" t="s">
        <v>15</v>
      </c>
      <c r="J318" s="4">
        <v>0.208149010477299</v>
      </c>
      <c r="K318" t="s">
        <v>42</v>
      </c>
      <c r="L318" t="s">
        <v>55</v>
      </c>
      <c r="M318">
        <v>3</v>
      </c>
      <c r="N318" t="s">
        <v>56</v>
      </c>
    </row>
    <row r="319" spans="1:14" x14ac:dyDescent="0.3">
      <c r="A319" s="1">
        <v>44608</v>
      </c>
      <c r="B319" t="s">
        <v>10</v>
      </c>
      <c r="C319" t="s">
        <v>11</v>
      </c>
      <c r="D319" t="s">
        <v>12</v>
      </c>
      <c r="E319">
        <v>4</v>
      </c>
      <c r="F319">
        <v>3812</v>
      </c>
      <c r="G319">
        <v>312.8</v>
      </c>
      <c r="H319">
        <v>2022</v>
      </c>
      <c r="I319" t="s">
        <v>16</v>
      </c>
      <c r="J319" s="4">
        <v>8.2056663168940197E-2</v>
      </c>
      <c r="K319" t="s">
        <v>42</v>
      </c>
      <c r="L319" t="s">
        <v>55</v>
      </c>
      <c r="M319">
        <v>2</v>
      </c>
      <c r="N319" t="s">
        <v>57</v>
      </c>
    </row>
    <row r="320" spans="1:14" x14ac:dyDescent="0.3">
      <c r="A320" s="1">
        <v>44719</v>
      </c>
      <c r="B320" t="s">
        <v>10</v>
      </c>
      <c r="C320" t="s">
        <v>11</v>
      </c>
      <c r="D320" t="s">
        <v>17</v>
      </c>
      <c r="E320">
        <v>5</v>
      </c>
      <c r="F320">
        <v>4045</v>
      </c>
      <c r="G320">
        <v>203.35</v>
      </c>
      <c r="H320">
        <v>2022</v>
      </c>
      <c r="I320" t="s">
        <v>27</v>
      </c>
      <c r="J320" s="4">
        <v>5.0271940667490703E-2</v>
      </c>
      <c r="K320" t="s">
        <v>42</v>
      </c>
      <c r="L320" t="s">
        <v>59</v>
      </c>
      <c r="M320">
        <v>6</v>
      </c>
      <c r="N320" t="s">
        <v>66</v>
      </c>
    </row>
    <row r="321" spans="1:14" x14ac:dyDescent="0.3">
      <c r="A321" s="1">
        <v>44678</v>
      </c>
      <c r="B321" t="s">
        <v>10</v>
      </c>
      <c r="C321" t="s">
        <v>11</v>
      </c>
      <c r="D321" t="s">
        <v>19</v>
      </c>
      <c r="E321">
        <v>9</v>
      </c>
      <c r="F321">
        <v>2691</v>
      </c>
      <c r="G321">
        <v>761.16</v>
      </c>
      <c r="H321">
        <v>2022</v>
      </c>
      <c r="I321" t="s">
        <v>23</v>
      </c>
      <c r="J321" s="4">
        <v>0.28285395763656601</v>
      </c>
      <c r="K321" t="s">
        <v>42</v>
      </c>
      <c r="L321" t="s">
        <v>59</v>
      </c>
      <c r="M321">
        <v>4</v>
      </c>
      <c r="N321" t="s">
        <v>62</v>
      </c>
    </row>
    <row r="322" spans="1:14" x14ac:dyDescent="0.3">
      <c r="A322" s="1">
        <v>44632</v>
      </c>
      <c r="B322" t="s">
        <v>10</v>
      </c>
      <c r="C322" t="s">
        <v>11</v>
      </c>
      <c r="D322" t="s">
        <v>19</v>
      </c>
      <c r="E322">
        <v>1</v>
      </c>
      <c r="F322">
        <v>706</v>
      </c>
      <c r="G322">
        <v>153.59</v>
      </c>
      <c r="H322">
        <v>2022</v>
      </c>
      <c r="I322" t="s">
        <v>15</v>
      </c>
      <c r="J322" s="4">
        <v>0.21754957507082201</v>
      </c>
      <c r="K322" t="s">
        <v>42</v>
      </c>
      <c r="L322" t="s">
        <v>55</v>
      </c>
      <c r="M322">
        <v>3</v>
      </c>
      <c r="N322" t="s">
        <v>56</v>
      </c>
    </row>
    <row r="323" spans="1:14" x14ac:dyDescent="0.3">
      <c r="A323" s="1">
        <v>44609</v>
      </c>
      <c r="B323" t="s">
        <v>10</v>
      </c>
      <c r="C323" t="s">
        <v>11</v>
      </c>
      <c r="D323" t="s">
        <v>17</v>
      </c>
      <c r="E323">
        <v>2</v>
      </c>
      <c r="F323">
        <v>1312</v>
      </c>
      <c r="G323">
        <v>386.79</v>
      </c>
      <c r="H323">
        <v>2022</v>
      </c>
      <c r="I323" t="s">
        <v>16</v>
      </c>
      <c r="J323" s="4">
        <v>0.29480945121951202</v>
      </c>
      <c r="K323" t="s">
        <v>42</v>
      </c>
      <c r="L323" t="s">
        <v>55</v>
      </c>
      <c r="M323">
        <v>2</v>
      </c>
      <c r="N323" t="s">
        <v>57</v>
      </c>
    </row>
    <row r="324" spans="1:14" x14ac:dyDescent="0.3">
      <c r="A324" s="1">
        <v>44914</v>
      </c>
      <c r="B324" t="s">
        <v>10</v>
      </c>
      <c r="C324" t="s">
        <v>11</v>
      </c>
      <c r="D324" t="s">
        <v>12</v>
      </c>
      <c r="E324">
        <v>7</v>
      </c>
      <c r="F324">
        <v>6937</v>
      </c>
      <c r="G324">
        <v>1753.02</v>
      </c>
      <c r="H324">
        <v>2022</v>
      </c>
      <c r="I324" t="s">
        <v>13</v>
      </c>
      <c r="J324" s="4">
        <v>0.25270578059679999</v>
      </c>
      <c r="K324" t="s">
        <v>42</v>
      </c>
      <c r="L324" t="s">
        <v>52</v>
      </c>
      <c r="M324">
        <v>12</v>
      </c>
      <c r="N324" t="s">
        <v>53</v>
      </c>
    </row>
    <row r="325" spans="1:14" x14ac:dyDescent="0.3">
      <c r="A325" s="1">
        <v>44910</v>
      </c>
      <c r="B325" t="s">
        <v>10</v>
      </c>
      <c r="C325" t="s">
        <v>11</v>
      </c>
      <c r="D325" t="s">
        <v>19</v>
      </c>
      <c r="E325">
        <v>3</v>
      </c>
      <c r="F325">
        <v>447</v>
      </c>
      <c r="G325">
        <v>58.4</v>
      </c>
      <c r="H325">
        <v>2022</v>
      </c>
      <c r="I325" t="s">
        <v>13</v>
      </c>
      <c r="J325" s="4">
        <v>0.13064876957494401</v>
      </c>
      <c r="K325" t="s">
        <v>42</v>
      </c>
      <c r="L325" t="s">
        <v>52</v>
      </c>
      <c r="M325">
        <v>12</v>
      </c>
      <c r="N325" t="s">
        <v>53</v>
      </c>
    </row>
    <row r="326" spans="1:14" x14ac:dyDescent="0.3">
      <c r="A326" s="1">
        <v>44803</v>
      </c>
      <c r="B326" t="s">
        <v>10</v>
      </c>
      <c r="C326" t="s">
        <v>11</v>
      </c>
      <c r="D326" t="s">
        <v>22</v>
      </c>
      <c r="E326">
        <v>4</v>
      </c>
      <c r="F326">
        <v>3840</v>
      </c>
      <c r="G326">
        <v>552.57000000000005</v>
      </c>
      <c r="H326">
        <v>2022</v>
      </c>
      <c r="I326" t="s">
        <v>24</v>
      </c>
      <c r="J326" s="4">
        <v>0.1438984375</v>
      </c>
      <c r="K326" t="s">
        <v>42</v>
      </c>
      <c r="L326" t="s">
        <v>60</v>
      </c>
      <c r="M326">
        <v>8</v>
      </c>
      <c r="N326" t="s">
        <v>63</v>
      </c>
    </row>
    <row r="327" spans="1:14" x14ac:dyDescent="0.3">
      <c r="A327" s="1">
        <v>44740</v>
      </c>
      <c r="B327" t="s">
        <v>10</v>
      </c>
      <c r="C327" t="s">
        <v>11</v>
      </c>
      <c r="D327" t="s">
        <v>17</v>
      </c>
      <c r="E327">
        <v>8</v>
      </c>
      <c r="F327">
        <v>2592</v>
      </c>
      <c r="G327">
        <v>191.66</v>
      </c>
      <c r="H327">
        <v>2022</v>
      </c>
      <c r="I327" t="s">
        <v>27</v>
      </c>
      <c r="J327" s="4">
        <v>7.3942901234567898E-2</v>
      </c>
      <c r="K327" t="s">
        <v>42</v>
      </c>
      <c r="L327" t="s">
        <v>59</v>
      </c>
      <c r="M327">
        <v>6</v>
      </c>
      <c r="N327" t="s">
        <v>66</v>
      </c>
    </row>
    <row r="328" spans="1:14" x14ac:dyDescent="0.3">
      <c r="A328" s="1">
        <v>44848</v>
      </c>
      <c r="B328" t="s">
        <v>10</v>
      </c>
      <c r="C328" t="s">
        <v>11</v>
      </c>
      <c r="D328" t="s">
        <v>17</v>
      </c>
      <c r="E328">
        <v>1</v>
      </c>
      <c r="F328">
        <v>722</v>
      </c>
      <c r="G328">
        <v>49.7</v>
      </c>
      <c r="H328">
        <v>2022</v>
      </c>
      <c r="I328" t="s">
        <v>14</v>
      </c>
      <c r="J328" s="4">
        <v>6.8836565096952906E-2</v>
      </c>
      <c r="K328" t="s">
        <v>42</v>
      </c>
      <c r="L328" t="s">
        <v>52</v>
      </c>
      <c r="M328">
        <v>10</v>
      </c>
      <c r="N328" t="s">
        <v>54</v>
      </c>
    </row>
    <row r="329" spans="1:14" x14ac:dyDescent="0.3">
      <c r="A329" s="1">
        <v>44763</v>
      </c>
      <c r="B329" t="s">
        <v>10</v>
      </c>
      <c r="C329" t="s">
        <v>11</v>
      </c>
      <c r="D329" t="s">
        <v>17</v>
      </c>
      <c r="E329">
        <v>2</v>
      </c>
      <c r="F329">
        <v>644</v>
      </c>
      <c r="G329">
        <v>45.72</v>
      </c>
      <c r="H329">
        <v>2022</v>
      </c>
      <c r="I329" t="s">
        <v>25</v>
      </c>
      <c r="J329" s="4">
        <v>7.0993788819875794E-2</v>
      </c>
      <c r="K329" t="s">
        <v>42</v>
      </c>
      <c r="L329" t="s">
        <v>60</v>
      </c>
      <c r="M329">
        <v>7</v>
      </c>
      <c r="N329" t="s">
        <v>64</v>
      </c>
    </row>
    <row r="330" spans="1:14" x14ac:dyDescent="0.3">
      <c r="A330" s="1">
        <v>44625</v>
      </c>
      <c r="B330" t="s">
        <v>10</v>
      </c>
      <c r="C330" t="s">
        <v>11</v>
      </c>
      <c r="D330" t="s">
        <v>22</v>
      </c>
      <c r="E330">
        <v>1</v>
      </c>
      <c r="F330">
        <v>189</v>
      </c>
      <c r="G330">
        <v>19.02</v>
      </c>
      <c r="H330">
        <v>2022</v>
      </c>
      <c r="I330" t="s">
        <v>15</v>
      </c>
      <c r="J330" s="4">
        <v>0.10063492063492099</v>
      </c>
      <c r="K330" t="s">
        <v>42</v>
      </c>
      <c r="L330" t="s">
        <v>55</v>
      </c>
      <c r="M330">
        <v>3</v>
      </c>
      <c r="N330" t="s">
        <v>56</v>
      </c>
    </row>
    <row r="331" spans="1:14" x14ac:dyDescent="0.3">
      <c r="A331" s="1">
        <v>44686</v>
      </c>
      <c r="B331" t="s">
        <v>10</v>
      </c>
      <c r="C331" t="s">
        <v>11</v>
      </c>
      <c r="D331" t="s">
        <v>22</v>
      </c>
      <c r="E331">
        <v>6</v>
      </c>
      <c r="F331">
        <v>2982</v>
      </c>
      <c r="G331">
        <v>445.01</v>
      </c>
      <c r="H331">
        <v>2022</v>
      </c>
      <c r="I331" t="s">
        <v>20</v>
      </c>
      <c r="J331" s="4">
        <v>0.14923205902079101</v>
      </c>
      <c r="K331" t="s">
        <v>42</v>
      </c>
      <c r="L331" t="s">
        <v>59</v>
      </c>
      <c r="M331">
        <v>5</v>
      </c>
      <c r="N331" t="s">
        <v>20</v>
      </c>
    </row>
    <row r="332" spans="1:14" x14ac:dyDescent="0.3">
      <c r="A332" s="1">
        <v>44792</v>
      </c>
      <c r="B332" t="s">
        <v>10</v>
      </c>
      <c r="C332" t="s">
        <v>11</v>
      </c>
      <c r="D332" t="s">
        <v>22</v>
      </c>
      <c r="E332">
        <v>3</v>
      </c>
      <c r="F332">
        <v>285</v>
      </c>
      <c r="G332">
        <v>38.369999999999997</v>
      </c>
      <c r="H332">
        <v>2022</v>
      </c>
      <c r="I332" t="s">
        <v>24</v>
      </c>
      <c r="J332" s="4">
        <v>0.13463157894736799</v>
      </c>
      <c r="K332" t="s">
        <v>42</v>
      </c>
      <c r="L332" t="s">
        <v>60</v>
      </c>
      <c r="M332">
        <v>8</v>
      </c>
      <c r="N332" t="s">
        <v>63</v>
      </c>
    </row>
    <row r="333" spans="1:14" x14ac:dyDescent="0.3">
      <c r="A333" s="1">
        <v>44756</v>
      </c>
      <c r="B333" t="s">
        <v>10</v>
      </c>
      <c r="C333" t="s">
        <v>11</v>
      </c>
      <c r="D333" t="s">
        <v>17</v>
      </c>
      <c r="E333">
        <v>9</v>
      </c>
      <c r="F333">
        <v>513</v>
      </c>
      <c r="G333">
        <v>151.87</v>
      </c>
      <c r="H333">
        <v>2022</v>
      </c>
      <c r="I333" t="s">
        <v>25</v>
      </c>
      <c r="J333" s="4">
        <v>0.296042884990253</v>
      </c>
      <c r="K333" t="s">
        <v>42</v>
      </c>
      <c r="L333" t="s">
        <v>60</v>
      </c>
      <c r="M333">
        <v>7</v>
      </c>
      <c r="N333" t="s">
        <v>64</v>
      </c>
    </row>
    <row r="334" spans="1:14" x14ac:dyDescent="0.3">
      <c r="A334" s="1">
        <v>44603</v>
      </c>
      <c r="B334" t="s">
        <v>10</v>
      </c>
      <c r="C334" t="s">
        <v>11</v>
      </c>
      <c r="D334" t="s">
        <v>17</v>
      </c>
      <c r="E334">
        <v>4</v>
      </c>
      <c r="F334">
        <v>4648</v>
      </c>
      <c r="G334">
        <v>689.85</v>
      </c>
      <c r="H334">
        <v>2022</v>
      </c>
      <c r="I334" t="s">
        <v>16</v>
      </c>
      <c r="J334" s="4">
        <v>0.14841867469879499</v>
      </c>
      <c r="K334" t="s">
        <v>42</v>
      </c>
      <c r="L334" t="s">
        <v>55</v>
      </c>
      <c r="M334">
        <v>2</v>
      </c>
      <c r="N334" t="s">
        <v>57</v>
      </c>
    </row>
    <row r="335" spans="1:14" x14ac:dyDescent="0.3">
      <c r="A335" s="1">
        <v>44603</v>
      </c>
      <c r="B335" t="s">
        <v>10</v>
      </c>
      <c r="C335" t="s">
        <v>11</v>
      </c>
      <c r="D335" t="s">
        <v>12</v>
      </c>
      <c r="E335">
        <v>3</v>
      </c>
      <c r="F335">
        <v>1038</v>
      </c>
      <c r="G335">
        <v>219.69</v>
      </c>
      <c r="H335">
        <v>2022</v>
      </c>
      <c r="I335" t="s">
        <v>16</v>
      </c>
      <c r="J335" s="4">
        <v>0.211647398843931</v>
      </c>
      <c r="K335" t="s">
        <v>42</v>
      </c>
      <c r="L335" t="s">
        <v>55</v>
      </c>
      <c r="M335">
        <v>2</v>
      </c>
      <c r="N335" t="s">
        <v>57</v>
      </c>
    </row>
    <row r="336" spans="1:14" x14ac:dyDescent="0.3">
      <c r="A336" s="1">
        <v>44839</v>
      </c>
      <c r="B336" t="s">
        <v>10</v>
      </c>
      <c r="C336" t="s">
        <v>11</v>
      </c>
      <c r="D336" t="s">
        <v>17</v>
      </c>
      <c r="E336">
        <v>5</v>
      </c>
      <c r="F336">
        <v>410</v>
      </c>
      <c r="G336">
        <v>40.96</v>
      </c>
      <c r="H336">
        <v>2022</v>
      </c>
      <c r="I336" t="s">
        <v>14</v>
      </c>
      <c r="J336" s="4">
        <v>9.9902439024390194E-2</v>
      </c>
      <c r="K336" t="s">
        <v>42</v>
      </c>
      <c r="L336" t="s">
        <v>52</v>
      </c>
      <c r="M336">
        <v>10</v>
      </c>
      <c r="N336" t="s">
        <v>54</v>
      </c>
    </row>
    <row r="337" spans="1:14" x14ac:dyDescent="0.3">
      <c r="A337" s="1">
        <v>44697</v>
      </c>
      <c r="B337" t="s">
        <v>10</v>
      </c>
      <c r="C337" t="s">
        <v>11</v>
      </c>
      <c r="D337" t="s">
        <v>12</v>
      </c>
      <c r="E337">
        <v>2</v>
      </c>
      <c r="F337">
        <v>1492</v>
      </c>
      <c r="G337">
        <v>276.56</v>
      </c>
      <c r="H337">
        <v>2022</v>
      </c>
      <c r="I337" t="s">
        <v>20</v>
      </c>
      <c r="J337" s="4">
        <v>0.185361930294906</v>
      </c>
      <c r="K337" t="s">
        <v>42</v>
      </c>
      <c r="L337" t="s">
        <v>59</v>
      </c>
      <c r="M337">
        <v>5</v>
      </c>
      <c r="N337" t="s">
        <v>20</v>
      </c>
    </row>
    <row r="338" spans="1:14" x14ac:dyDescent="0.3">
      <c r="A338" s="1">
        <v>44638</v>
      </c>
      <c r="B338" t="s">
        <v>10</v>
      </c>
      <c r="C338" t="s">
        <v>11</v>
      </c>
      <c r="D338" t="s">
        <v>22</v>
      </c>
      <c r="E338">
        <v>9</v>
      </c>
      <c r="F338">
        <v>9810</v>
      </c>
      <c r="G338">
        <v>1666.96</v>
      </c>
      <c r="H338">
        <v>2022</v>
      </c>
      <c r="I338" t="s">
        <v>15</v>
      </c>
      <c r="J338" s="4">
        <v>0.16992456676860301</v>
      </c>
      <c r="K338" t="s">
        <v>42</v>
      </c>
      <c r="L338" t="s">
        <v>55</v>
      </c>
      <c r="M338">
        <v>3</v>
      </c>
      <c r="N338" t="s">
        <v>56</v>
      </c>
    </row>
    <row r="339" spans="1:14" x14ac:dyDescent="0.3">
      <c r="A339" s="1">
        <v>44913</v>
      </c>
      <c r="B339" t="s">
        <v>10</v>
      </c>
      <c r="C339" t="s">
        <v>11</v>
      </c>
      <c r="D339" t="s">
        <v>19</v>
      </c>
      <c r="E339">
        <v>8</v>
      </c>
      <c r="F339">
        <v>7528</v>
      </c>
      <c r="G339">
        <v>1283.07</v>
      </c>
      <c r="H339">
        <v>2022</v>
      </c>
      <c r="I339" t="s">
        <v>13</v>
      </c>
      <c r="J339" s="4">
        <v>0.17043969181721599</v>
      </c>
      <c r="K339" t="s">
        <v>42</v>
      </c>
      <c r="L339" t="s">
        <v>52</v>
      </c>
      <c r="M339">
        <v>12</v>
      </c>
      <c r="N339" t="s">
        <v>53</v>
      </c>
    </row>
    <row r="340" spans="1:14" x14ac:dyDescent="0.3">
      <c r="A340" s="1">
        <v>44790</v>
      </c>
      <c r="B340" t="s">
        <v>10</v>
      </c>
      <c r="C340" t="s">
        <v>11</v>
      </c>
      <c r="D340" t="s">
        <v>17</v>
      </c>
      <c r="E340">
        <v>5</v>
      </c>
      <c r="F340">
        <v>5070</v>
      </c>
      <c r="G340">
        <v>889.97</v>
      </c>
      <c r="H340">
        <v>2022</v>
      </c>
      <c r="I340" t="s">
        <v>24</v>
      </c>
      <c r="J340" s="4">
        <v>0.175536489151874</v>
      </c>
      <c r="K340" t="s">
        <v>42</v>
      </c>
      <c r="L340" t="s">
        <v>60</v>
      </c>
      <c r="M340">
        <v>8</v>
      </c>
      <c r="N340" t="s">
        <v>63</v>
      </c>
    </row>
    <row r="341" spans="1:14" x14ac:dyDescent="0.3">
      <c r="A341" s="1">
        <v>44707</v>
      </c>
      <c r="B341" t="s">
        <v>10</v>
      </c>
      <c r="C341" t="s">
        <v>11</v>
      </c>
      <c r="D341" t="s">
        <v>22</v>
      </c>
      <c r="E341">
        <v>8</v>
      </c>
      <c r="F341">
        <v>8720</v>
      </c>
      <c r="G341">
        <v>1984.11</v>
      </c>
      <c r="H341">
        <v>2022</v>
      </c>
      <c r="I341" t="s">
        <v>20</v>
      </c>
      <c r="J341" s="4">
        <v>0.22753555045871601</v>
      </c>
      <c r="K341" t="s">
        <v>42</v>
      </c>
      <c r="L341" t="s">
        <v>59</v>
      </c>
      <c r="M341">
        <v>5</v>
      </c>
      <c r="N341" t="s">
        <v>20</v>
      </c>
    </row>
    <row r="342" spans="1:14" x14ac:dyDescent="0.3">
      <c r="A342" s="1">
        <v>44802</v>
      </c>
      <c r="B342" t="s">
        <v>10</v>
      </c>
      <c r="C342" t="s">
        <v>11</v>
      </c>
      <c r="D342" t="s">
        <v>17</v>
      </c>
      <c r="E342">
        <v>9</v>
      </c>
      <c r="F342">
        <v>9657</v>
      </c>
      <c r="G342">
        <v>1187.22</v>
      </c>
      <c r="H342">
        <v>2022</v>
      </c>
      <c r="I342" t="s">
        <v>24</v>
      </c>
      <c r="J342" s="4">
        <v>0.122938800869835</v>
      </c>
      <c r="K342" t="s">
        <v>42</v>
      </c>
      <c r="L342" t="s">
        <v>60</v>
      </c>
      <c r="M342">
        <v>8</v>
      </c>
      <c r="N342" t="s">
        <v>63</v>
      </c>
    </row>
    <row r="343" spans="1:14" x14ac:dyDescent="0.3">
      <c r="A343" s="1">
        <v>44836</v>
      </c>
      <c r="B343" t="s">
        <v>10</v>
      </c>
      <c r="C343" t="s">
        <v>11</v>
      </c>
      <c r="D343" t="s">
        <v>22</v>
      </c>
      <c r="E343">
        <v>9</v>
      </c>
      <c r="F343">
        <v>8127</v>
      </c>
      <c r="G343">
        <v>1906.5</v>
      </c>
      <c r="H343">
        <v>2022</v>
      </c>
      <c r="I343" t="s">
        <v>14</v>
      </c>
      <c r="J343" s="4">
        <v>0.234588409007014</v>
      </c>
      <c r="K343" t="s">
        <v>42</v>
      </c>
      <c r="L343" t="s">
        <v>52</v>
      </c>
      <c r="M343">
        <v>10</v>
      </c>
      <c r="N343" t="s">
        <v>54</v>
      </c>
    </row>
    <row r="344" spans="1:14" x14ac:dyDescent="0.3">
      <c r="A344" s="1">
        <v>44820</v>
      </c>
      <c r="B344" t="s">
        <v>10</v>
      </c>
      <c r="C344" t="s">
        <v>11</v>
      </c>
      <c r="D344" t="s">
        <v>22</v>
      </c>
      <c r="E344">
        <v>7</v>
      </c>
      <c r="F344">
        <v>5971</v>
      </c>
      <c r="G344">
        <v>502.14</v>
      </c>
      <c r="H344">
        <v>2022</v>
      </c>
      <c r="I344" t="s">
        <v>21</v>
      </c>
      <c r="J344" s="4">
        <v>8.4096466253558905E-2</v>
      </c>
      <c r="K344" t="s">
        <v>42</v>
      </c>
      <c r="L344" t="s">
        <v>60</v>
      </c>
      <c r="M344">
        <v>9</v>
      </c>
      <c r="N344" t="s">
        <v>61</v>
      </c>
    </row>
    <row r="345" spans="1:14" x14ac:dyDescent="0.3">
      <c r="A345" s="1">
        <v>44794</v>
      </c>
      <c r="B345" t="s">
        <v>10</v>
      </c>
      <c r="C345" t="s">
        <v>11</v>
      </c>
      <c r="D345" t="s">
        <v>17</v>
      </c>
      <c r="E345">
        <v>1</v>
      </c>
      <c r="F345">
        <v>699</v>
      </c>
      <c r="G345">
        <v>108.94</v>
      </c>
      <c r="H345">
        <v>2022</v>
      </c>
      <c r="I345" t="s">
        <v>24</v>
      </c>
      <c r="J345" s="4">
        <v>0.15585121602289001</v>
      </c>
      <c r="K345" t="s">
        <v>42</v>
      </c>
      <c r="L345" t="s">
        <v>60</v>
      </c>
      <c r="M345">
        <v>8</v>
      </c>
      <c r="N345" t="s">
        <v>63</v>
      </c>
    </row>
    <row r="346" spans="1:14" x14ac:dyDescent="0.3">
      <c r="A346" s="1">
        <v>44667</v>
      </c>
      <c r="B346" t="s">
        <v>10</v>
      </c>
      <c r="C346" t="s">
        <v>11</v>
      </c>
      <c r="D346" t="s">
        <v>19</v>
      </c>
      <c r="E346">
        <v>2</v>
      </c>
      <c r="F346">
        <v>1236</v>
      </c>
      <c r="G346">
        <v>120.74</v>
      </c>
      <c r="H346">
        <v>2022</v>
      </c>
      <c r="I346" t="s">
        <v>23</v>
      </c>
      <c r="J346" s="4">
        <v>9.7686084142394797E-2</v>
      </c>
      <c r="K346" t="s">
        <v>42</v>
      </c>
      <c r="L346" t="s">
        <v>59</v>
      </c>
      <c r="M346">
        <v>4</v>
      </c>
      <c r="N346" t="s">
        <v>62</v>
      </c>
    </row>
    <row r="347" spans="1:14" x14ac:dyDescent="0.3">
      <c r="A347" s="1">
        <v>44829</v>
      </c>
      <c r="B347" t="s">
        <v>10</v>
      </c>
      <c r="C347" t="s">
        <v>11</v>
      </c>
      <c r="D347" t="s">
        <v>19</v>
      </c>
      <c r="E347">
        <v>6</v>
      </c>
      <c r="F347">
        <v>6768</v>
      </c>
      <c r="G347">
        <v>1851.01</v>
      </c>
      <c r="H347">
        <v>2022</v>
      </c>
      <c r="I347" t="s">
        <v>21</v>
      </c>
      <c r="J347" s="4">
        <v>0.27349438534279003</v>
      </c>
      <c r="K347" t="s">
        <v>42</v>
      </c>
      <c r="L347" t="s">
        <v>60</v>
      </c>
      <c r="M347">
        <v>9</v>
      </c>
      <c r="N347" t="s">
        <v>61</v>
      </c>
    </row>
    <row r="348" spans="1:14" x14ac:dyDescent="0.3">
      <c r="A348" s="1">
        <v>44694</v>
      </c>
      <c r="B348" t="s">
        <v>10</v>
      </c>
      <c r="C348" t="s">
        <v>11</v>
      </c>
      <c r="D348" t="s">
        <v>17</v>
      </c>
      <c r="E348">
        <v>2</v>
      </c>
      <c r="F348">
        <v>520</v>
      </c>
      <c r="G348">
        <v>61.33</v>
      </c>
      <c r="H348">
        <v>2022</v>
      </c>
      <c r="I348" t="s">
        <v>20</v>
      </c>
      <c r="J348" s="4">
        <v>0.117942307692308</v>
      </c>
      <c r="K348" t="s">
        <v>42</v>
      </c>
      <c r="L348" t="s">
        <v>59</v>
      </c>
      <c r="M348">
        <v>5</v>
      </c>
      <c r="N348" t="s">
        <v>20</v>
      </c>
    </row>
    <row r="349" spans="1:14" x14ac:dyDescent="0.3">
      <c r="A349" s="1">
        <v>44671</v>
      </c>
      <c r="B349" t="s">
        <v>10</v>
      </c>
      <c r="C349" t="s">
        <v>11</v>
      </c>
      <c r="D349" t="s">
        <v>22</v>
      </c>
      <c r="E349">
        <v>5</v>
      </c>
      <c r="F349">
        <v>4280</v>
      </c>
      <c r="G349">
        <v>540.47</v>
      </c>
      <c r="H349">
        <v>2022</v>
      </c>
      <c r="I349" t="s">
        <v>23</v>
      </c>
      <c r="J349" s="4">
        <v>0.126278037383178</v>
      </c>
      <c r="K349" t="s">
        <v>42</v>
      </c>
      <c r="L349" t="s">
        <v>59</v>
      </c>
      <c r="M349">
        <v>4</v>
      </c>
      <c r="N349" t="s">
        <v>62</v>
      </c>
    </row>
    <row r="350" spans="1:14" x14ac:dyDescent="0.3">
      <c r="A350" s="1">
        <v>44770</v>
      </c>
      <c r="B350" t="s">
        <v>10</v>
      </c>
      <c r="C350" t="s">
        <v>11</v>
      </c>
      <c r="D350" t="s">
        <v>19</v>
      </c>
      <c r="E350">
        <v>9</v>
      </c>
      <c r="F350">
        <v>1080</v>
      </c>
      <c r="G350">
        <v>183.42</v>
      </c>
      <c r="H350">
        <v>2022</v>
      </c>
      <c r="I350" t="s">
        <v>25</v>
      </c>
      <c r="J350" s="4">
        <v>0.169833333333333</v>
      </c>
      <c r="K350" t="s">
        <v>42</v>
      </c>
      <c r="L350" t="s">
        <v>60</v>
      </c>
      <c r="M350">
        <v>7</v>
      </c>
      <c r="N350" t="s">
        <v>64</v>
      </c>
    </row>
    <row r="351" spans="1:14" x14ac:dyDescent="0.3">
      <c r="A351" s="1">
        <v>44866</v>
      </c>
      <c r="B351" t="s">
        <v>10</v>
      </c>
      <c r="C351" t="s">
        <v>11</v>
      </c>
      <c r="D351" t="s">
        <v>17</v>
      </c>
      <c r="E351">
        <v>3</v>
      </c>
      <c r="F351">
        <v>2859</v>
      </c>
      <c r="G351">
        <v>404.56</v>
      </c>
      <c r="H351">
        <v>2022</v>
      </c>
      <c r="I351" t="s">
        <v>18</v>
      </c>
      <c r="J351" s="4">
        <v>0.14150402238544901</v>
      </c>
      <c r="K351" t="s">
        <v>42</v>
      </c>
      <c r="L351" t="s">
        <v>52</v>
      </c>
      <c r="M351">
        <v>11</v>
      </c>
      <c r="N351" t="s">
        <v>58</v>
      </c>
    </row>
    <row r="352" spans="1:14" x14ac:dyDescent="0.3">
      <c r="A352" s="1">
        <v>44734</v>
      </c>
      <c r="B352" t="s">
        <v>10</v>
      </c>
      <c r="C352" t="s">
        <v>11</v>
      </c>
      <c r="D352" t="s">
        <v>12</v>
      </c>
      <c r="E352">
        <v>3</v>
      </c>
      <c r="F352">
        <v>1848</v>
      </c>
      <c r="G352">
        <v>549.34</v>
      </c>
      <c r="H352">
        <v>2022</v>
      </c>
      <c r="I352" t="s">
        <v>27</v>
      </c>
      <c r="J352" s="4">
        <v>0.297261904761905</v>
      </c>
      <c r="K352" t="s">
        <v>42</v>
      </c>
      <c r="L352" t="s">
        <v>59</v>
      </c>
      <c r="M352">
        <v>6</v>
      </c>
      <c r="N352" t="s">
        <v>66</v>
      </c>
    </row>
    <row r="353" spans="1:14" x14ac:dyDescent="0.3">
      <c r="A353" s="1">
        <v>44629</v>
      </c>
      <c r="B353" t="s">
        <v>10</v>
      </c>
      <c r="C353" t="s">
        <v>11</v>
      </c>
      <c r="D353" t="s">
        <v>22</v>
      </c>
      <c r="E353">
        <v>3</v>
      </c>
      <c r="F353">
        <v>1377</v>
      </c>
      <c r="G353">
        <v>330.44</v>
      </c>
      <c r="H353">
        <v>2022</v>
      </c>
      <c r="I353" t="s">
        <v>15</v>
      </c>
      <c r="J353" s="4">
        <v>0.23997095134349999</v>
      </c>
      <c r="K353" t="s">
        <v>42</v>
      </c>
      <c r="L353" t="s">
        <v>55</v>
      </c>
      <c r="M353">
        <v>3</v>
      </c>
      <c r="N353" t="s">
        <v>56</v>
      </c>
    </row>
    <row r="354" spans="1:14" x14ac:dyDescent="0.3">
      <c r="A354" s="1">
        <v>44662</v>
      </c>
      <c r="B354" t="s">
        <v>10</v>
      </c>
      <c r="C354" t="s">
        <v>11</v>
      </c>
      <c r="D354" t="s">
        <v>17</v>
      </c>
      <c r="E354">
        <v>5</v>
      </c>
      <c r="F354">
        <v>410</v>
      </c>
      <c r="G354">
        <v>121.77</v>
      </c>
      <c r="H354">
        <v>2022</v>
      </c>
      <c r="I354" t="s">
        <v>23</v>
      </c>
      <c r="J354" s="4">
        <v>0.29699999999999999</v>
      </c>
      <c r="K354" t="s">
        <v>42</v>
      </c>
      <c r="L354" t="s">
        <v>59</v>
      </c>
      <c r="M354">
        <v>4</v>
      </c>
      <c r="N354" t="s">
        <v>62</v>
      </c>
    </row>
    <row r="355" spans="1:14" x14ac:dyDescent="0.3">
      <c r="A355" s="1">
        <v>44643</v>
      </c>
      <c r="B355" t="s">
        <v>10</v>
      </c>
      <c r="C355" t="s">
        <v>11</v>
      </c>
      <c r="D355" t="s">
        <v>12</v>
      </c>
      <c r="E355">
        <v>2</v>
      </c>
      <c r="F355">
        <v>1416</v>
      </c>
      <c r="G355">
        <v>136.75</v>
      </c>
      <c r="H355">
        <v>2022</v>
      </c>
      <c r="I355" t="s">
        <v>15</v>
      </c>
      <c r="J355" s="4">
        <v>9.6574858757062204E-2</v>
      </c>
      <c r="K355" t="s">
        <v>42</v>
      </c>
      <c r="L355" t="s">
        <v>55</v>
      </c>
      <c r="M355">
        <v>3</v>
      </c>
      <c r="N355" t="s">
        <v>56</v>
      </c>
    </row>
    <row r="356" spans="1:14" x14ac:dyDescent="0.3">
      <c r="A356" s="1">
        <v>44789</v>
      </c>
      <c r="B356" t="s">
        <v>10</v>
      </c>
      <c r="C356" t="s">
        <v>11</v>
      </c>
      <c r="D356" t="s">
        <v>12</v>
      </c>
      <c r="E356">
        <v>6</v>
      </c>
      <c r="F356">
        <v>4800</v>
      </c>
      <c r="G356">
        <v>930.44</v>
      </c>
      <c r="H356">
        <v>2022</v>
      </c>
      <c r="I356" t="s">
        <v>24</v>
      </c>
      <c r="J356" s="4">
        <v>0.193841666666667</v>
      </c>
      <c r="K356" t="s">
        <v>42</v>
      </c>
      <c r="L356" t="s">
        <v>60</v>
      </c>
      <c r="M356">
        <v>8</v>
      </c>
      <c r="N356" t="s">
        <v>63</v>
      </c>
    </row>
    <row r="357" spans="1:14" x14ac:dyDescent="0.3">
      <c r="A357" s="1">
        <v>44693</v>
      </c>
      <c r="B357" t="s">
        <v>10</v>
      </c>
      <c r="C357" t="s">
        <v>11</v>
      </c>
      <c r="D357" t="s">
        <v>22</v>
      </c>
      <c r="E357">
        <v>5</v>
      </c>
      <c r="F357">
        <v>4540</v>
      </c>
      <c r="G357">
        <v>939.71</v>
      </c>
      <c r="H357">
        <v>2022</v>
      </c>
      <c r="I357" t="s">
        <v>20</v>
      </c>
      <c r="J357" s="4">
        <v>0.206984581497797</v>
      </c>
      <c r="K357" t="s">
        <v>42</v>
      </c>
      <c r="L357" t="s">
        <v>59</v>
      </c>
      <c r="M357">
        <v>5</v>
      </c>
      <c r="N357" t="s">
        <v>20</v>
      </c>
    </row>
    <row r="358" spans="1:14" x14ac:dyDescent="0.3">
      <c r="A358" s="1">
        <v>44796</v>
      </c>
      <c r="B358" t="s">
        <v>10</v>
      </c>
      <c r="C358" t="s">
        <v>11</v>
      </c>
      <c r="D358" t="s">
        <v>12</v>
      </c>
      <c r="E358">
        <v>9</v>
      </c>
      <c r="F358">
        <v>1557</v>
      </c>
      <c r="G358">
        <v>117.36</v>
      </c>
      <c r="H358">
        <v>2022</v>
      </c>
      <c r="I358" t="s">
        <v>24</v>
      </c>
      <c r="J358" s="4">
        <v>7.5375722543352605E-2</v>
      </c>
      <c r="K358" t="s">
        <v>42</v>
      </c>
      <c r="L358" t="s">
        <v>60</v>
      </c>
      <c r="M358">
        <v>8</v>
      </c>
      <c r="N358" t="s">
        <v>63</v>
      </c>
    </row>
    <row r="359" spans="1:14" x14ac:dyDescent="0.3">
      <c r="A359" s="1">
        <v>44775</v>
      </c>
      <c r="B359" t="s">
        <v>10</v>
      </c>
      <c r="C359" t="s">
        <v>11</v>
      </c>
      <c r="D359" t="s">
        <v>22</v>
      </c>
      <c r="E359">
        <v>1</v>
      </c>
      <c r="F359">
        <v>54</v>
      </c>
      <c r="G359">
        <v>13.29</v>
      </c>
      <c r="H359">
        <v>2022</v>
      </c>
      <c r="I359" t="s">
        <v>24</v>
      </c>
      <c r="J359" s="4">
        <v>0.246111111111111</v>
      </c>
      <c r="K359" t="s">
        <v>42</v>
      </c>
      <c r="L359" t="s">
        <v>60</v>
      </c>
      <c r="M359">
        <v>8</v>
      </c>
      <c r="N359" t="s">
        <v>63</v>
      </c>
    </row>
    <row r="360" spans="1:14" x14ac:dyDescent="0.3">
      <c r="A360" s="1">
        <v>44804</v>
      </c>
      <c r="B360" t="s">
        <v>10</v>
      </c>
      <c r="C360" t="s">
        <v>11</v>
      </c>
      <c r="D360" t="s">
        <v>19</v>
      </c>
      <c r="E360">
        <v>5</v>
      </c>
      <c r="F360">
        <v>3670</v>
      </c>
      <c r="G360">
        <v>924.95</v>
      </c>
      <c r="H360">
        <v>2022</v>
      </c>
      <c r="I360" t="s">
        <v>24</v>
      </c>
      <c r="J360" s="4">
        <v>0.25202997275204397</v>
      </c>
      <c r="K360" t="s">
        <v>42</v>
      </c>
      <c r="L360" t="s">
        <v>60</v>
      </c>
      <c r="M360">
        <v>8</v>
      </c>
      <c r="N360" t="s">
        <v>63</v>
      </c>
    </row>
    <row r="361" spans="1:14" x14ac:dyDescent="0.3">
      <c r="A361" s="1">
        <v>44571</v>
      </c>
      <c r="B361" t="s">
        <v>10</v>
      </c>
      <c r="C361" t="s">
        <v>11</v>
      </c>
      <c r="D361" t="s">
        <v>12</v>
      </c>
      <c r="E361">
        <v>7</v>
      </c>
      <c r="F361">
        <v>6076</v>
      </c>
      <c r="G361">
        <v>788.14</v>
      </c>
      <c r="H361">
        <v>2022</v>
      </c>
      <c r="I361" t="s">
        <v>26</v>
      </c>
      <c r="J361" s="4">
        <v>0.12971362738643799</v>
      </c>
      <c r="K361" t="s">
        <v>42</v>
      </c>
      <c r="L361" t="s">
        <v>55</v>
      </c>
      <c r="M361">
        <v>1</v>
      </c>
      <c r="N361" t="s">
        <v>65</v>
      </c>
    </row>
    <row r="362" spans="1:14" x14ac:dyDescent="0.3">
      <c r="A362" s="1">
        <v>44591</v>
      </c>
      <c r="B362" t="s">
        <v>10</v>
      </c>
      <c r="C362" t="s">
        <v>11</v>
      </c>
      <c r="D362" t="s">
        <v>22</v>
      </c>
      <c r="E362">
        <v>8</v>
      </c>
      <c r="F362">
        <v>5352</v>
      </c>
      <c r="G362">
        <v>1133.57</v>
      </c>
      <c r="H362">
        <v>2022</v>
      </c>
      <c r="I362" t="s">
        <v>26</v>
      </c>
      <c r="J362" s="4">
        <v>0.21180306427503701</v>
      </c>
      <c r="K362" t="s">
        <v>42</v>
      </c>
      <c r="L362" t="s">
        <v>55</v>
      </c>
      <c r="M362">
        <v>1</v>
      </c>
      <c r="N362" t="s">
        <v>65</v>
      </c>
    </row>
    <row r="363" spans="1:14" x14ac:dyDescent="0.3">
      <c r="A363" s="1">
        <v>44681</v>
      </c>
      <c r="B363" t="s">
        <v>10</v>
      </c>
      <c r="C363" t="s">
        <v>11</v>
      </c>
      <c r="D363" t="s">
        <v>12</v>
      </c>
      <c r="E363">
        <v>8</v>
      </c>
      <c r="F363">
        <v>6336</v>
      </c>
      <c r="G363">
        <v>439.42</v>
      </c>
      <c r="H363">
        <v>2022</v>
      </c>
      <c r="I363" t="s">
        <v>23</v>
      </c>
      <c r="J363" s="4">
        <v>6.9352904040404006E-2</v>
      </c>
      <c r="K363" t="s">
        <v>42</v>
      </c>
      <c r="L363" t="s">
        <v>59</v>
      </c>
      <c r="M363">
        <v>4</v>
      </c>
      <c r="N363" t="s">
        <v>62</v>
      </c>
    </row>
    <row r="364" spans="1:14" x14ac:dyDescent="0.3">
      <c r="A364" s="1">
        <v>44771</v>
      </c>
      <c r="B364" t="s">
        <v>10</v>
      </c>
      <c r="C364" t="s">
        <v>11</v>
      </c>
      <c r="D364" t="s">
        <v>12</v>
      </c>
      <c r="E364">
        <v>9</v>
      </c>
      <c r="F364">
        <v>10017</v>
      </c>
      <c r="G364">
        <v>1468.72</v>
      </c>
      <c r="H364">
        <v>2022</v>
      </c>
      <c r="I364" t="s">
        <v>25</v>
      </c>
      <c r="J364" s="4">
        <v>0.146622741339722</v>
      </c>
      <c r="K364" t="s">
        <v>42</v>
      </c>
      <c r="L364" t="s">
        <v>60</v>
      </c>
      <c r="M364">
        <v>7</v>
      </c>
      <c r="N364" t="s">
        <v>64</v>
      </c>
    </row>
    <row r="365" spans="1:14" x14ac:dyDescent="0.3">
      <c r="A365" s="1">
        <v>44653</v>
      </c>
      <c r="B365" t="s">
        <v>28</v>
      </c>
      <c r="C365" t="s">
        <v>11</v>
      </c>
      <c r="D365" t="s">
        <v>19</v>
      </c>
      <c r="E365">
        <v>9</v>
      </c>
      <c r="F365">
        <v>5526</v>
      </c>
      <c r="G365">
        <v>595.28</v>
      </c>
      <c r="H365">
        <v>2022</v>
      </c>
      <c r="I365" t="s">
        <v>23</v>
      </c>
      <c r="J365" s="4">
        <v>0.107723488961274</v>
      </c>
      <c r="K365" t="s">
        <v>42</v>
      </c>
      <c r="L365" t="s">
        <v>59</v>
      </c>
      <c r="M365">
        <v>4</v>
      </c>
      <c r="N365" t="s">
        <v>62</v>
      </c>
    </row>
    <row r="366" spans="1:14" x14ac:dyDescent="0.3">
      <c r="A366" s="1">
        <v>44831</v>
      </c>
      <c r="B366" t="s">
        <v>28</v>
      </c>
      <c r="C366" t="s">
        <v>11</v>
      </c>
      <c r="D366" t="s">
        <v>19</v>
      </c>
      <c r="E366">
        <v>2</v>
      </c>
      <c r="F366">
        <v>502</v>
      </c>
      <c r="G366">
        <v>137.4</v>
      </c>
      <c r="H366">
        <v>2022</v>
      </c>
      <c r="I366" t="s">
        <v>21</v>
      </c>
      <c r="J366" s="4">
        <v>0.27370517928286903</v>
      </c>
      <c r="K366" t="s">
        <v>42</v>
      </c>
      <c r="L366" t="s">
        <v>60</v>
      </c>
      <c r="M366">
        <v>9</v>
      </c>
      <c r="N366" t="s">
        <v>61</v>
      </c>
    </row>
    <row r="367" spans="1:14" x14ac:dyDescent="0.3">
      <c r="A367" s="1">
        <v>44882</v>
      </c>
      <c r="B367" t="s">
        <v>28</v>
      </c>
      <c r="C367" t="s">
        <v>11</v>
      </c>
      <c r="D367" t="s">
        <v>12</v>
      </c>
      <c r="E367">
        <v>7</v>
      </c>
      <c r="F367">
        <v>595</v>
      </c>
      <c r="G367">
        <v>148.5</v>
      </c>
      <c r="H367">
        <v>2022</v>
      </c>
      <c r="I367" t="s">
        <v>18</v>
      </c>
      <c r="J367" s="4">
        <v>0.249579831932773</v>
      </c>
      <c r="K367" t="s">
        <v>42</v>
      </c>
      <c r="L367" t="s">
        <v>52</v>
      </c>
      <c r="M367">
        <v>11</v>
      </c>
      <c r="N367" t="s">
        <v>58</v>
      </c>
    </row>
    <row r="368" spans="1:14" x14ac:dyDescent="0.3">
      <c r="A368" s="1">
        <v>44584</v>
      </c>
      <c r="B368" t="s">
        <v>28</v>
      </c>
      <c r="C368" t="s">
        <v>11</v>
      </c>
      <c r="D368" t="s">
        <v>19</v>
      </c>
      <c r="E368">
        <v>8</v>
      </c>
      <c r="F368">
        <v>4792</v>
      </c>
      <c r="G368">
        <v>511.97</v>
      </c>
      <c r="H368">
        <v>2022</v>
      </c>
      <c r="I368" t="s">
        <v>26</v>
      </c>
      <c r="J368" s="4">
        <v>0.106838480801336</v>
      </c>
      <c r="K368" t="s">
        <v>42</v>
      </c>
      <c r="L368" t="s">
        <v>55</v>
      </c>
      <c r="M368">
        <v>1</v>
      </c>
      <c r="N368" t="s">
        <v>65</v>
      </c>
    </row>
    <row r="369" spans="1:14" x14ac:dyDescent="0.3">
      <c r="A369" s="1">
        <v>44689</v>
      </c>
      <c r="B369" t="s">
        <v>28</v>
      </c>
      <c r="C369" t="s">
        <v>11</v>
      </c>
      <c r="D369" t="s">
        <v>17</v>
      </c>
      <c r="E369">
        <v>2</v>
      </c>
      <c r="F369">
        <v>1708</v>
      </c>
      <c r="G369">
        <v>93.25</v>
      </c>
      <c r="H369">
        <v>2022</v>
      </c>
      <c r="I369" t="s">
        <v>20</v>
      </c>
      <c r="J369" s="4">
        <v>5.4596018735363003E-2</v>
      </c>
      <c r="K369" t="s">
        <v>42</v>
      </c>
      <c r="L369" t="s">
        <v>59</v>
      </c>
      <c r="M369">
        <v>5</v>
      </c>
      <c r="N369" t="s">
        <v>20</v>
      </c>
    </row>
    <row r="370" spans="1:14" x14ac:dyDescent="0.3">
      <c r="A370" s="1">
        <v>44698</v>
      </c>
      <c r="B370" t="s">
        <v>28</v>
      </c>
      <c r="C370" t="s">
        <v>11</v>
      </c>
      <c r="D370" t="s">
        <v>19</v>
      </c>
      <c r="E370">
        <v>7</v>
      </c>
      <c r="F370">
        <v>2688</v>
      </c>
      <c r="G370">
        <v>603.07000000000005</v>
      </c>
      <c r="H370">
        <v>2022</v>
      </c>
      <c r="I370" t="s">
        <v>20</v>
      </c>
      <c r="J370" s="4">
        <v>0.22435639880952399</v>
      </c>
      <c r="K370" t="s">
        <v>42</v>
      </c>
      <c r="L370" t="s">
        <v>59</v>
      </c>
      <c r="M370">
        <v>5</v>
      </c>
      <c r="N370" t="s">
        <v>20</v>
      </c>
    </row>
    <row r="371" spans="1:14" x14ac:dyDescent="0.3">
      <c r="A371" s="1">
        <v>44774</v>
      </c>
      <c r="B371" t="s">
        <v>28</v>
      </c>
      <c r="C371" t="s">
        <v>11</v>
      </c>
      <c r="D371" t="s">
        <v>22</v>
      </c>
      <c r="E371">
        <v>8</v>
      </c>
      <c r="F371">
        <v>7600</v>
      </c>
      <c r="G371">
        <v>788.88</v>
      </c>
      <c r="H371">
        <v>2022</v>
      </c>
      <c r="I371" t="s">
        <v>24</v>
      </c>
      <c r="J371" s="4">
        <v>0.1038</v>
      </c>
      <c r="K371" t="s">
        <v>42</v>
      </c>
      <c r="L371" t="s">
        <v>60</v>
      </c>
      <c r="M371">
        <v>8</v>
      </c>
      <c r="N371" t="s">
        <v>63</v>
      </c>
    </row>
    <row r="372" spans="1:14" x14ac:dyDescent="0.3">
      <c r="A372" s="1">
        <v>44710</v>
      </c>
      <c r="B372" t="s">
        <v>28</v>
      </c>
      <c r="C372" t="s">
        <v>11</v>
      </c>
      <c r="D372" t="s">
        <v>12</v>
      </c>
      <c r="E372">
        <v>7</v>
      </c>
      <c r="F372">
        <v>1673</v>
      </c>
      <c r="G372">
        <v>458.32</v>
      </c>
      <c r="H372">
        <v>2022</v>
      </c>
      <c r="I372" t="s">
        <v>20</v>
      </c>
      <c r="J372" s="4">
        <v>0.27395098625224101</v>
      </c>
      <c r="K372" t="s">
        <v>42</v>
      </c>
      <c r="L372" t="s">
        <v>59</v>
      </c>
      <c r="M372">
        <v>5</v>
      </c>
      <c r="N372" t="s">
        <v>20</v>
      </c>
    </row>
    <row r="373" spans="1:14" x14ac:dyDescent="0.3">
      <c r="A373" s="1">
        <v>44815</v>
      </c>
      <c r="B373" t="s">
        <v>28</v>
      </c>
      <c r="C373" t="s">
        <v>11</v>
      </c>
      <c r="D373" t="s">
        <v>22</v>
      </c>
      <c r="E373">
        <v>2</v>
      </c>
      <c r="F373">
        <v>2044</v>
      </c>
      <c r="G373">
        <v>460.03</v>
      </c>
      <c r="H373">
        <v>2022</v>
      </c>
      <c r="I373" t="s">
        <v>21</v>
      </c>
      <c r="J373" s="4">
        <v>0.22506360078277901</v>
      </c>
      <c r="K373" t="s">
        <v>42</v>
      </c>
      <c r="L373" t="s">
        <v>60</v>
      </c>
      <c r="M373">
        <v>9</v>
      </c>
      <c r="N373" t="s">
        <v>61</v>
      </c>
    </row>
    <row r="374" spans="1:14" x14ac:dyDescent="0.3">
      <c r="A374" s="1">
        <v>44610</v>
      </c>
      <c r="B374" t="s">
        <v>28</v>
      </c>
      <c r="C374" t="s">
        <v>11</v>
      </c>
      <c r="D374" t="s">
        <v>17</v>
      </c>
      <c r="E374">
        <v>3</v>
      </c>
      <c r="F374">
        <v>1890</v>
      </c>
      <c r="G374">
        <v>492.31</v>
      </c>
      <c r="H374">
        <v>2022</v>
      </c>
      <c r="I374" t="s">
        <v>16</v>
      </c>
      <c r="J374" s="4">
        <v>0.26048148148148098</v>
      </c>
      <c r="K374" t="s">
        <v>42</v>
      </c>
      <c r="L374" t="s">
        <v>55</v>
      </c>
      <c r="M374">
        <v>2</v>
      </c>
      <c r="N374" t="s">
        <v>57</v>
      </c>
    </row>
    <row r="375" spans="1:14" x14ac:dyDescent="0.3">
      <c r="A375" s="1">
        <v>44831</v>
      </c>
      <c r="B375" t="s">
        <v>28</v>
      </c>
      <c r="C375" t="s">
        <v>11</v>
      </c>
      <c r="D375" t="s">
        <v>12</v>
      </c>
      <c r="E375">
        <v>6</v>
      </c>
      <c r="F375">
        <v>5712</v>
      </c>
      <c r="G375">
        <v>638.29</v>
      </c>
      <c r="H375">
        <v>2022</v>
      </c>
      <c r="I375" t="s">
        <v>21</v>
      </c>
      <c r="J375" s="4">
        <v>0.111745448179272</v>
      </c>
      <c r="K375" t="s">
        <v>42</v>
      </c>
      <c r="L375" t="s">
        <v>60</v>
      </c>
      <c r="M375">
        <v>9</v>
      </c>
      <c r="N375" t="s">
        <v>61</v>
      </c>
    </row>
    <row r="376" spans="1:14" x14ac:dyDescent="0.3">
      <c r="A376" s="1">
        <v>44725</v>
      </c>
      <c r="B376" t="s">
        <v>28</v>
      </c>
      <c r="C376" t="s">
        <v>11</v>
      </c>
      <c r="D376" t="s">
        <v>17</v>
      </c>
      <c r="E376">
        <v>8</v>
      </c>
      <c r="F376">
        <v>4456</v>
      </c>
      <c r="G376">
        <v>1106.04</v>
      </c>
      <c r="H376">
        <v>2022</v>
      </c>
      <c r="I376" t="s">
        <v>27</v>
      </c>
      <c r="J376" s="4">
        <v>0.248213644524237</v>
      </c>
      <c r="K376" t="s">
        <v>42</v>
      </c>
      <c r="L376" t="s">
        <v>59</v>
      </c>
      <c r="M376">
        <v>6</v>
      </c>
      <c r="N376" t="s">
        <v>66</v>
      </c>
    </row>
    <row r="377" spans="1:14" x14ac:dyDescent="0.3">
      <c r="A377" s="1">
        <v>44751</v>
      </c>
      <c r="B377" t="s">
        <v>28</v>
      </c>
      <c r="C377" t="s">
        <v>11</v>
      </c>
      <c r="D377" t="s">
        <v>17</v>
      </c>
      <c r="E377">
        <v>5</v>
      </c>
      <c r="F377">
        <v>1025</v>
      </c>
      <c r="G377">
        <v>262.91000000000003</v>
      </c>
      <c r="H377">
        <v>2022</v>
      </c>
      <c r="I377" t="s">
        <v>25</v>
      </c>
      <c r="J377" s="4">
        <v>0.25649756097561</v>
      </c>
      <c r="K377" t="s">
        <v>42</v>
      </c>
      <c r="L377" t="s">
        <v>60</v>
      </c>
      <c r="M377">
        <v>7</v>
      </c>
      <c r="N377" t="s">
        <v>64</v>
      </c>
    </row>
    <row r="378" spans="1:14" x14ac:dyDescent="0.3">
      <c r="A378" s="1">
        <v>44834</v>
      </c>
      <c r="B378" t="s">
        <v>28</v>
      </c>
      <c r="C378" t="s">
        <v>11</v>
      </c>
      <c r="D378" t="s">
        <v>17</v>
      </c>
      <c r="E378">
        <v>9</v>
      </c>
      <c r="F378">
        <v>2952</v>
      </c>
      <c r="G378">
        <v>605.85</v>
      </c>
      <c r="H378">
        <v>2022</v>
      </c>
      <c r="I378" t="s">
        <v>21</v>
      </c>
      <c r="J378" s="4">
        <v>0.20523373983739801</v>
      </c>
      <c r="K378" t="s">
        <v>42</v>
      </c>
      <c r="L378" t="s">
        <v>60</v>
      </c>
      <c r="M378">
        <v>9</v>
      </c>
      <c r="N378" t="s">
        <v>61</v>
      </c>
    </row>
    <row r="379" spans="1:14" x14ac:dyDescent="0.3">
      <c r="A379" s="1">
        <v>44823</v>
      </c>
      <c r="B379" t="s">
        <v>28</v>
      </c>
      <c r="C379" t="s">
        <v>11</v>
      </c>
      <c r="D379" t="s">
        <v>19</v>
      </c>
      <c r="E379">
        <v>6</v>
      </c>
      <c r="F379">
        <v>2472</v>
      </c>
      <c r="G379">
        <v>363.38</v>
      </c>
      <c r="H379">
        <v>2022</v>
      </c>
      <c r="I379" t="s">
        <v>21</v>
      </c>
      <c r="J379" s="4">
        <v>0.14699838187702299</v>
      </c>
      <c r="K379" t="s">
        <v>42</v>
      </c>
      <c r="L379" t="s">
        <v>60</v>
      </c>
      <c r="M379">
        <v>9</v>
      </c>
      <c r="N379" t="s">
        <v>61</v>
      </c>
    </row>
    <row r="380" spans="1:14" x14ac:dyDescent="0.3">
      <c r="A380" s="1">
        <v>44856</v>
      </c>
      <c r="B380" t="s">
        <v>28</v>
      </c>
      <c r="C380" t="s">
        <v>11</v>
      </c>
      <c r="D380" t="s">
        <v>19</v>
      </c>
      <c r="E380">
        <v>8</v>
      </c>
      <c r="F380">
        <v>1280</v>
      </c>
      <c r="G380">
        <v>131.56</v>
      </c>
      <c r="H380">
        <v>2022</v>
      </c>
      <c r="I380" t="s">
        <v>14</v>
      </c>
      <c r="J380" s="4">
        <v>0.10278125</v>
      </c>
      <c r="K380" t="s">
        <v>42</v>
      </c>
      <c r="L380" t="s">
        <v>52</v>
      </c>
      <c r="M380">
        <v>10</v>
      </c>
      <c r="N380" t="s">
        <v>54</v>
      </c>
    </row>
    <row r="381" spans="1:14" x14ac:dyDescent="0.3">
      <c r="A381" s="1">
        <v>44578</v>
      </c>
      <c r="B381" t="s">
        <v>28</v>
      </c>
      <c r="C381" t="s">
        <v>11</v>
      </c>
      <c r="D381" t="s">
        <v>12</v>
      </c>
      <c r="E381">
        <v>3</v>
      </c>
      <c r="F381">
        <v>1308</v>
      </c>
      <c r="G381">
        <v>197.6</v>
      </c>
      <c r="H381">
        <v>2022</v>
      </c>
      <c r="I381" t="s">
        <v>26</v>
      </c>
      <c r="J381" s="4">
        <v>0.15107033639143699</v>
      </c>
      <c r="K381" t="s">
        <v>42</v>
      </c>
      <c r="L381" t="s">
        <v>55</v>
      </c>
      <c r="M381">
        <v>1</v>
      </c>
      <c r="N381" t="s">
        <v>65</v>
      </c>
    </row>
    <row r="382" spans="1:14" x14ac:dyDescent="0.3">
      <c r="A382" s="1">
        <v>44828</v>
      </c>
      <c r="B382" t="s">
        <v>28</v>
      </c>
      <c r="C382" t="s">
        <v>11</v>
      </c>
      <c r="D382" t="s">
        <v>17</v>
      </c>
      <c r="E382">
        <v>9</v>
      </c>
      <c r="F382">
        <v>5004</v>
      </c>
      <c r="G382">
        <v>973.65</v>
      </c>
      <c r="H382">
        <v>2022</v>
      </c>
      <c r="I382" t="s">
        <v>21</v>
      </c>
      <c r="J382" s="4">
        <v>0.19457434052757799</v>
      </c>
      <c r="K382" t="s">
        <v>42</v>
      </c>
      <c r="L382" t="s">
        <v>60</v>
      </c>
      <c r="M382">
        <v>9</v>
      </c>
      <c r="N382" t="s">
        <v>61</v>
      </c>
    </row>
    <row r="383" spans="1:14" x14ac:dyDescent="0.3">
      <c r="A383" s="1">
        <v>44601</v>
      </c>
      <c r="B383" t="s">
        <v>28</v>
      </c>
      <c r="C383" t="s">
        <v>11</v>
      </c>
      <c r="D383" t="s">
        <v>19</v>
      </c>
      <c r="E383">
        <v>3</v>
      </c>
      <c r="F383">
        <v>1410</v>
      </c>
      <c r="G383">
        <v>232.65</v>
      </c>
      <c r="H383">
        <v>2022</v>
      </c>
      <c r="I383" t="s">
        <v>16</v>
      </c>
      <c r="J383" s="4">
        <v>0.16500000000000001</v>
      </c>
      <c r="K383" t="s">
        <v>42</v>
      </c>
      <c r="L383" t="s">
        <v>55</v>
      </c>
      <c r="M383">
        <v>2</v>
      </c>
      <c r="N383" t="s">
        <v>57</v>
      </c>
    </row>
    <row r="384" spans="1:14" x14ac:dyDescent="0.3">
      <c r="A384" s="1">
        <v>44600</v>
      </c>
      <c r="B384" t="s">
        <v>28</v>
      </c>
      <c r="C384" t="s">
        <v>11</v>
      </c>
      <c r="D384" t="s">
        <v>17</v>
      </c>
      <c r="E384">
        <v>2</v>
      </c>
      <c r="F384">
        <v>522</v>
      </c>
      <c r="G384">
        <v>52.73</v>
      </c>
      <c r="H384">
        <v>2022</v>
      </c>
      <c r="I384" t="s">
        <v>16</v>
      </c>
      <c r="J384" s="4">
        <v>0.10101532567049799</v>
      </c>
      <c r="K384" t="s">
        <v>42</v>
      </c>
      <c r="L384" t="s">
        <v>55</v>
      </c>
      <c r="M384">
        <v>2</v>
      </c>
      <c r="N384" t="s">
        <v>57</v>
      </c>
    </row>
    <row r="385" spans="1:14" x14ac:dyDescent="0.3">
      <c r="A385" s="1">
        <v>44653</v>
      </c>
      <c r="B385" t="s">
        <v>28</v>
      </c>
      <c r="C385" t="s">
        <v>11</v>
      </c>
      <c r="D385" t="s">
        <v>22</v>
      </c>
      <c r="E385">
        <v>6</v>
      </c>
      <c r="F385">
        <v>4374</v>
      </c>
      <c r="G385">
        <v>702.62</v>
      </c>
      <c r="H385">
        <v>2022</v>
      </c>
      <c r="I385" t="s">
        <v>23</v>
      </c>
      <c r="J385" s="4">
        <v>0.16063557384544999</v>
      </c>
      <c r="K385" t="s">
        <v>42</v>
      </c>
      <c r="L385" t="s">
        <v>59</v>
      </c>
      <c r="M385">
        <v>4</v>
      </c>
      <c r="N385" t="s">
        <v>62</v>
      </c>
    </row>
    <row r="386" spans="1:14" x14ac:dyDescent="0.3">
      <c r="A386" s="1">
        <v>44605</v>
      </c>
      <c r="B386" t="s">
        <v>28</v>
      </c>
      <c r="C386" t="s">
        <v>11</v>
      </c>
      <c r="D386" t="s">
        <v>17</v>
      </c>
      <c r="E386">
        <v>4</v>
      </c>
      <c r="F386">
        <v>2136</v>
      </c>
      <c r="G386">
        <v>217.47</v>
      </c>
      <c r="H386">
        <v>2022</v>
      </c>
      <c r="I386" t="s">
        <v>16</v>
      </c>
      <c r="J386" s="4">
        <v>0.10181179775280901</v>
      </c>
      <c r="K386" t="s">
        <v>42</v>
      </c>
      <c r="L386" t="s">
        <v>55</v>
      </c>
      <c r="M386">
        <v>2</v>
      </c>
      <c r="N386" t="s">
        <v>57</v>
      </c>
    </row>
    <row r="387" spans="1:14" x14ac:dyDescent="0.3">
      <c r="A387" s="1">
        <v>44828</v>
      </c>
      <c r="B387" t="s">
        <v>28</v>
      </c>
      <c r="C387" t="s">
        <v>11</v>
      </c>
      <c r="D387" t="s">
        <v>22</v>
      </c>
      <c r="E387">
        <v>5</v>
      </c>
      <c r="F387">
        <v>4935</v>
      </c>
      <c r="G387">
        <v>625.39</v>
      </c>
      <c r="H387">
        <v>2022</v>
      </c>
      <c r="I387" t="s">
        <v>21</v>
      </c>
      <c r="J387" s="4">
        <v>0.126725430597771</v>
      </c>
      <c r="K387" t="s">
        <v>42</v>
      </c>
      <c r="L387" t="s">
        <v>60</v>
      </c>
      <c r="M387">
        <v>9</v>
      </c>
      <c r="N387" t="s">
        <v>61</v>
      </c>
    </row>
    <row r="388" spans="1:14" x14ac:dyDescent="0.3">
      <c r="A388" s="1">
        <v>44912</v>
      </c>
      <c r="B388" t="s">
        <v>28</v>
      </c>
      <c r="C388" t="s">
        <v>11</v>
      </c>
      <c r="D388" t="s">
        <v>19</v>
      </c>
      <c r="E388">
        <v>3</v>
      </c>
      <c r="F388">
        <v>1242</v>
      </c>
      <c r="G388">
        <v>206.74</v>
      </c>
      <c r="H388">
        <v>2022</v>
      </c>
      <c r="I388" t="s">
        <v>13</v>
      </c>
      <c r="J388" s="4">
        <v>0.16645732689211001</v>
      </c>
      <c r="K388" t="s">
        <v>42</v>
      </c>
      <c r="L388" t="s">
        <v>52</v>
      </c>
      <c r="M388">
        <v>12</v>
      </c>
      <c r="N388" t="s">
        <v>53</v>
      </c>
    </row>
    <row r="389" spans="1:14" x14ac:dyDescent="0.3">
      <c r="A389" s="1">
        <v>44699</v>
      </c>
      <c r="B389" t="s">
        <v>28</v>
      </c>
      <c r="C389" t="s">
        <v>11</v>
      </c>
      <c r="D389" t="s">
        <v>19</v>
      </c>
      <c r="E389">
        <v>3</v>
      </c>
      <c r="F389">
        <v>1692</v>
      </c>
      <c r="G389">
        <v>348.81</v>
      </c>
      <c r="H389">
        <v>2022</v>
      </c>
      <c r="I389" t="s">
        <v>20</v>
      </c>
      <c r="J389" s="4">
        <v>0.206152482269504</v>
      </c>
      <c r="K389" t="s">
        <v>42</v>
      </c>
      <c r="L389" t="s">
        <v>59</v>
      </c>
      <c r="M389">
        <v>5</v>
      </c>
      <c r="N389" t="s">
        <v>20</v>
      </c>
    </row>
    <row r="390" spans="1:14" x14ac:dyDescent="0.3">
      <c r="A390" s="1">
        <v>44754</v>
      </c>
      <c r="B390" t="s">
        <v>28</v>
      </c>
      <c r="C390" t="s">
        <v>11</v>
      </c>
      <c r="D390" t="s">
        <v>19</v>
      </c>
      <c r="E390">
        <v>6</v>
      </c>
      <c r="F390">
        <v>5292</v>
      </c>
      <c r="G390">
        <v>1105.95</v>
      </c>
      <c r="H390">
        <v>2022</v>
      </c>
      <c r="I390" t="s">
        <v>25</v>
      </c>
      <c r="J390" s="4">
        <v>0.20898526077097501</v>
      </c>
      <c r="K390" t="s">
        <v>42</v>
      </c>
      <c r="L390" t="s">
        <v>60</v>
      </c>
      <c r="M390">
        <v>7</v>
      </c>
      <c r="N390" t="s">
        <v>64</v>
      </c>
    </row>
    <row r="391" spans="1:14" x14ac:dyDescent="0.3">
      <c r="A391" s="1">
        <v>44786</v>
      </c>
      <c r="B391" t="s">
        <v>28</v>
      </c>
      <c r="C391" t="s">
        <v>11</v>
      </c>
      <c r="D391" t="s">
        <v>22</v>
      </c>
      <c r="E391">
        <v>3</v>
      </c>
      <c r="F391">
        <v>375</v>
      </c>
      <c r="G391">
        <v>80.58</v>
      </c>
      <c r="H391">
        <v>2022</v>
      </c>
      <c r="I391" t="s">
        <v>24</v>
      </c>
      <c r="J391" s="4">
        <v>0.21487999999999999</v>
      </c>
      <c r="K391" t="s">
        <v>42</v>
      </c>
      <c r="L391" t="s">
        <v>60</v>
      </c>
      <c r="M391">
        <v>8</v>
      </c>
      <c r="N391" t="s">
        <v>63</v>
      </c>
    </row>
    <row r="392" spans="1:14" x14ac:dyDescent="0.3">
      <c r="A392" s="1">
        <v>44637</v>
      </c>
      <c r="B392" t="s">
        <v>28</v>
      </c>
      <c r="C392" t="s">
        <v>11</v>
      </c>
      <c r="D392" t="s">
        <v>17</v>
      </c>
      <c r="E392">
        <v>4</v>
      </c>
      <c r="F392">
        <v>3380</v>
      </c>
      <c r="G392">
        <v>211.72</v>
      </c>
      <c r="H392">
        <v>2022</v>
      </c>
      <c r="I392" t="s">
        <v>15</v>
      </c>
      <c r="J392" s="4">
        <v>6.2639053254437901E-2</v>
      </c>
      <c r="K392" t="s">
        <v>42</v>
      </c>
      <c r="L392" t="s">
        <v>55</v>
      </c>
      <c r="M392">
        <v>3</v>
      </c>
      <c r="N392" t="s">
        <v>56</v>
      </c>
    </row>
    <row r="393" spans="1:14" x14ac:dyDescent="0.3">
      <c r="A393" s="1">
        <v>44752</v>
      </c>
      <c r="B393" t="s">
        <v>28</v>
      </c>
      <c r="C393" t="s">
        <v>11</v>
      </c>
      <c r="D393" t="s">
        <v>22</v>
      </c>
      <c r="E393">
        <v>9</v>
      </c>
      <c r="F393">
        <v>9729</v>
      </c>
      <c r="G393">
        <v>2039.41</v>
      </c>
      <c r="H393">
        <v>2022</v>
      </c>
      <c r="I393" t="s">
        <v>25</v>
      </c>
      <c r="J393" s="4">
        <v>0.20962174940898301</v>
      </c>
      <c r="K393" t="s">
        <v>42</v>
      </c>
      <c r="L393" t="s">
        <v>60</v>
      </c>
      <c r="M393">
        <v>7</v>
      </c>
      <c r="N393" t="s">
        <v>64</v>
      </c>
    </row>
    <row r="394" spans="1:14" x14ac:dyDescent="0.3">
      <c r="A394" s="1">
        <v>44632</v>
      </c>
      <c r="B394" t="s">
        <v>28</v>
      </c>
      <c r="C394" t="s">
        <v>11</v>
      </c>
      <c r="D394" t="s">
        <v>12</v>
      </c>
      <c r="E394">
        <v>2</v>
      </c>
      <c r="F394">
        <v>1750</v>
      </c>
      <c r="G394">
        <v>103.99</v>
      </c>
      <c r="H394">
        <v>2022</v>
      </c>
      <c r="I394" t="s">
        <v>15</v>
      </c>
      <c r="J394" s="4">
        <v>5.9422857142857097E-2</v>
      </c>
      <c r="K394" t="s">
        <v>42</v>
      </c>
      <c r="L394" t="s">
        <v>55</v>
      </c>
      <c r="M394">
        <v>3</v>
      </c>
      <c r="N394" t="s">
        <v>56</v>
      </c>
    </row>
    <row r="395" spans="1:14" x14ac:dyDescent="0.3">
      <c r="A395" s="1">
        <v>44593</v>
      </c>
      <c r="B395" t="s">
        <v>28</v>
      </c>
      <c r="C395" t="s">
        <v>11</v>
      </c>
      <c r="D395" t="s">
        <v>19</v>
      </c>
      <c r="E395">
        <v>3</v>
      </c>
      <c r="F395">
        <v>315</v>
      </c>
      <c r="G395">
        <v>61.94</v>
      </c>
      <c r="H395">
        <v>2022</v>
      </c>
      <c r="I395" t="s">
        <v>16</v>
      </c>
      <c r="J395" s="4">
        <v>0.196634920634921</v>
      </c>
      <c r="K395" t="s">
        <v>42</v>
      </c>
      <c r="L395" t="s">
        <v>55</v>
      </c>
      <c r="M395">
        <v>2</v>
      </c>
      <c r="N395" t="s">
        <v>57</v>
      </c>
    </row>
    <row r="396" spans="1:14" x14ac:dyDescent="0.3">
      <c r="A396" s="1">
        <v>44709</v>
      </c>
      <c r="B396" t="s">
        <v>28</v>
      </c>
      <c r="C396" t="s">
        <v>11</v>
      </c>
      <c r="D396" t="s">
        <v>12</v>
      </c>
      <c r="E396">
        <v>8</v>
      </c>
      <c r="F396">
        <v>4288</v>
      </c>
      <c r="G396">
        <v>597.09</v>
      </c>
      <c r="H396">
        <v>2022</v>
      </c>
      <c r="I396" t="s">
        <v>20</v>
      </c>
      <c r="J396" s="4">
        <v>0.13924673507462701</v>
      </c>
      <c r="K396" t="s">
        <v>42</v>
      </c>
      <c r="L396" t="s">
        <v>59</v>
      </c>
      <c r="M396">
        <v>5</v>
      </c>
      <c r="N396" t="s">
        <v>20</v>
      </c>
    </row>
    <row r="397" spans="1:14" x14ac:dyDescent="0.3">
      <c r="A397" s="1">
        <v>44773</v>
      </c>
      <c r="B397" t="s">
        <v>28</v>
      </c>
      <c r="C397" t="s">
        <v>11</v>
      </c>
      <c r="D397" t="s">
        <v>12</v>
      </c>
      <c r="E397">
        <v>5</v>
      </c>
      <c r="F397">
        <v>3945</v>
      </c>
      <c r="G397">
        <v>392.09</v>
      </c>
      <c r="H397">
        <v>2022</v>
      </c>
      <c r="I397" t="s">
        <v>25</v>
      </c>
      <c r="J397" s="4">
        <v>9.9389100126742694E-2</v>
      </c>
      <c r="K397" t="s">
        <v>42</v>
      </c>
      <c r="L397" t="s">
        <v>60</v>
      </c>
      <c r="M397">
        <v>7</v>
      </c>
      <c r="N397" t="s">
        <v>64</v>
      </c>
    </row>
    <row r="398" spans="1:14" x14ac:dyDescent="0.3">
      <c r="A398" s="1">
        <v>44586</v>
      </c>
      <c r="B398" t="s">
        <v>28</v>
      </c>
      <c r="C398" t="s">
        <v>11</v>
      </c>
      <c r="D398" t="s">
        <v>19</v>
      </c>
      <c r="E398">
        <v>9</v>
      </c>
      <c r="F398">
        <v>5337</v>
      </c>
      <c r="G398">
        <v>1575.99</v>
      </c>
      <c r="H398">
        <v>2022</v>
      </c>
      <c r="I398" t="s">
        <v>26</v>
      </c>
      <c r="J398" s="4">
        <v>0.295295109612142</v>
      </c>
      <c r="K398" t="s">
        <v>42</v>
      </c>
      <c r="L398" t="s">
        <v>55</v>
      </c>
      <c r="M398">
        <v>1</v>
      </c>
      <c r="N398" t="s">
        <v>65</v>
      </c>
    </row>
    <row r="399" spans="1:14" x14ac:dyDescent="0.3">
      <c r="A399" s="1">
        <v>44815</v>
      </c>
      <c r="B399" t="s">
        <v>28</v>
      </c>
      <c r="C399" t="s">
        <v>11</v>
      </c>
      <c r="D399" t="s">
        <v>12</v>
      </c>
      <c r="E399">
        <v>8</v>
      </c>
      <c r="F399">
        <v>520</v>
      </c>
      <c r="G399">
        <v>30.58</v>
      </c>
      <c r="H399">
        <v>2022</v>
      </c>
      <c r="I399" t="s">
        <v>21</v>
      </c>
      <c r="J399" s="4">
        <v>5.8807692307692297E-2</v>
      </c>
      <c r="K399" t="s">
        <v>42</v>
      </c>
      <c r="L399" t="s">
        <v>60</v>
      </c>
      <c r="M399">
        <v>9</v>
      </c>
      <c r="N399" t="s">
        <v>61</v>
      </c>
    </row>
    <row r="400" spans="1:14" x14ac:dyDescent="0.3">
      <c r="A400" s="1">
        <v>44632</v>
      </c>
      <c r="B400" t="s">
        <v>28</v>
      </c>
      <c r="C400" t="s">
        <v>11</v>
      </c>
      <c r="D400" t="s">
        <v>12</v>
      </c>
      <c r="E400">
        <v>6</v>
      </c>
      <c r="F400">
        <v>5310</v>
      </c>
      <c r="G400">
        <v>1099.8399999999999</v>
      </c>
      <c r="H400">
        <v>2022</v>
      </c>
      <c r="I400" t="s">
        <v>15</v>
      </c>
      <c r="J400" s="4">
        <v>0.20712617702448199</v>
      </c>
      <c r="K400" t="s">
        <v>42</v>
      </c>
      <c r="L400" t="s">
        <v>55</v>
      </c>
      <c r="M400">
        <v>3</v>
      </c>
      <c r="N400" t="s">
        <v>56</v>
      </c>
    </row>
    <row r="401" spans="1:14" x14ac:dyDescent="0.3">
      <c r="A401" s="1">
        <v>44646</v>
      </c>
      <c r="B401" t="s">
        <v>28</v>
      </c>
      <c r="C401" t="s">
        <v>11</v>
      </c>
      <c r="D401" t="s">
        <v>17</v>
      </c>
      <c r="E401">
        <v>2</v>
      </c>
      <c r="F401">
        <v>2298</v>
      </c>
      <c r="G401">
        <v>343.53</v>
      </c>
      <c r="H401">
        <v>2022</v>
      </c>
      <c r="I401" t="s">
        <v>15</v>
      </c>
      <c r="J401" s="4">
        <v>0.14949086161879899</v>
      </c>
      <c r="K401" t="s">
        <v>42</v>
      </c>
      <c r="L401" t="s">
        <v>55</v>
      </c>
      <c r="M401">
        <v>3</v>
      </c>
      <c r="N401" t="s">
        <v>56</v>
      </c>
    </row>
    <row r="402" spans="1:14" x14ac:dyDescent="0.3">
      <c r="A402" s="1">
        <v>44730</v>
      </c>
      <c r="B402" t="s">
        <v>28</v>
      </c>
      <c r="C402" t="s">
        <v>11</v>
      </c>
      <c r="D402" t="s">
        <v>17</v>
      </c>
      <c r="E402">
        <v>3</v>
      </c>
      <c r="F402">
        <v>2193</v>
      </c>
      <c r="G402">
        <v>521.14</v>
      </c>
      <c r="H402">
        <v>2022</v>
      </c>
      <c r="I402" t="s">
        <v>27</v>
      </c>
      <c r="J402" s="4">
        <v>0.23763793889648899</v>
      </c>
      <c r="K402" t="s">
        <v>42</v>
      </c>
      <c r="L402" t="s">
        <v>59</v>
      </c>
      <c r="M402">
        <v>6</v>
      </c>
      <c r="N402" t="s">
        <v>66</v>
      </c>
    </row>
    <row r="403" spans="1:14" x14ac:dyDescent="0.3">
      <c r="A403" s="1">
        <v>44631</v>
      </c>
      <c r="B403" t="s">
        <v>28</v>
      </c>
      <c r="C403" t="s">
        <v>11</v>
      </c>
      <c r="D403" t="s">
        <v>22</v>
      </c>
      <c r="E403">
        <v>1</v>
      </c>
      <c r="F403">
        <v>495</v>
      </c>
      <c r="G403">
        <v>55.17</v>
      </c>
      <c r="H403">
        <v>2022</v>
      </c>
      <c r="I403" t="s">
        <v>15</v>
      </c>
      <c r="J403" s="4">
        <v>0.111454545454545</v>
      </c>
      <c r="K403" t="s">
        <v>42</v>
      </c>
      <c r="L403" t="s">
        <v>55</v>
      </c>
      <c r="M403">
        <v>3</v>
      </c>
      <c r="N403" t="s">
        <v>56</v>
      </c>
    </row>
    <row r="404" spans="1:14" x14ac:dyDescent="0.3">
      <c r="A404" s="1">
        <v>44625</v>
      </c>
      <c r="B404" t="s">
        <v>28</v>
      </c>
      <c r="C404" t="s">
        <v>11</v>
      </c>
      <c r="D404" t="s">
        <v>19</v>
      </c>
      <c r="E404">
        <v>9</v>
      </c>
      <c r="F404">
        <v>3132</v>
      </c>
      <c r="G404">
        <v>443.27</v>
      </c>
      <c r="H404">
        <v>2022</v>
      </c>
      <c r="I404" t="s">
        <v>15</v>
      </c>
      <c r="J404" s="4">
        <v>0.14152937420178799</v>
      </c>
      <c r="K404" t="s">
        <v>42</v>
      </c>
      <c r="L404" t="s">
        <v>55</v>
      </c>
      <c r="M404">
        <v>3</v>
      </c>
      <c r="N404" t="s">
        <v>56</v>
      </c>
    </row>
    <row r="405" spans="1:14" x14ac:dyDescent="0.3">
      <c r="A405" s="1">
        <v>44882</v>
      </c>
      <c r="B405" t="s">
        <v>28</v>
      </c>
      <c r="C405" t="s">
        <v>11</v>
      </c>
      <c r="D405" t="s">
        <v>22</v>
      </c>
      <c r="E405">
        <v>9</v>
      </c>
      <c r="F405">
        <v>7182</v>
      </c>
      <c r="G405">
        <v>461.61</v>
      </c>
      <c r="H405">
        <v>2022</v>
      </c>
      <c r="I405" t="s">
        <v>18</v>
      </c>
      <c r="J405" s="4">
        <v>6.4273182957393496E-2</v>
      </c>
      <c r="K405" t="s">
        <v>42</v>
      </c>
      <c r="L405" t="s">
        <v>52</v>
      </c>
      <c r="M405">
        <v>11</v>
      </c>
      <c r="N405" t="s">
        <v>58</v>
      </c>
    </row>
    <row r="406" spans="1:14" x14ac:dyDescent="0.3">
      <c r="A406" s="1">
        <v>44875</v>
      </c>
      <c r="B406" t="s">
        <v>28</v>
      </c>
      <c r="C406" t="s">
        <v>11</v>
      </c>
      <c r="D406" t="s">
        <v>12</v>
      </c>
      <c r="E406">
        <v>2</v>
      </c>
      <c r="F406">
        <v>1200</v>
      </c>
      <c r="G406">
        <v>191.43</v>
      </c>
      <c r="H406">
        <v>2022</v>
      </c>
      <c r="I406" t="s">
        <v>18</v>
      </c>
      <c r="J406" s="4">
        <v>0.159525</v>
      </c>
      <c r="K406" t="s">
        <v>42</v>
      </c>
      <c r="L406" t="s">
        <v>52</v>
      </c>
      <c r="M406">
        <v>11</v>
      </c>
      <c r="N406" t="s">
        <v>58</v>
      </c>
    </row>
    <row r="407" spans="1:14" x14ac:dyDescent="0.3">
      <c r="A407" s="1">
        <v>44666</v>
      </c>
      <c r="B407" t="s">
        <v>28</v>
      </c>
      <c r="C407" t="s">
        <v>11</v>
      </c>
      <c r="D407" t="s">
        <v>22</v>
      </c>
      <c r="E407">
        <v>6</v>
      </c>
      <c r="F407">
        <v>6624</v>
      </c>
      <c r="G407">
        <v>1136.0899999999999</v>
      </c>
      <c r="H407">
        <v>2022</v>
      </c>
      <c r="I407" t="s">
        <v>23</v>
      </c>
      <c r="J407" s="4">
        <v>0.17151117149758499</v>
      </c>
      <c r="K407" t="s">
        <v>42</v>
      </c>
      <c r="L407" t="s">
        <v>59</v>
      </c>
      <c r="M407">
        <v>4</v>
      </c>
      <c r="N407" t="s">
        <v>62</v>
      </c>
    </row>
    <row r="408" spans="1:14" x14ac:dyDescent="0.3">
      <c r="A408" s="1">
        <v>44787</v>
      </c>
      <c r="B408" t="s">
        <v>28</v>
      </c>
      <c r="C408" t="s">
        <v>11</v>
      </c>
      <c r="D408" t="s">
        <v>12</v>
      </c>
      <c r="E408">
        <v>5</v>
      </c>
      <c r="F408">
        <v>2455</v>
      </c>
      <c r="G408">
        <v>714.35</v>
      </c>
      <c r="H408">
        <v>2022</v>
      </c>
      <c r="I408" t="s">
        <v>24</v>
      </c>
      <c r="J408" s="4">
        <v>0.29097759674134399</v>
      </c>
      <c r="K408" t="s">
        <v>42</v>
      </c>
      <c r="L408" t="s">
        <v>60</v>
      </c>
      <c r="M408">
        <v>8</v>
      </c>
      <c r="N408" t="s">
        <v>63</v>
      </c>
    </row>
    <row r="409" spans="1:14" x14ac:dyDescent="0.3">
      <c r="A409" s="1">
        <v>44818</v>
      </c>
      <c r="B409" t="s">
        <v>28</v>
      </c>
      <c r="C409" t="s">
        <v>11</v>
      </c>
      <c r="D409" t="s">
        <v>17</v>
      </c>
      <c r="E409">
        <v>4</v>
      </c>
      <c r="F409">
        <v>1440</v>
      </c>
      <c r="G409">
        <v>200.09</v>
      </c>
      <c r="H409">
        <v>2022</v>
      </c>
      <c r="I409" t="s">
        <v>21</v>
      </c>
      <c r="J409" s="4">
        <v>0.138951388888889</v>
      </c>
      <c r="K409" t="s">
        <v>42</v>
      </c>
      <c r="L409" t="s">
        <v>60</v>
      </c>
      <c r="M409">
        <v>9</v>
      </c>
      <c r="N409" t="s">
        <v>61</v>
      </c>
    </row>
    <row r="410" spans="1:14" x14ac:dyDescent="0.3">
      <c r="A410" s="1">
        <v>44852</v>
      </c>
      <c r="B410" t="s">
        <v>28</v>
      </c>
      <c r="C410" t="s">
        <v>11</v>
      </c>
      <c r="D410" t="s">
        <v>12</v>
      </c>
      <c r="E410">
        <v>8</v>
      </c>
      <c r="F410">
        <v>8768</v>
      </c>
      <c r="G410">
        <v>1065.8</v>
      </c>
      <c r="H410">
        <v>2022</v>
      </c>
      <c r="I410" t="s">
        <v>14</v>
      </c>
      <c r="J410" s="4">
        <v>0.121555656934307</v>
      </c>
      <c r="K410" t="s">
        <v>42</v>
      </c>
      <c r="L410" t="s">
        <v>52</v>
      </c>
      <c r="M410">
        <v>10</v>
      </c>
      <c r="N410" t="s">
        <v>54</v>
      </c>
    </row>
    <row r="411" spans="1:14" x14ac:dyDescent="0.3">
      <c r="A411" s="1">
        <v>44667</v>
      </c>
      <c r="B411" t="s">
        <v>28</v>
      </c>
      <c r="C411" t="s">
        <v>11</v>
      </c>
      <c r="D411" t="s">
        <v>19</v>
      </c>
      <c r="E411">
        <v>1</v>
      </c>
      <c r="F411">
        <v>890</v>
      </c>
      <c r="G411">
        <v>57.04</v>
      </c>
      <c r="H411">
        <v>2022</v>
      </c>
      <c r="I411" t="s">
        <v>23</v>
      </c>
      <c r="J411" s="4">
        <v>6.40898876404494E-2</v>
      </c>
      <c r="K411" t="s">
        <v>42</v>
      </c>
      <c r="L411" t="s">
        <v>59</v>
      </c>
      <c r="M411">
        <v>4</v>
      </c>
      <c r="N411" t="s">
        <v>62</v>
      </c>
    </row>
    <row r="412" spans="1:14" x14ac:dyDescent="0.3">
      <c r="A412" s="1">
        <v>44842</v>
      </c>
      <c r="B412" t="s">
        <v>28</v>
      </c>
      <c r="C412" t="s">
        <v>11</v>
      </c>
      <c r="D412" t="s">
        <v>12</v>
      </c>
      <c r="E412">
        <v>2</v>
      </c>
      <c r="F412">
        <v>1518</v>
      </c>
      <c r="G412">
        <v>87.6</v>
      </c>
      <c r="H412">
        <v>2022</v>
      </c>
      <c r="I412" t="s">
        <v>14</v>
      </c>
      <c r="J412" s="4">
        <v>5.7707509881422897E-2</v>
      </c>
      <c r="K412" t="s">
        <v>42</v>
      </c>
      <c r="L412" t="s">
        <v>52</v>
      </c>
      <c r="M412">
        <v>10</v>
      </c>
      <c r="N412" t="s">
        <v>54</v>
      </c>
    </row>
    <row r="413" spans="1:14" x14ac:dyDescent="0.3">
      <c r="A413" s="1">
        <v>44786</v>
      </c>
      <c r="B413" t="s">
        <v>28</v>
      </c>
      <c r="C413" t="s">
        <v>11</v>
      </c>
      <c r="D413" t="s">
        <v>17</v>
      </c>
      <c r="E413">
        <v>9</v>
      </c>
      <c r="F413">
        <v>7128</v>
      </c>
      <c r="G413">
        <v>457.11</v>
      </c>
      <c r="H413">
        <v>2022</v>
      </c>
      <c r="I413" t="s">
        <v>24</v>
      </c>
      <c r="J413" s="4">
        <v>6.4128787878787896E-2</v>
      </c>
      <c r="K413" t="s">
        <v>42</v>
      </c>
      <c r="L413" t="s">
        <v>60</v>
      </c>
      <c r="M413">
        <v>8</v>
      </c>
      <c r="N413" t="s">
        <v>63</v>
      </c>
    </row>
    <row r="414" spans="1:14" x14ac:dyDescent="0.3">
      <c r="A414" s="1">
        <v>44696</v>
      </c>
      <c r="B414" t="s">
        <v>28</v>
      </c>
      <c r="C414" t="s">
        <v>11</v>
      </c>
      <c r="D414" t="s">
        <v>22</v>
      </c>
      <c r="E414">
        <v>2</v>
      </c>
      <c r="F414">
        <v>390</v>
      </c>
      <c r="G414">
        <v>115.48</v>
      </c>
      <c r="H414">
        <v>2022</v>
      </c>
      <c r="I414" t="s">
        <v>20</v>
      </c>
      <c r="J414" s="4">
        <v>0.29610256410256403</v>
      </c>
      <c r="K414" t="s">
        <v>42</v>
      </c>
      <c r="L414" t="s">
        <v>59</v>
      </c>
      <c r="M414">
        <v>5</v>
      </c>
      <c r="N414" t="s">
        <v>20</v>
      </c>
    </row>
    <row r="415" spans="1:14" x14ac:dyDescent="0.3">
      <c r="A415" s="1">
        <v>44820</v>
      </c>
      <c r="B415" t="s">
        <v>28</v>
      </c>
      <c r="C415" t="s">
        <v>11</v>
      </c>
      <c r="D415" t="s">
        <v>19</v>
      </c>
      <c r="E415">
        <v>3</v>
      </c>
      <c r="F415">
        <v>3108</v>
      </c>
      <c r="G415">
        <v>220.97</v>
      </c>
      <c r="H415">
        <v>2022</v>
      </c>
      <c r="I415" t="s">
        <v>21</v>
      </c>
      <c r="J415" s="4">
        <v>7.1097168597168595E-2</v>
      </c>
      <c r="K415" t="s">
        <v>42</v>
      </c>
      <c r="L415" t="s">
        <v>60</v>
      </c>
      <c r="M415">
        <v>9</v>
      </c>
      <c r="N415" t="s">
        <v>61</v>
      </c>
    </row>
    <row r="416" spans="1:14" x14ac:dyDescent="0.3">
      <c r="A416" s="1">
        <v>44858</v>
      </c>
      <c r="B416" t="s">
        <v>28</v>
      </c>
      <c r="C416" t="s">
        <v>11</v>
      </c>
      <c r="D416" t="s">
        <v>22</v>
      </c>
      <c r="E416">
        <v>7</v>
      </c>
      <c r="F416">
        <v>4270</v>
      </c>
      <c r="G416">
        <v>1197.44</v>
      </c>
      <c r="H416">
        <v>2022</v>
      </c>
      <c r="I416" t="s">
        <v>14</v>
      </c>
      <c r="J416" s="4">
        <v>0.28043091334894599</v>
      </c>
      <c r="K416" t="s">
        <v>42</v>
      </c>
      <c r="L416" t="s">
        <v>52</v>
      </c>
      <c r="M416">
        <v>10</v>
      </c>
      <c r="N416" t="s">
        <v>54</v>
      </c>
    </row>
    <row r="417" spans="1:14" x14ac:dyDescent="0.3">
      <c r="A417" s="1">
        <v>44590</v>
      </c>
      <c r="B417" t="s">
        <v>28</v>
      </c>
      <c r="C417" t="s">
        <v>11</v>
      </c>
      <c r="D417" t="s">
        <v>17</v>
      </c>
      <c r="E417">
        <v>7</v>
      </c>
      <c r="F417">
        <v>3255</v>
      </c>
      <c r="G417">
        <v>814.85</v>
      </c>
      <c r="H417">
        <v>2022</v>
      </c>
      <c r="I417" t="s">
        <v>26</v>
      </c>
      <c r="J417" s="4">
        <v>0.250337941628264</v>
      </c>
      <c r="K417" t="s">
        <v>42</v>
      </c>
      <c r="L417" t="s">
        <v>55</v>
      </c>
      <c r="M417">
        <v>1</v>
      </c>
      <c r="N417" t="s">
        <v>65</v>
      </c>
    </row>
    <row r="418" spans="1:14" x14ac:dyDescent="0.3">
      <c r="A418" s="1">
        <v>44853</v>
      </c>
      <c r="B418" t="s">
        <v>28</v>
      </c>
      <c r="C418" t="s">
        <v>11</v>
      </c>
      <c r="D418" t="s">
        <v>17</v>
      </c>
      <c r="E418">
        <v>9</v>
      </c>
      <c r="F418">
        <v>5202</v>
      </c>
      <c r="G418">
        <v>1271.47</v>
      </c>
      <c r="H418">
        <v>2022</v>
      </c>
      <c r="I418" t="s">
        <v>14</v>
      </c>
      <c r="J418" s="4">
        <v>0.244419454056132</v>
      </c>
      <c r="K418" t="s">
        <v>42</v>
      </c>
      <c r="L418" t="s">
        <v>52</v>
      </c>
      <c r="M418">
        <v>10</v>
      </c>
      <c r="N418" t="s">
        <v>54</v>
      </c>
    </row>
    <row r="419" spans="1:14" x14ac:dyDescent="0.3">
      <c r="A419" s="1">
        <v>44827</v>
      </c>
      <c r="B419" t="s">
        <v>28</v>
      </c>
      <c r="C419" t="s">
        <v>11</v>
      </c>
      <c r="D419" t="s">
        <v>12</v>
      </c>
      <c r="E419">
        <v>5</v>
      </c>
      <c r="F419">
        <v>1840</v>
      </c>
      <c r="G419">
        <v>307.08999999999997</v>
      </c>
      <c r="H419">
        <v>2022</v>
      </c>
      <c r="I419" t="s">
        <v>21</v>
      </c>
      <c r="J419" s="4">
        <v>0.16689673913043501</v>
      </c>
      <c r="K419" t="s">
        <v>42</v>
      </c>
      <c r="L419" t="s">
        <v>60</v>
      </c>
      <c r="M419">
        <v>9</v>
      </c>
      <c r="N419" t="s">
        <v>61</v>
      </c>
    </row>
    <row r="420" spans="1:14" x14ac:dyDescent="0.3">
      <c r="A420" s="1">
        <v>44914</v>
      </c>
      <c r="B420" t="s">
        <v>28</v>
      </c>
      <c r="C420" t="s">
        <v>11</v>
      </c>
      <c r="D420" t="s">
        <v>22</v>
      </c>
      <c r="E420">
        <v>3</v>
      </c>
      <c r="F420">
        <v>432</v>
      </c>
      <c r="G420">
        <v>36.840000000000003</v>
      </c>
      <c r="H420">
        <v>2022</v>
      </c>
      <c r="I420" t="s">
        <v>13</v>
      </c>
      <c r="J420" s="4">
        <v>8.52777777777778E-2</v>
      </c>
      <c r="K420" t="s">
        <v>42</v>
      </c>
      <c r="L420" t="s">
        <v>52</v>
      </c>
      <c r="M420">
        <v>12</v>
      </c>
      <c r="N420" t="s">
        <v>53</v>
      </c>
    </row>
    <row r="421" spans="1:14" x14ac:dyDescent="0.3">
      <c r="A421" s="1">
        <v>44698</v>
      </c>
      <c r="B421" t="s">
        <v>28</v>
      </c>
      <c r="C421" t="s">
        <v>11</v>
      </c>
      <c r="D421" t="s">
        <v>22</v>
      </c>
      <c r="E421">
        <v>3</v>
      </c>
      <c r="F421">
        <v>2187</v>
      </c>
      <c r="G421">
        <v>491.13</v>
      </c>
      <c r="H421">
        <v>2022</v>
      </c>
      <c r="I421" t="s">
        <v>20</v>
      </c>
      <c r="J421" s="4">
        <v>0.22456790123456799</v>
      </c>
      <c r="K421" t="s">
        <v>42</v>
      </c>
      <c r="L421" t="s">
        <v>59</v>
      </c>
      <c r="M421">
        <v>5</v>
      </c>
      <c r="N421" t="s">
        <v>20</v>
      </c>
    </row>
    <row r="422" spans="1:14" x14ac:dyDescent="0.3">
      <c r="A422" s="1">
        <v>44836</v>
      </c>
      <c r="B422" t="s">
        <v>28</v>
      </c>
      <c r="C422" t="s">
        <v>11</v>
      </c>
      <c r="D422" t="s">
        <v>19</v>
      </c>
      <c r="E422">
        <v>2</v>
      </c>
      <c r="F422">
        <v>2216</v>
      </c>
      <c r="G422">
        <v>650.27</v>
      </c>
      <c r="H422">
        <v>2022</v>
      </c>
      <c r="I422" t="s">
        <v>14</v>
      </c>
      <c r="J422" s="4">
        <v>0.29344314079422401</v>
      </c>
      <c r="K422" t="s">
        <v>42</v>
      </c>
      <c r="L422" t="s">
        <v>52</v>
      </c>
      <c r="M422">
        <v>10</v>
      </c>
      <c r="N422" t="s">
        <v>54</v>
      </c>
    </row>
    <row r="423" spans="1:14" x14ac:dyDescent="0.3">
      <c r="A423" s="1">
        <v>44831</v>
      </c>
      <c r="B423" t="s">
        <v>28</v>
      </c>
      <c r="C423" t="s">
        <v>11</v>
      </c>
      <c r="D423" t="s">
        <v>12</v>
      </c>
      <c r="E423">
        <v>5</v>
      </c>
      <c r="F423">
        <v>3170</v>
      </c>
      <c r="G423">
        <v>379.27</v>
      </c>
      <c r="H423">
        <v>2022</v>
      </c>
      <c r="I423" t="s">
        <v>21</v>
      </c>
      <c r="J423" s="4">
        <v>0.119643533123028</v>
      </c>
      <c r="K423" t="s">
        <v>42</v>
      </c>
      <c r="L423" t="s">
        <v>60</v>
      </c>
      <c r="M423">
        <v>9</v>
      </c>
      <c r="N423" t="s">
        <v>61</v>
      </c>
    </row>
    <row r="424" spans="1:14" x14ac:dyDescent="0.3">
      <c r="A424" s="1">
        <v>44785</v>
      </c>
      <c r="B424" t="s">
        <v>28</v>
      </c>
      <c r="C424" t="s">
        <v>11</v>
      </c>
      <c r="D424" t="s">
        <v>12</v>
      </c>
      <c r="E424">
        <v>5</v>
      </c>
      <c r="F424">
        <v>1045</v>
      </c>
      <c r="G424">
        <v>89</v>
      </c>
      <c r="H424">
        <v>2022</v>
      </c>
      <c r="I424" t="s">
        <v>24</v>
      </c>
      <c r="J424" s="4">
        <v>8.5167464114832503E-2</v>
      </c>
      <c r="K424" t="s">
        <v>42</v>
      </c>
      <c r="L424" t="s">
        <v>60</v>
      </c>
      <c r="M424">
        <v>8</v>
      </c>
      <c r="N424" t="s">
        <v>63</v>
      </c>
    </row>
    <row r="425" spans="1:14" x14ac:dyDescent="0.3">
      <c r="A425" s="1">
        <v>44681</v>
      </c>
      <c r="B425" t="s">
        <v>28</v>
      </c>
      <c r="C425" t="s">
        <v>11</v>
      </c>
      <c r="D425" t="s">
        <v>19</v>
      </c>
      <c r="E425">
        <v>1</v>
      </c>
      <c r="F425">
        <v>1001</v>
      </c>
      <c r="G425">
        <v>225.75</v>
      </c>
      <c r="H425">
        <v>2022</v>
      </c>
      <c r="I425" t="s">
        <v>23</v>
      </c>
      <c r="J425" s="4">
        <v>0.22552447552447599</v>
      </c>
      <c r="K425" t="s">
        <v>42</v>
      </c>
      <c r="L425" t="s">
        <v>59</v>
      </c>
      <c r="M425">
        <v>4</v>
      </c>
      <c r="N425" t="s">
        <v>62</v>
      </c>
    </row>
    <row r="426" spans="1:14" x14ac:dyDescent="0.3">
      <c r="A426" s="1">
        <v>44665</v>
      </c>
      <c r="B426" t="s">
        <v>28</v>
      </c>
      <c r="C426" t="s">
        <v>11</v>
      </c>
      <c r="D426" t="s">
        <v>17</v>
      </c>
      <c r="E426">
        <v>7</v>
      </c>
      <c r="F426">
        <v>1519</v>
      </c>
      <c r="G426">
        <v>403.63</v>
      </c>
      <c r="H426">
        <v>2022</v>
      </c>
      <c r="I426" t="s">
        <v>23</v>
      </c>
      <c r="J426" s="4">
        <v>0.26572086899275799</v>
      </c>
      <c r="K426" t="s">
        <v>42</v>
      </c>
      <c r="L426" t="s">
        <v>59</v>
      </c>
      <c r="M426">
        <v>4</v>
      </c>
      <c r="N426" t="s">
        <v>62</v>
      </c>
    </row>
    <row r="427" spans="1:14" x14ac:dyDescent="0.3">
      <c r="A427" s="1">
        <v>44774</v>
      </c>
      <c r="B427" t="s">
        <v>28</v>
      </c>
      <c r="C427" t="s">
        <v>11</v>
      </c>
      <c r="D427" t="s">
        <v>17</v>
      </c>
      <c r="E427">
        <v>5</v>
      </c>
      <c r="F427">
        <v>4420</v>
      </c>
      <c r="G427">
        <v>380.69</v>
      </c>
      <c r="H427">
        <v>2022</v>
      </c>
      <c r="I427" t="s">
        <v>24</v>
      </c>
      <c r="J427" s="4">
        <v>8.6128959276018102E-2</v>
      </c>
      <c r="K427" t="s">
        <v>42</v>
      </c>
      <c r="L427" t="s">
        <v>60</v>
      </c>
      <c r="M427">
        <v>8</v>
      </c>
      <c r="N427" t="s">
        <v>63</v>
      </c>
    </row>
    <row r="428" spans="1:14" x14ac:dyDescent="0.3">
      <c r="A428" s="1">
        <v>44877</v>
      </c>
      <c r="B428" t="s">
        <v>28</v>
      </c>
      <c r="C428" t="s">
        <v>11</v>
      </c>
      <c r="D428" t="s">
        <v>17</v>
      </c>
      <c r="E428">
        <v>4</v>
      </c>
      <c r="F428">
        <v>2200</v>
      </c>
      <c r="G428">
        <v>484.33</v>
      </c>
      <c r="H428">
        <v>2022</v>
      </c>
      <c r="I428" t="s">
        <v>18</v>
      </c>
      <c r="J428" s="4">
        <v>0.22015000000000001</v>
      </c>
      <c r="K428" t="s">
        <v>42</v>
      </c>
      <c r="L428" t="s">
        <v>52</v>
      </c>
      <c r="M428">
        <v>11</v>
      </c>
      <c r="N428" t="s">
        <v>58</v>
      </c>
    </row>
    <row r="429" spans="1:14" x14ac:dyDescent="0.3">
      <c r="A429" s="1">
        <v>44760</v>
      </c>
      <c r="B429" t="s">
        <v>28</v>
      </c>
      <c r="C429" t="s">
        <v>11</v>
      </c>
      <c r="D429" t="s">
        <v>12</v>
      </c>
      <c r="E429">
        <v>2</v>
      </c>
      <c r="F429">
        <v>128</v>
      </c>
      <c r="G429">
        <v>8.33</v>
      </c>
      <c r="H429">
        <v>2022</v>
      </c>
      <c r="I429" t="s">
        <v>25</v>
      </c>
      <c r="J429" s="4">
        <v>6.5078125000000001E-2</v>
      </c>
      <c r="K429" t="s">
        <v>42</v>
      </c>
      <c r="L429" t="s">
        <v>60</v>
      </c>
      <c r="M429">
        <v>7</v>
      </c>
      <c r="N429" t="s">
        <v>64</v>
      </c>
    </row>
    <row r="430" spans="1:14" x14ac:dyDescent="0.3">
      <c r="A430" s="1">
        <v>44851</v>
      </c>
      <c r="B430" t="s">
        <v>28</v>
      </c>
      <c r="C430" t="s">
        <v>11</v>
      </c>
      <c r="D430" t="s">
        <v>19</v>
      </c>
      <c r="E430">
        <v>8</v>
      </c>
      <c r="F430">
        <v>456</v>
      </c>
      <c r="G430">
        <v>90.24</v>
      </c>
      <c r="H430">
        <v>2022</v>
      </c>
      <c r="I430" t="s">
        <v>14</v>
      </c>
      <c r="J430" s="4">
        <v>0.19789473684210501</v>
      </c>
      <c r="K430" t="s">
        <v>42</v>
      </c>
      <c r="L430" t="s">
        <v>52</v>
      </c>
      <c r="M430">
        <v>10</v>
      </c>
      <c r="N430" t="s">
        <v>54</v>
      </c>
    </row>
    <row r="431" spans="1:14" x14ac:dyDescent="0.3">
      <c r="A431" s="1">
        <v>44915</v>
      </c>
      <c r="B431" t="s">
        <v>28</v>
      </c>
      <c r="C431" t="s">
        <v>11</v>
      </c>
      <c r="D431" t="s">
        <v>12</v>
      </c>
      <c r="E431">
        <v>6</v>
      </c>
      <c r="F431">
        <v>6792</v>
      </c>
      <c r="G431">
        <v>1787.97</v>
      </c>
      <c r="H431">
        <v>2022</v>
      </c>
      <c r="I431" t="s">
        <v>13</v>
      </c>
      <c r="J431" s="4">
        <v>0.26324646643109501</v>
      </c>
      <c r="K431" t="s">
        <v>42</v>
      </c>
      <c r="L431" t="s">
        <v>52</v>
      </c>
      <c r="M431">
        <v>12</v>
      </c>
      <c r="N431" t="s">
        <v>53</v>
      </c>
    </row>
    <row r="432" spans="1:14" x14ac:dyDescent="0.3">
      <c r="A432" s="1">
        <v>44646</v>
      </c>
      <c r="B432" t="s">
        <v>28</v>
      </c>
      <c r="C432" t="s">
        <v>11</v>
      </c>
      <c r="D432" t="s">
        <v>12</v>
      </c>
      <c r="E432">
        <v>8</v>
      </c>
      <c r="F432">
        <v>608</v>
      </c>
      <c r="G432">
        <v>163.18</v>
      </c>
      <c r="H432">
        <v>2022</v>
      </c>
      <c r="I432" t="s">
        <v>15</v>
      </c>
      <c r="J432" s="4">
        <v>0.26838815789473702</v>
      </c>
      <c r="K432" t="s">
        <v>42</v>
      </c>
      <c r="L432" t="s">
        <v>55</v>
      </c>
      <c r="M432">
        <v>3</v>
      </c>
      <c r="N432" t="s">
        <v>56</v>
      </c>
    </row>
    <row r="433" spans="1:14" x14ac:dyDescent="0.3">
      <c r="A433" s="1">
        <v>44696</v>
      </c>
      <c r="B433" t="s">
        <v>28</v>
      </c>
      <c r="C433" t="s">
        <v>11</v>
      </c>
      <c r="D433" t="s">
        <v>22</v>
      </c>
      <c r="E433">
        <v>1</v>
      </c>
      <c r="F433">
        <v>263</v>
      </c>
      <c r="G433">
        <v>69.39</v>
      </c>
      <c r="H433">
        <v>2022</v>
      </c>
      <c r="I433" t="s">
        <v>20</v>
      </c>
      <c r="J433" s="4">
        <v>0.26384030418250998</v>
      </c>
      <c r="K433" t="s">
        <v>42</v>
      </c>
      <c r="L433" t="s">
        <v>59</v>
      </c>
      <c r="M433">
        <v>5</v>
      </c>
      <c r="N433" t="s">
        <v>20</v>
      </c>
    </row>
    <row r="434" spans="1:14" x14ac:dyDescent="0.3">
      <c r="A434" s="1">
        <v>44869</v>
      </c>
      <c r="B434" t="s">
        <v>28</v>
      </c>
      <c r="C434" t="s">
        <v>11</v>
      </c>
      <c r="D434" t="s">
        <v>12</v>
      </c>
      <c r="E434">
        <v>8</v>
      </c>
      <c r="F434">
        <v>6488</v>
      </c>
      <c r="G434">
        <v>1845.07</v>
      </c>
      <c r="H434">
        <v>2022</v>
      </c>
      <c r="I434" t="s">
        <v>18</v>
      </c>
      <c r="J434" s="4">
        <v>0.28438193588162802</v>
      </c>
      <c r="K434" t="s">
        <v>42</v>
      </c>
      <c r="L434" t="s">
        <v>52</v>
      </c>
      <c r="M434">
        <v>11</v>
      </c>
      <c r="N434" t="s">
        <v>58</v>
      </c>
    </row>
    <row r="435" spans="1:14" x14ac:dyDescent="0.3">
      <c r="A435" s="1">
        <v>44747</v>
      </c>
      <c r="B435" t="s">
        <v>28</v>
      </c>
      <c r="C435" t="s">
        <v>11</v>
      </c>
      <c r="D435" t="s">
        <v>17</v>
      </c>
      <c r="E435">
        <v>8</v>
      </c>
      <c r="F435">
        <v>1864</v>
      </c>
      <c r="G435">
        <v>110.81</v>
      </c>
      <c r="H435">
        <v>2022</v>
      </c>
      <c r="I435" t="s">
        <v>25</v>
      </c>
      <c r="J435" s="4">
        <v>5.9447424892703903E-2</v>
      </c>
      <c r="K435" t="s">
        <v>42</v>
      </c>
      <c r="L435" t="s">
        <v>60</v>
      </c>
      <c r="M435">
        <v>7</v>
      </c>
      <c r="N435" t="s">
        <v>64</v>
      </c>
    </row>
    <row r="436" spans="1:14" x14ac:dyDescent="0.3">
      <c r="A436" s="1">
        <v>44714</v>
      </c>
      <c r="B436" t="s">
        <v>28</v>
      </c>
      <c r="C436" t="s">
        <v>11</v>
      </c>
      <c r="D436" t="s">
        <v>19</v>
      </c>
      <c r="E436">
        <v>7</v>
      </c>
      <c r="F436">
        <v>4396</v>
      </c>
      <c r="G436">
        <v>962.61</v>
      </c>
      <c r="H436">
        <v>2022</v>
      </c>
      <c r="I436" t="s">
        <v>27</v>
      </c>
      <c r="J436" s="4">
        <v>0.21897406733394001</v>
      </c>
      <c r="K436" t="s">
        <v>42</v>
      </c>
      <c r="L436" t="s">
        <v>59</v>
      </c>
      <c r="M436">
        <v>6</v>
      </c>
      <c r="N436" t="s">
        <v>66</v>
      </c>
    </row>
    <row r="437" spans="1:14" x14ac:dyDescent="0.3">
      <c r="A437" s="1">
        <v>44862</v>
      </c>
      <c r="B437" t="s">
        <v>28</v>
      </c>
      <c r="C437" t="s">
        <v>11</v>
      </c>
      <c r="D437" t="s">
        <v>19</v>
      </c>
      <c r="E437">
        <v>1</v>
      </c>
      <c r="F437">
        <v>498</v>
      </c>
      <c r="G437">
        <v>38.67</v>
      </c>
      <c r="H437">
        <v>2022</v>
      </c>
      <c r="I437" t="s">
        <v>14</v>
      </c>
      <c r="J437" s="4">
        <v>7.76506024096386E-2</v>
      </c>
      <c r="K437" t="s">
        <v>42</v>
      </c>
      <c r="L437" t="s">
        <v>52</v>
      </c>
      <c r="M437">
        <v>10</v>
      </c>
      <c r="N437" t="s">
        <v>54</v>
      </c>
    </row>
    <row r="438" spans="1:14" x14ac:dyDescent="0.3">
      <c r="A438" s="1">
        <v>44573</v>
      </c>
      <c r="B438" t="s">
        <v>28</v>
      </c>
      <c r="C438" t="s">
        <v>11</v>
      </c>
      <c r="D438" t="s">
        <v>19</v>
      </c>
      <c r="E438">
        <v>8</v>
      </c>
      <c r="F438">
        <v>3048</v>
      </c>
      <c r="G438">
        <v>444.3</v>
      </c>
      <c r="H438">
        <v>2022</v>
      </c>
      <c r="I438" t="s">
        <v>26</v>
      </c>
      <c r="J438" s="4">
        <v>0.145767716535433</v>
      </c>
      <c r="K438" t="s">
        <v>42</v>
      </c>
      <c r="L438" t="s">
        <v>55</v>
      </c>
      <c r="M438">
        <v>1</v>
      </c>
      <c r="N438" t="s">
        <v>65</v>
      </c>
    </row>
    <row r="439" spans="1:14" x14ac:dyDescent="0.3">
      <c r="A439" s="1">
        <v>44717</v>
      </c>
      <c r="B439" t="s">
        <v>28</v>
      </c>
      <c r="C439" t="s">
        <v>11</v>
      </c>
      <c r="D439" t="s">
        <v>22</v>
      </c>
      <c r="E439">
        <v>4</v>
      </c>
      <c r="F439">
        <v>3236</v>
      </c>
      <c r="G439">
        <v>655.17999999999995</v>
      </c>
      <c r="H439">
        <v>2022</v>
      </c>
      <c r="I439" t="s">
        <v>27</v>
      </c>
      <c r="J439" s="4">
        <v>0.20246600741656401</v>
      </c>
      <c r="K439" t="s">
        <v>42</v>
      </c>
      <c r="L439" t="s">
        <v>59</v>
      </c>
      <c r="M439">
        <v>6</v>
      </c>
      <c r="N439" t="s">
        <v>66</v>
      </c>
    </row>
    <row r="440" spans="1:14" x14ac:dyDescent="0.3">
      <c r="A440" s="1">
        <v>44722</v>
      </c>
      <c r="B440" t="s">
        <v>28</v>
      </c>
      <c r="C440" t="s">
        <v>11</v>
      </c>
      <c r="D440" t="s">
        <v>22</v>
      </c>
      <c r="E440">
        <v>9</v>
      </c>
      <c r="F440">
        <v>3429</v>
      </c>
      <c r="G440">
        <v>998.82</v>
      </c>
      <c r="H440">
        <v>2022</v>
      </c>
      <c r="I440" t="s">
        <v>27</v>
      </c>
      <c r="J440" s="4">
        <v>0.29128608923884503</v>
      </c>
      <c r="K440" t="s">
        <v>42</v>
      </c>
      <c r="L440" t="s">
        <v>59</v>
      </c>
      <c r="M440">
        <v>6</v>
      </c>
      <c r="N440" t="s">
        <v>66</v>
      </c>
    </row>
    <row r="441" spans="1:14" x14ac:dyDescent="0.3">
      <c r="A441" s="1">
        <v>44694</v>
      </c>
      <c r="B441" t="s">
        <v>28</v>
      </c>
      <c r="C441" t="s">
        <v>11</v>
      </c>
      <c r="D441" t="s">
        <v>19</v>
      </c>
      <c r="E441">
        <v>1</v>
      </c>
      <c r="F441">
        <v>483</v>
      </c>
      <c r="G441">
        <v>98.15</v>
      </c>
      <c r="H441">
        <v>2022</v>
      </c>
      <c r="I441" t="s">
        <v>20</v>
      </c>
      <c r="J441" s="4">
        <v>0.20320910973084899</v>
      </c>
      <c r="K441" t="s">
        <v>42</v>
      </c>
      <c r="L441" t="s">
        <v>59</v>
      </c>
      <c r="M441">
        <v>5</v>
      </c>
      <c r="N441" t="s">
        <v>20</v>
      </c>
    </row>
    <row r="442" spans="1:14" x14ac:dyDescent="0.3">
      <c r="A442" s="1">
        <v>44600</v>
      </c>
      <c r="B442" t="s">
        <v>28</v>
      </c>
      <c r="C442" t="s">
        <v>11</v>
      </c>
      <c r="D442" t="s">
        <v>12</v>
      </c>
      <c r="E442">
        <v>7</v>
      </c>
      <c r="F442">
        <v>1806</v>
      </c>
      <c r="G442">
        <v>129.6</v>
      </c>
      <c r="H442">
        <v>2022</v>
      </c>
      <c r="I442" t="s">
        <v>16</v>
      </c>
      <c r="J442" s="4">
        <v>7.1760797342192706E-2</v>
      </c>
      <c r="K442" t="s">
        <v>42</v>
      </c>
      <c r="L442" t="s">
        <v>55</v>
      </c>
      <c r="M442">
        <v>2</v>
      </c>
      <c r="N442" t="s">
        <v>57</v>
      </c>
    </row>
    <row r="443" spans="1:14" x14ac:dyDescent="0.3">
      <c r="A443" s="1">
        <v>44849</v>
      </c>
      <c r="B443" t="s">
        <v>28</v>
      </c>
      <c r="C443" t="s">
        <v>11</v>
      </c>
      <c r="D443" t="s">
        <v>17</v>
      </c>
      <c r="E443">
        <v>7</v>
      </c>
      <c r="F443">
        <v>7154</v>
      </c>
      <c r="G443">
        <v>1177.51</v>
      </c>
      <c r="H443">
        <v>2022</v>
      </c>
      <c r="I443" t="s">
        <v>14</v>
      </c>
      <c r="J443" s="4">
        <v>0.164594632373497</v>
      </c>
      <c r="K443" t="s">
        <v>42</v>
      </c>
      <c r="L443" t="s">
        <v>52</v>
      </c>
      <c r="M443">
        <v>10</v>
      </c>
      <c r="N443" t="s">
        <v>54</v>
      </c>
    </row>
    <row r="444" spans="1:14" x14ac:dyDescent="0.3">
      <c r="A444" s="1">
        <v>44679</v>
      </c>
      <c r="B444" t="s">
        <v>28</v>
      </c>
      <c r="C444" t="s">
        <v>11</v>
      </c>
      <c r="D444" t="s">
        <v>12</v>
      </c>
      <c r="E444">
        <v>1</v>
      </c>
      <c r="F444">
        <v>946</v>
      </c>
      <c r="G444">
        <v>280.52999999999997</v>
      </c>
      <c r="H444">
        <v>2022</v>
      </c>
      <c r="I444" t="s">
        <v>23</v>
      </c>
      <c r="J444" s="4">
        <v>0.29654334038055002</v>
      </c>
      <c r="K444" t="s">
        <v>42</v>
      </c>
      <c r="L444" t="s">
        <v>59</v>
      </c>
      <c r="M444">
        <v>4</v>
      </c>
      <c r="N444" t="s">
        <v>62</v>
      </c>
    </row>
    <row r="445" spans="1:14" x14ac:dyDescent="0.3">
      <c r="A445" s="1">
        <v>44893</v>
      </c>
      <c r="B445" t="s">
        <v>28</v>
      </c>
      <c r="C445" t="s">
        <v>11</v>
      </c>
      <c r="D445" t="s">
        <v>12</v>
      </c>
      <c r="E445">
        <v>9</v>
      </c>
      <c r="F445">
        <v>5382</v>
      </c>
      <c r="G445">
        <v>1037.04</v>
      </c>
      <c r="H445">
        <v>2022</v>
      </c>
      <c r="I445" t="s">
        <v>18</v>
      </c>
      <c r="J445" s="4">
        <v>0.19268673355629901</v>
      </c>
      <c r="K445" t="s">
        <v>42</v>
      </c>
      <c r="L445" t="s">
        <v>52</v>
      </c>
      <c r="M445">
        <v>11</v>
      </c>
      <c r="N445" t="s">
        <v>58</v>
      </c>
    </row>
    <row r="446" spans="1:14" x14ac:dyDescent="0.3">
      <c r="A446" s="1">
        <v>44790</v>
      </c>
      <c r="B446" t="s">
        <v>28</v>
      </c>
      <c r="C446" t="s">
        <v>11</v>
      </c>
      <c r="D446" t="s">
        <v>12</v>
      </c>
      <c r="E446">
        <v>2</v>
      </c>
      <c r="F446">
        <v>2362</v>
      </c>
      <c r="G446">
        <v>185.89</v>
      </c>
      <c r="H446">
        <v>2022</v>
      </c>
      <c r="I446" t="s">
        <v>24</v>
      </c>
      <c r="J446" s="4">
        <v>7.8700254022015206E-2</v>
      </c>
      <c r="K446" t="s">
        <v>42</v>
      </c>
      <c r="L446" t="s">
        <v>60</v>
      </c>
      <c r="M446">
        <v>8</v>
      </c>
      <c r="N446" t="s">
        <v>63</v>
      </c>
    </row>
    <row r="447" spans="1:14" x14ac:dyDescent="0.3">
      <c r="A447" s="1">
        <v>44571</v>
      </c>
      <c r="B447" t="s">
        <v>28</v>
      </c>
      <c r="C447" t="s">
        <v>11</v>
      </c>
      <c r="D447" t="s">
        <v>17</v>
      </c>
      <c r="E447">
        <v>3</v>
      </c>
      <c r="F447">
        <v>2412</v>
      </c>
      <c r="G447">
        <v>640.35</v>
      </c>
      <c r="H447">
        <v>2022</v>
      </c>
      <c r="I447" t="s">
        <v>26</v>
      </c>
      <c r="J447" s="4">
        <v>0.26548507462686599</v>
      </c>
      <c r="K447" t="s">
        <v>42</v>
      </c>
      <c r="L447" t="s">
        <v>55</v>
      </c>
      <c r="M447">
        <v>1</v>
      </c>
      <c r="N447" t="s">
        <v>65</v>
      </c>
    </row>
    <row r="448" spans="1:14" x14ac:dyDescent="0.3">
      <c r="A448" s="1">
        <v>44660</v>
      </c>
      <c r="B448" t="s">
        <v>28</v>
      </c>
      <c r="C448" t="s">
        <v>11</v>
      </c>
      <c r="D448" t="s">
        <v>17</v>
      </c>
      <c r="E448">
        <v>6</v>
      </c>
      <c r="F448">
        <v>1242</v>
      </c>
      <c r="G448">
        <v>87.37</v>
      </c>
      <c r="H448">
        <v>2022</v>
      </c>
      <c r="I448" t="s">
        <v>23</v>
      </c>
      <c r="J448" s="4">
        <v>7.0346215780998395E-2</v>
      </c>
      <c r="K448" t="s">
        <v>42</v>
      </c>
      <c r="L448" t="s">
        <v>59</v>
      </c>
      <c r="M448">
        <v>4</v>
      </c>
      <c r="N448" t="s">
        <v>62</v>
      </c>
    </row>
    <row r="449" spans="1:14" x14ac:dyDescent="0.3">
      <c r="A449" s="1">
        <v>44728</v>
      </c>
      <c r="B449" t="s">
        <v>28</v>
      </c>
      <c r="C449" t="s">
        <v>11</v>
      </c>
      <c r="D449" t="s">
        <v>12</v>
      </c>
      <c r="E449">
        <v>4</v>
      </c>
      <c r="F449">
        <v>1680</v>
      </c>
      <c r="G449">
        <v>385.92</v>
      </c>
      <c r="H449">
        <v>2022</v>
      </c>
      <c r="I449" t="s">
        <v>27</v>
      </c>
      <c r="J449" s="4">
        <v>0.22971428571428601</v>
      </c>
      <c r="K449" t="s">
        <v>42</v>
      </c>
      <c r="L449" t="s">
        <v>59</v>
      </c>
      <c r="M449">
        <v>6</v>
      </c>
      <c r="N449" t="s">
        <v>66</v>
      </c>
    </row>
    <row r="450" spans="1:14" x14ac:dyDescent="0.3">
      <c r="A450" s="1">
        <v>44760</v>
      </c>
      <c r="B450" t="s">
        <v>28</v>
      </c>
      <c r="C450" t="s">
        <v>11</v>
      </c>
      <c r="D450" t="s">
        <v>17</v>
      </c>
      <c r="E450">
        <v>1</v>
      </c>
      <c r="F450">
        <v>663</v>
      </c>
      <c r="G450">
        <v>183.82</v>
      </c>
      <c r="H450">
        <v>2022</v>
      </c>
      <c r="I450" t="s">
        <v>25</v>
      </c>
      <c r="J450" s="4">
        <v>0.27725490196078401</v>
      </c>
      <c r="K450" t="s">
        <v>42</v>
      </c>
      <c r="L450" t="s">
        <v>60</v>
      </c>
      <c r="M450">
        <v>7</v>
      </c>
      <c r="N450" t="s">
        <v>64</v>
      </c>
    </row>
    <row r="451" spans="1:14" x14ac:dyDescent="0.3">
      <c r="A451" s="1">
        <v>44660</v>
      </c>
      <c r="B451" t="s">
        <v>28</v>
      </c>
      <c r="C451" t="s">
        <v>11</v>
      </c>
      <c r="D451" t="s">
        <v>22</v>
      </c>
      <c r="E451">
        <v>4</v>
      </c>
      <c r="F451">
        <v>4560</v>
      </c>
      <c r="G451">
        <v>507.87</v>
      </c>
      <c r="H451">
        <v>2022</v>
      </c>
      <c r="I451" t="s">
        <v>23</v>
      </c>
      <c r="J451" s="4">
        <v>0.111375</v>
      </c>
      <c r="K451" t="s">
        <v>42</v>
      </c>
      <c r="L451" t="s">
        <v>59</v>
      </c>
      <c r="M451">
        <v>4</v>
      </c>
      <c r="N451" t="s">
        <v>62</v>
      </c>
    </row>
    <row r="452" spans="1:14" x14ac:dyDescent="0.3">
      <c r="A452" s="1">
        <v>44791</v>
      </c>
      <c r="B452" t="s">
        <v>28</v>
      </c>
      <c r="C452" t="s">
        <v>11</v>
      </c>
      <c r="D452" t="s">
        <v>12</v>
      </c>
      <c r="E452">
        <v>6</v>
      </c>
      <c r="F452">
        <v>7026</v>
      </c>
      <c r="G452">
        <v>1814.21</v>
      </c>
      <c r="H452">
        <v>2022</v>
      </c>
      <c r="I452" t="s">
        <v>24</v>
      </c>
      <c r="J452" s="4">
        <v>0.25821377739823498</v>
      </c>
      <c r="K452" t="s">
        <v>42</v>
      </c>
      <c r="L452" t="s">
        <v>60</v>
      </c>
      <c r="M452">
        <v>8</v>
      </c>
      <c r="N452" t="s">
        <v>63</v>
      </c>
    </row>
    <row r="453" spans="1:14" x14ac:dyDescent="0.3">
      <c r="A453" s="1">
        <v>44870</v>
      </c>
      <c r="B453" t="s">
        <v>28</v>
      </c>
      <c r="C453" t="s">
        <v>11</v>
      </c>
      <c r="D453" t="s">
        <v>22</v>
      </c>
      <c r="E453">
        <v>4</v>
      </c>
      <c r="F453">
        <v>2008</v>
      </c>
      <c r="G453">
        <v>451.68</v>
      </c>
      <c r="H453">
        <v>2022</v>
      </c>
      <c r="I453" t="s">
        <v>18</v>
      </c>
      <c r="J453" s="4">
        <v>0.22494023904382501</v>
      </c>
      <c r="K453" t="s">
        <v>42</v>
      </c>
      <c r="L453" t="s">
        <v>52</v>
      </c>
      <c r="M453">
        <v>11</v>
      </c>
      <c r="N453" t="s">
        <v>58</v>
      </c>
    </row>
    <row r="454" spans="1:14" x14ac:dyDescent="0.3">
      <c r="A454" s="1">
        <v>44866</v>
      </c>
      <c r="B454" t="s">
        <v>28</v>
      </c>
      <c r="C454" t="s">
        <v>11</v>
      </c>
      <c r="D454" t="s">
        <v>22</v>
      </c>
      <c r="E454">
        <v>7</v>
      </c>
      <c r="F454">
        <v>2324</v>
      </c>
      <c r="G454">
        <v>611.70000000000005</v>
      </c>
      <c r="H454">
        <v>2022</v>
      </c>
      <c r="I454" t="s">
        <v>18</v>
      </c>
      <c r="J454" s="4">
        <v>0.26320998278829599</v>
      </c>
      <c r="K454" t="s">
        <v>42</v>
      </c>
      <c r="L454" t="s">
        <v>52</v>
      </c>
      <c r="M454">
        <v>11</v>
      </c>
      <c r="N454" t="s">
        <v>58</v>
      </c>
    </row>
    <row r="455" spans="1:14" x14ac:dyDescent="0.3">
      <c r="A455" s="1">
        <v>44856</v>
      </c>
      <c r="B455" t="s">
        <v>28</v>
      </c>
      <c r="C455" t="s">
        <v>11</v>
      </c>
      <c r="D455" t="s">
        <v>22</v>
      </c>
      <c r="E455">
        <v>9</v>
      </c>
      <c r="F455">
        <v>6435</v>
      </c>
      <c r="G455">
        <v>1096.8800000000001</v>
      </c>
      <c r="H455">
        <v>2022</v>
      </c>
      <c r="I455" t="s">
        <v>14</v>
      </c>
      <c r="J455" s="4">
        <v>0.17045532245532199</v>
      </c>
      <c r="K455" t="s">
        <v>42</v>
      </c>
      <c r="L455" t="s">
        <v>52</v>
      </c>
      <c r="M455">
        <v>10</v>
      </c>
      <c r="N455" t="s">
        <v>54</v>
      </c>
    </row>
    <row r="456" spans="1:14" x14ac:dyDescent="0.3">
      <c r="A456" s="1">
        <v>44648</v>
      </c>
      <c r="B456" t="s">
        <v>28</v>
      </c>
      <c r="C456" t="s">
        <v>11</v>
      </c>
      <c r="D456" t="s">
        <v>17</v>
      </c>
      <c r="E456">
        <v>2</v>
      </c>
      <c r="F456">
        <v>474</v>
      </c>
      <c r="G456">
        <v>120.91</v>
      </c>
      <c r="H456">
        <v>2022</v>
      </c>
      <c r="I456" t="s">
        <v>15</v>
      </c>
      <c r="J456" s="4">
        <v>0.25508438818565399</v>
      </c>
      <c r="K456" t="s">
        <v>42</v>
      </c>
      <c r="L456" t="s">
        <v>55</v>
      </c>
      <c r="M456">
        <v>3</v>
      </c>
      <c r="N456" t="s">
        <v>56</v>
      </c>
    </row>
    <row r="457" spans="1:14" x14ac:dyDescent="0.3">
      <c r="A457" s="1">
        <v>44737</v>
      </c>
      <c r="B457" t="s">
        <v>28</v>
      </c>
      <c r="C457" t="s">
        <v>11</v>
      </c>
      <c r="D457" t="s">
        <v>22</v>
      </c>
      <c r="E457">
        <v>8</v>
      </c>
      <c r="F457">
        <v>3520</v>
      </c>
      <c r="G457">
        <v>359.84</v>
      </c>
      <c r="H457">
        <v>2022</v>
      </c>
      <c r="I457" t="s">
        <v>27</v>
      </c>
      <c r="J457" s="4">
        <v>0.102227272727273</v>
      </c>
      <c r="K457" t="s">
        <v>42</v>
      </c>
      <c r="L457" t="s">
        <v>59</v>
      </c>
      <c r="M457">
        <v>6</v>
      </c>
      <c r="N457" t="s">
        <v>66</v>
      </c>
    </row>
    <row r="458" spans="1:14" x14ac:dyDescent="0.3">
      <c r="A458" s="1">
        <v>44589</v>
      </c>
      <c r="B458" t="s">
        <v>28</v>
      </c>
      <c r="C458" t="s">
        <v>11</v>
      </c>
      <c r="D458" t="s">
        <v>22</v>
      </c>
      <c r="E458">
        <v>5</v>
      </c>
      <c r="F458">
        <v>1295</v>
      </c>
      <c r="G458">
        <v>104.26</v>
      </c>
      <c r="H458">
        <v>2022</v>
      </c>
      <c r="I458" t="s">
        <v>26</v>
      </c>
      <c r="J458" s="4">
        <v>8.0509652509652502E-2</v>
      </c>
      <c r="K458" t="s">
        <v>42</v>
      </c>
      <c r="L458" t="s">
        <v>55</v>
      </c>
      <c r="M458">
        <v>1</v>
      </c>
      <c r="N458" t="s">
        <v>65</v>
      </c>
    </row>
    <row r="459" spans="1:14" x14ac:dyDescent="0.3">
      <c r="A459" s="1">
        <v>44771</v>
      </c>
      <c r="B459" t="s">
        <v>28</v>
      </c>
      <c r="C459" t="s">
        <v>11</v>
      </c>
      <c r="D459" t="s">
        <v>12</v>
      </c>
      <c r="E459">
        <v>9</v>
      </c>
      <c r="F459">
        <v>3321</v>
      </c>
      <c r="G459">
        <v>540.66999999999996</v>
      </c>
      <c r="H459">
        <v>2022</v>
      </c>
      <c r="I459" t="s">
        <v>25</v>
      </c>
      <c r="J459" s="4">
        <v>0.16280337247816901</v>
      </c>
      <c r="K459" t="s">
        <v>42</v>
      </c>
      <c r="L459" t="s">
        <v>60</v>
      </c>
      <c r="M459">
        <v>7</v>
      </c>
      <c r="N459" t="s">
        <v>64</v>
      </c>
    </row>
    <row r="460" spans="1:14" x14ac:dyDescent="0.3">
      <c r="A460" s="1">
        <v>44761</v>
      </c>
      <c r="B460" t="s">
        <v>28</v>
      </c>
      <c r="C460" t="s">
        <v>11</v>
      </c>
      <c r="D460" t="s">
        <v>17</v>
      </c>
      <c r="E460">
        <v>2</v>
      </c>
      <c r="F460">
        <v>2370</v>
      </c>
      <c r="G460">
        <v>641.23</v>
      </c>
      <c r="H460">
        <v>2022</v>
      </c>
      <c r="I460" t="s">
        <v>25</v>
      </c>
      <c r="J460" s="4">
        <v>0.27056118143459901</v>
      </c>
      <c r="K460" t="s">
        <v>42</v>
      </c>
      <c r="L460" t="s">
        <v>60</v>
      </c>
      <c r="M460">
        <v>7</v>
      </c>
      <c r="N460" t="s">
        <v>64</v>
      </c>
    </row>
    <row r="461" spans="1:14" x14ac:dyDescent="0.3">
      <c r="A461" s="1">
        <v>44644</v>
      </c>
      <c r="B461" t="s">
        <v>28</v>
      </c>
      <c r="C461" t="s">
        <v>11</v>
      </c>
      <c r="D461" t="s">
        <v>19</v>
      </c>
      <c r="E461">
        <v>1</v>
      </c>
      <c r="F461">
        <v>897</v>
      </c>
      <c r="G461">
        <v>250.78</v>
      </c>
      <c r="H461">
        <v>2022</v>
      </c>
      <c r="I461" t="s">
        <v>15</v>
      </c>
      <c r="J461" s="4">
        <v>0.279576365663322</v>
      </c>
      <c r="K461" t="s">
        <v>42</v>
      </c>
      <c r="L461" t="s">
        <v>55</v>
      </c>
      <c r="M461">
        <v>3</v>
      </c>
      <c r="N461" t="s">
        <v>56</v>
      </c>
    </row>
    <row r="462" spans="1:14" x14ac:dyDescent="0.3">
      <c r="A462" s="1">
        <v>44826</v>
      </c>
      <c r="B462" t="s">
        <v>28</v>
      </c>
      <c r="C462" t="s">
        <v>11</v>
      </c>
      <c r="D462" t="s">
        <v>17</v>
      </c>
      <c r="E462">
        <v>1</v>
      </c>
      <c r="F462">
        <v>758</v>
      </c>
      <c r="G462">
        <v>96.44</v>
      </c>
      <c r="H462">
        <v>2022</v>
      </c>
      <c r="I462" t="s">
        <v>21</v>
      </c>
      <c r="J462" s="4">
        <v>0.127229551451187</v>
      </c>
      <c r="K462" t="s">
        <v>42</v>
      </c>
      <c r="L462" t="s">
        <v>60</v>
      </c>
      <c r="M462">
        <v>9</v>
      </c>
      <c r="N462" t="s">
        <v>61</v>
      </c>
    </row>
    <row r="463" spans="1:14" x14ac:dyDescent="0.3">
      <c r="A463" s="1">
        <v>44919</v>
      </c>
      <c r="B463" t="s">
        <v>28</v>
      </c>
      <c r="C463" t="s">
        <v>11</v>
      </c>
      <c r="D463" t="s">
        <v>12</v>
      </c>
      <c r="E463">
        <v>2</v>
      </c>
      <c r="F463">
        <v>1158</v>
      </c>
      <c r="G463">
        <v>227.61</v>
      </c>
      <c r="H463">
        <v>2022</v>
      </c>
      <c r="I463" t="s">
        <v>13</v>
      </c>
      <c r="J463" s="4">
        <v>0.19655440414507799</v>
      </c>
      <c r="K463" t="s">
        <v>42</v>
      </c>
      <c r="L463" t="s">
        <v>52</v>
      </c>
      <c r="M463">
        <v>12</v>
      </c>
      <c r="N463" t="s">
        <v>53</v>
      </c>
    </row>
    <row r="464" spans="1:14" x14ac:dyDescent="0.3">
      <c r="A464" s="1">
        <v>44672</v>
      </c>
      <c r="B464" t="s">
        <v>28</v>
      </c>
      <c r="C464" t="s">
        <v>11</v>
      </c>
      <c r="D464" t="s">
        <v>17</v>
      </c>
      <c r="E464">
        <v>5</v>
      </c>
      <c r="F464">
        <v>4505</v>
      </c>
      <c r="G464">
        <v>1351.28</v>
      </c>
      <c r="H464">
        <v>2022</v>
      </c>
      <c r="I464" t="s">
        <v>23</v>
      </c>
      <c r="J464" s="4">
        <v>0.29995116537180899</v>
      </c>
      <c r="K464" t="s">
        <v>42</v>
      </c>
      <c r="L464" t="s">
        <v>59</v>
      </c>
      <c r="M464">
        <v>4</v>
      </c>
      <c r="N464" t="s">
        <v>62</v>
      </c>
    </row>
    <row r="465" spans="1:14" x14ac:dyDescent="0.3">
      <c r="A465" s="1">
        <v>44757</v>
      </c>
      <c r="B465" t="s">
        <v>28</v>
      </c>
      <c r="C465" t="s">
        <v>11</v>
      </c>
      <c r="D465" t="s">
        <v>12</v>
      </c>
      <c r="E465">
        <v>9</v>
      </c>
      <c r="F465">
        <v>8802</v>
      </c>
      <c r="G465">
        <v>2519.9299999999998</v>
      </c>
      <c r="H465">
        <v>2022</v>
      </c>
      <c r="I465" t="s">
        <v>25</v>
      </c>
      <c r="J465" s="4">
        <v>0.286290615769143</v>
      </c>
      <c r="K465" t="s">
        <v>42</v>
      </c>
      <c r="L465" t="s">
        <v>60</v>
      </c>
      <c r="M465">
        <v>7</v>
      </c>
      <c r="N465" t="s">
        <v>64</v>
      </c>
    </row>
    <row r="466" spans="1:14" x14ac:dyDescent="0.3">
      <c r="A466" s="1">
        <v>44894</v>
      </c>
      <c r="B466" t="s">
        <v>28</v>
      </c>
      <c r="C466" t="s">
        <v>11</v>
      </c>
      <c r="D466" t="s">
        <v>22</v>
      </c>
      <c r="E466">
        <v>5</v>
      </c>
      <c r="F466">
        <v>1570</v>
      </c>
      <c r="G466">
        <v>312.81</v>
      </c>
      <c r="H466">
        <v>2022</v>
      </c>
      <c r="I466" t="s">
        <v>18</v>
      </c>
      <c r="J466" s="4">
        <v>0.19924203821656</v>
      </c>
      <c r="K466" t="s">
        <v>42</v>
      </c>
      <c r="L466" t="s">
        <v>52</v>
      </c>
      <c r="M466">
        <v>11</v>
      </c>
      <c r="N466" t="s">
        <v>58</v>
      </c>
    </row>
    <row r="467" spans="1:14" x14ac:dyDescent="0.3">
      <c r="A467" s="1">
        <v>44800</v>
      </c>
      <c r="B467" t="s">
        <v>28</v>
      </c>
      <c r="C467" t="s">
        <v>11</v>
      </c>
      <c r="D467" t="s">
        <v>17</v>
      </c>
      <c r="E467">
        <v>2</v>
      </c>
      <c r="F467">
        <v>1062</v>
      </c>
      <c r="G467">
        <v>83.49</v>
      </c>
      <c r="H467">
        <v>2022</v>
      </c>
      <c r="I467" t="s">
        <v>24</v>
      </c>
      <c r="J467" s="4">
        <v>7.8615819209039595E-2</v>
      </c>
      <c r="K467" t="s">
        <v>42</v>
      </c>
      <c r="L467" t="s">
        <v>60</v>
      </c>
      <c r="M467">
        <v>8</v>
      </c>
      <c r="N467" t="s">
        <v>63</v>
      </c>
    </row>
    <row r="468" spans="1:14" x14ac:dyDescent="0.3">
      <c r="A468" s="1">
        <v>44836</v>
      </c>
      <c r="B468" t="s">
        <v>28</v>
      </c>
      <c r="C468" t="s">
        <v>11</v>
      </c>
      <c r="D468" t="s">
        <v>19</v>
      </c>
      <c r="E468">
        <v>5</v>
      </c>
      <c r="F468">
        <v>1440</v>
      </c>
      <c r="G468">
        <v>274.54000000000002</v>
      </c>
      <c r="H468">
        <v>2022</v>
      </c>
      <c r="I468" t="s">
        <v>14</v>
      </c>
      <c r="J468" s="4">
        <v>0.190652777777778</v>
      </c>
      <c r="K468" t="s">
        <v>42</v>
      </c>
      <c r="L468" t="s">
        <v>52</v>
      </c>
      <c r="M468">
        <v>10</v>
      </c>
      <c r="N468" t="s">
        <v>54</v>
      </c>
    </row>
    <row r="469" spans="1:14" x14ac:dyDescent="0.3">
      <c r="A469" s="1">
        <v>44816</v>
      </c>
      <c r="B469" t="s">
        <v>28</v>
      </c>
      <c r="C469" t="s">
        <v>11</v>
      </c>
      <c r="D469" t="s">
        <v>17</v>
      </c>
      <c r="E469">
        <v>9</v>
      </c>
      <c r="F469">
        <v>10251</v>
      </c>
      <c r="G469">
        <v>737.45</v>
      </c>
      <c r="H469">
        <v>2022</v>
      </c>
      <c r="I469" t="s">
        <v>21</v>
      </c>
      <c r="J469" s="4">
        <v>7.1939322992878793E-2</v>
      </c>
      <c r="K469" t="s">
        <v>42</v>
      </c>
      <c r="L469" t="s">
        <v>60</v>
      </c>
      <c r="M469">
        <v>9</v>
      </c>
      <c r="N469" t="s">
        <v>61</v>
      </c>
    </row>
    <row r="470" spans="1:14" x14ac:dyDescent="0.3">
      <c r="A470" s="1">
        <v>44592</v>
      </c>
      <c r="B470" t="s">
        <v>28</v>
      </c>
      <c r="C470" t="s">
        <v>11</v>
      </c>
      <c r="D470" t="s">
        <v>19</v>
      </c>
      <c r="E470">
        <v>5</v>
      </c>
      <c r="F470">
        <v>4405</v>
      </c>
      <c r="G470">
        <v>450.83</v>
      </c>
      <c r="H470">
        <v>2022</v>
      </c>
      <c r="I470" t="s">
        <v>26</v>
      </c>
      <c r="J470" s="4">
        <v>0.102345062429058</v>
      </c>
      <c r="K470" t="s">
        <v>42</v>
      </c>
      <c r="L470" t="s">
        <v>55</v>
      </c>
      <c r="M470">
        <v>1</v>
      </c>
      <c r="N470" t="s">
        <v>65</v>
      </c>
    </row>
    <row r="471" spans="1:14" x14ac:dyDescent="0.3">
      <c r="A471" s="1">
        <v>44700</v>
      </c>
      <c r="B471" t="s">
        <v>28</v>
      </c>
      <c r="C471" t="s">
        <v>11</v>
      </c>
      <c r="D471" t="s">
        <v>22</v>
      </c>
      <c r="E471">
        <v>4</v>
      </c>
      <c r="F471">
        <v>2128</v>
      </c>
      <c r="G471">
        <v>614.04999999999995</v>
      </c>
      <c r="H471">
        <v>2022</v>
      </c>
      <c r="I471" t="s">
        <v>20</v>
      </c>
      <c r="J471" s="4">
        <v>0.28855733082706803</v>
      </c>
      <c r="K471" t="s">
        <v>42</v>
      </c>
      <c r="L471" t="s">
        <v>59</v>
      </c>
      <c r="M471">
        <v>5</v>
      </c>
      <c r="N471" t="s">
        <v>20</v>
      </c>
    </row>
    <row r="472" spans="1:14" x14ac:dyDescent="0.3">
      <c r="A472" s="1">
        <v>44716</v>
      </c>
      <c r="B472" t="s">
        <v>28</v>
      </c>
      <c r="C472" t="s">
        <v>11</v>
      </c>
      <c r="D472" t="s">
        <v>19</v>
      </c>
      <c r="E472">
        <v>9</v>
      </c>
      <c r="F472">
        <v>1998</v>
      </c>
      <c r="G472">
        <v>343.58</v>
      </c>
      <c r="H472">
        <v>2022</v>
      </c>
      <c r="I472" t="s">
        <v>27</v>
      </c>
      <c r="J472" s="4">
        <v>0.17196196196196201</v>
      </c>
      <c r="K472" t="s">
        <v>42</v>
      </c>
      <c r="L472" t="s">
        <v>59</v>
      </c>
      <c r="M472">
        <v>6</v>
      </c>
      <c r="N472" t="s">
        <v>66</v>
      </c>
    </row>
    <row r="473" spans="1:14" x14ac:dyDescent="0.3">
      <c r="A473" s="1">
        <v>44827</v>
      </c>
      <c r="B473" t="s">
        <v>28</v>
      </c>
      <c r="C473" t="s">
        <v>11</v>
      </c>
      <c r="D473" t="s">
        <v>12</v>
      </c>
      <c r="E473">
        <v>4</v>
      </c>
      <c r="F473">
        <v>972</v>
      </c>
      <c r="G473">
        <v>97.55</v>
      </c>
      <c r="H473">
        <v>2022</v>
      </c>
      <c r="I473" t="s">
        <v>21</v>
      </c>
      <c r="J473" s="4">
        <v>0.100360082304527</v>
      </c>
      <c r="K473" t="s">
        <v>42</v>
      </c>
      <c r="L473" t="s">
        <v>60</v>
      </c>
      <c r="M473">
        <v>9</v>
      </c>
      <c r="N473" t="s">
        <v>61</v>
      </c>
    </row>
    <row r="474" spans="1:14" x14ac:dyDescent="0.3">
      <c r="A474" s="1">
        <v>44869</v>
      </c>
      <c r="B474" t="s">
        <v>28</v>
      </c>
      <c r="C474" t="s">
        <v>11</v>
      </c>
      <c r="D474" t="s">
        <v>22</v>
      </c>
      <c r="E474">
        <v>6</v>
      </c>
      <c r="F474">
        <v>5580</v>
      </c>
      <c r="G474">
        <v>394.03</v>
      </c>
      <c r="H474">
        <v>2022</v>
      </c>
      <c r="I474" t="s">
        <v>18</v>
      </c>
      <c r="J474" s="4">
        <v>7.0614695340501799E-2</v>
      </c>
      <c r="K474" t="s">
        <v>42</v>
      </c>
      <c r="L474" t="s">
        <v>52</v>
      </c>
      <c r="M474">
        <v>11</v>
      </c>
      <c r="N474" t="s">
        <v>58</v>
      </c>
    </row>
    <row r="475" spans="1:14" x14ac:dyDescent="0.3">
      <c r="A475" s="1">
        <v>44848</v>
      </c>
      <c r="B475" t="s">
        <v>28</v>
      </c>
      <c r="C475" t="s">
        <v>11</v>
      </c>
      <c r="D475" t="s">
        <v>12</v>
      </c>
      <c r="E475">
        <v>1</v>
      </c>
      <c r="F475">
        <v>243</v>
      </c>
      <c r="G475">
        <v>21.75</v>
      </c>
      <c r="H475">
        <v>2022</v>
      </c>
      <c r="I475" t="s">
        <v>14</v>
      </c>
      <c r="J475" s="4">
        <v>8.9506172839506196E-2</v>
      </c>
      <c r="K475" t="s">
        <v>42</v>
      </c>
      <c r="L475" t="s">
        <v>52</v>
      </c>
      <c r="M475">
        <v>10</v>
      </c>
      <c r="N475" t="s">
        <v>54</v>
      </c>
    </row>
    <row r="476" spans="1:14" x14ac:dyDescent="0.3">
      <c r="A476" s="1">
        <v>44889</v>
      </c>
      <c r="B476" t="s">
        <v>28</v>
      </c>
      <c r="C476" t="s">
        <v>11</v>
      </c>
      <c r="D476" t="s">
        <v>22</v>
      </c>
      <c r="E476">
        <v>6</v>
      </c>
      <c r="F476">
        <v>3504</v>
      </c>
      <c r="G476">
        <v>980.7</v>
      </c>
      <c r="H476">
        <v>2022</v>
      </c>
      <c r="I476" t="s">
        <v>18</v>
      </c>
      <c r="J476" s="4">
        <v>0.27988013698630099</v>
      </c>
      <c r="K476" t="s">
        <v>42</v>
      </c>
      <c r="L476" t="s">
        <v>52</v>
      </c>
      <c r="M476">
        <v>11</v>
      </c>
      <c r="N476" t="s">
        <v>58</v>
      </c>
    </row>
    <row r="477" spans="1:14" x14ac:dyDescent="0.3">
      <c r="A477" s="1">
        <v>44616</v>
      </c>
      <c r="B477" t="s">
        <v>28</v>
      </c>
      <c r="C477" t="s">
        <v>11</v>
      </c>
      <c r="D477" t="s">
        <v>19</v>
      </c>
      <c r="E477">
        <v>3</v>
      </c>
      <c r="F477">
        <v>1452</v>
      </c>
      <c r="G477">
        <v>217.06</v>
      </c>
      <c r="H477">
        <v>2022</v>
      </c>
      <c r="I477" t="s">
        <v>16</v>
      </c>
      <c r="J477" s="4">
        <v>0.14949035812672201</v>
      </c>
      <c r="K477" t="s">
        <v>42</v>
      </c>
      <c r="L477" t="s">
        <v>55</v>
      </c>
      <c r="M477">
        <v>2</v>
      </c>
      <c r="N477" t="s">
        <v>57</v>
      </c>
    </row>
    <row r="478" spans="1:14" x14ac:dyDescent="0.3">
      <c r="A478" s="1">
        <v>44884</v>
      </c>
      <c r="B478" t="s">
        <v>28</v>
      </c>
      <c r="C478" t="s">
        <v>11</v>
      </c>
      <c r="D478" t="s">
        <v>19</v>
      </c>
      <c r="E478">
        <v>1</v>
      </c>
      <c r="F478">
        <v>379</v>
      </c>
      <c r="G478">
        <v>42.24</v>
      </c>
      <c r="H478">
        <v>2022</v>
      </c>
      <c r="I478" t="s">
        <v>18</v>
      </c>
      <c r="J478" s="4">
        <v>0.111451187335092</v>
      </c>
      <c r="K478" t="s">
        <v>42</v>
      </c>
      <c r="L478" t="s">
        <v>52</v>
      </c>
      <c r="M478">
        <v>11</v>
      </c>
      <c r="N478" t="s">
        <v>58</v>
      </c>
    </row>
    <row r="479" spans="1:14" x14ac:dyDescent="0.3">
      <c r="A479" s="1">
        <v>44664</v>
      </c>
      <c r="B479" t="s">
        <v>28</v>
      </c>
      <c r="C479" t="s">
        <v>11</v>
      </c>
      <c r="D479" t="s">
        <v>17</v>
      </c>
      <c r="E479">
        <v>2</v>
      </c>
      <c r="F479">
        <v>1756</v>
      </c>
      <c r="G479">
        <v>165.6</v>
      </c>
      <c r="H479">
        <v>2022</v>
      </c>
      <c r="I479" t="s">
        <v>23</v>
      </c>
      <c r="J479" s="4">
        <v>9.4305239179954398E-2</v>
      </c>
      <c r="K479" t="s">
        <v>42</v>
      </c>
      <c r="L479" t="s">
        <v>59</v>
      </c>
      <c r="M479">
        <v>4</v>
      </c>
      <c r="N479" t="s">
        <v>62</v>
      </c>
    </row>
    <row r="480" spans="1:14" x14ac:dyDescent="0.3">
      <c r="A480" s="1">
        <v>44599</v>
      </c>
      <c r="B480" t="s">
        <v>28</v>
      </c>
      <c r="C480" t="s">
        <v>11</v>
      </c>
      <c r="D480" t="s">
        <v>17</v>
      </c>
      <c r="E480">
        <v>3</v>
      </c>
      <c r="F480">
        <v>531</v>
      </c>
      <c r="G480">
        <v>73.349999999999994</v>
      </c>
      <c r="H480">
        <v>2022</v>
      </c>
      <c r="I480" t="s">
        <v>16</v>
      </c>
      <c r="J480" s="4">
        <v>0.138135593220339</v>
      </c>
      <c r="K480" t="s">
        <v>42</v>
      </c>
      <c r="L480" t="s">
        <v>55</v>
      </c>
      <c r="M480">
        <v>2</v>
      </c>
      <c r="N480" t="s">
        <v>57</v>
      </c>
    </row>
    <row r="481" spans="1:14" x14ac:dyDescent="0.3">
      <c r="A481" s="1">
        <v>44736</v>
      </c>
      <c r="B481" t="s">
        <v>28</v>
      </c>
      <c r="C481" t="s">
        <v>11</v>
      </c>
      <c r="D481" t="s">
        <v>12</v>
      </c>
      <c r="E481">
        <v>2</v>
      </c>
      <c r="F481">
        <v>2314</v>
      </c>
      <c r="G481">
        <v>600.76</v>
      </c>
      <c r="H481">
        <v>2022</v>
      </c>
      <c r="I481" t="s">
        <v>27</v>
      </c>
      <c r="J481" s="4">
        <v>0.25961970613655999</v>
      </c>
      <c r="K481" t="s">
        <v>42</v>
      </c>
      <c r="L481" t="s">
        <v>59</v>
      </c>
      <c r="M481">
        <v>6</v>
      </c>
      <c r="N481" t="s">
        <v>66</v>
      </c>
    </row>
    <row r="482" spans="1:14" x14ac:dyDescent="0.3">
      <c r="A482" s="1">
        <v>44740</v>
      </c>
      <c r="B482" t="s">
        <v>28</v>
      </c>
      <c r="C482" t="s">
        <v>11</v>
      </c>
      <c r="D482" t="s">
        <v>12</v>
      </c>
      <c r="E482">
        <v>5</v>
      </c>
      <c r="F482">
        <v>990</v>
      </c>
      <c r="G482">
        <v>87.61</v>
      </c>
      <c r="H482">
        <v>2022</v>
      </c>
      <c r="I482" t="s">
        <v>27</v>
      </c>
      <c r="J482" s="4">
        <v>8.8494949494949501E-2</v>
      </c>
      <c r="K482" t="s">
        <v>42</v>
      </c>
      <c r="L482" t="s">
        <v>59</v>
      </c>
      <c r="M482">
        <v>6</v>
      </c>
      <c r="N482" t="s">
        <v>66</v>
      </c>
    </row>
    <row r="483" spans="1:14" x14ac:dyDescent="0.3">
      <c r="A483" s="1">
        <v>45125</v>
      </c>
      <c r="B483" t="s">
        <v>28</v>
      </c>
      <c r="C483" t="s">
        <v>11</v>
      </c>
      <c r="D483" t="s">
        <v>17</v>
      </c>
      <c r="E483">
        <v>3</v>
      </c>
      <c r="F483">
        <v>2739</v>
      </c>
      <c r="G483">
        <v>572.73</v>
      </c>
      <c r="H483">
        <v>2023</v>
      </c>
      <c r="I483" t="s">
        <v>25</v>
      </c>
      <c r="J483" s="4">
        <v>0.20910186199342801</v>
      </c>
      <c r="K483" t="s">
        <v>40</v>
      </c>
      <c r="L483" t="s">
        <v>60</v>
      </c>
      <c r="M483">
        <v>7</v>
      </c>
      <c r="N483" t="s">
        <v>64</v>
      </c>
    </row>
    <row r="484" spans="1:14" x14ac:dyDescent="0.3">
      <c r="A484" s="1">
        <v>45121</v>
      </c>
      <c r="B484" t="s">
        <v>28</v>
      </c>
      <c r="C484" t="s">
        <v>11</v>
      </c>
      <c r="D484" t="s">
        <v>17</v>
      </c>
      <c r="E484">
        <v>1</v>
      </c>
      <c r="F484">
        <v>851</v>
      </c>
      <c r="G484">
        <v>93.56</v>
      </c>
      <c r="H484">
        <v>2023</v>
      </c>
      <c r="I484" t="s">
        <v>25</v>
      </c>
      <c r="J484" s="4">
        <v>0.10994124559342</v>
      </c>
      <c r="K484" t="s">
        <v>40</v>
      </c>
      <c r="L484" t="s">
        <v>60</v>
      </c>
      <c r="M484">
        <v>7</v>
      </c>
      <c r="N484" t="s">
        <v>64</v>
      </c>
    </row>
    <row r="485" spans="1:14" x14ac:dyDescent="0.3">
      <c r="A485" s="1">
        <v>45077</v>
      </c>
      <c r="B485" t="s">
        <v>28</v>
      </c>
      <c r="C485" t="s">
        <v>11</v>
      </c>
      <c r="D485" t="s">
        <v>12</v>
      </c>
      <c r="E485">
        <v>1</v>
      </c>
      <c r="F485">
        <v>1065</v>
      </c>
      <c r="G485">
        <v>228.63</v>
      </c>
      <c r="H485">
        <v>2023</v>
      </c>
      <c r="I485" t="s">
        <v>20</v>
      </c>
      <c r="J485" s="4">
        <v>0.214676056338028</v>
      </c>
      <c r="K485" t="s">
        <v>40</v>
      </c>
      <c r="L485" t="s">
        <v>59</v>
      </c>
      <c r="M485">
        <v>5</v>
      </c>
      <c r="N485" t="s">
        <v>20</v>
      </c>
    </row>
    <row r="486" spans="1:14" x14ac:dyDescent="0.3">
      <c r="A486" s="1">
        <v>45229</v>
      </c>
      <c r="B486" t="s">
        <v>28</v>
      </c>
      <c r="C486" t="s">
        <v>11</v>
      </c>
      <c r="D486" t="s">
        <v>17</v>
      </c>
      <c r="E486">
        <v>8</v>
      </c>
      <c r="F486">
        <v>3256</v>
      </c>
      <c r="G486">
        <v>533.70000000000005</v>
      </c>
      <c r="H486">
        <v>2023</v>
      </c>
      <c r="I486" t="s">
        <v>14</v>
      </c>
      <c r="J486" s="4">
        <v>0.16391277641277599</v>
      </c>
      <c r="K486" t="s">
        <v>40</v>
      </c>
      <c r="L486" t="s">
        <v>52</v>
      </c>
      <c r="M486">
        <v>10</v>
      </c>
      <c r="N486" t="s">
        <v>54</v>
      </c>
    </row>
    <row r="487" spans="1:14" x14ac:dyDescent="0.3">
      <c r="A487" s="1">
        <v>45036</v>
      </c>
      <c r="B487" t="s">
        <v>28</v>
      </c>
      <c r="C487" t="s">
        <v>11</v>
      </c>
      <c r="D487" t="s">
        <v>22</v>
      </c>
      <c r="E487">
        <v>6</v>
      </c>
      <c r="F487">
        <v>2610</v>
      </c>
      <c r="G487">
        <v>434.37</v>
      </c>
      <c r="H487">
        <v>2023</v>
      </c>
      <c r="I487" t="s">
        <v>23</v>
      </c>
      <c r="J487" s="4">
        <v>0.166425287356322</v>
      </c>
      <c r="K487" t="s">
        <v>40</v>
      </c>
      <c r="L487" t="s">
        <v>59</v>
      </c>
      <c r="M487">
        <v>4</v>
      </c>
      <c r="N487" t="s">
        <v>62</v>
      </c>
    </row>
    <row r="488" spans="1:14" x14ac:dyDescent="0.3">
      <c r="A488" s="1">
        <v>45250</v>
      </c>
      <c r="B488" t="s">
        <v>28</v>
      </c>
      <c r="C488" t="s">
        <v>11</v>
      </c>
      <c r="D488" t="s">
        <v>12</v>
      </c>
      <c r="E488">
        <v>2</v>
      </c>
      <c r="F488">
        <v>2244</v>
      </c>
      <c r="G488">
        <v>212.08</v>
      </c>
      <c r="H488">
        <v>2023</v>
      </c>
      <c r="I488" t="s">
        <v>18</v>
      </c>
      <c r="J488" s="4">
        <v>9.4509803921568603E-2</v>
      </c>
      <c r="K488" t="s">
        <v>40</v>
      </c>
      <c r="L488" t="s">
        <v>52</v>
      </c>
      <c r="M488">
        <v>11</v>
      </c>
      <c r="N488" t="s">
        <v>58</v>
      </c>
    </row>
    <row r="489" spans="1:14" x14ac:dyDescent="0.3">
      <c r="A489" s="1">
        <v>45271</v>
      </c>
      <c r="B489" t="s">
        <v>28</v>
      </c>
      <c r="C489" t="s">
        <v>11</v>
      </c>
      <c r="D489" t="s">
        <v>19</v>
      </c>
      <c r="E489">
        <v>5</v>
      </c>
      <c r="F489">
        <v>550</v>
      </c>
      <c r="G489">
        <v>63.11</v>
      </c>
      <c r="H489">
        <v>2023</v>
      </c>
      <c r="I489" t="s">
        <v>13</v>
      </c>
      <c r="J489" s="4">
        <v>0.114745454545455</v>
      </c>
      <c r="K489" t="s">
        <v>40</v>
      </c>
      <c r="L489" t="s">
        <v>52</v>
      </c>
      <c r="M489">
        <v>12</v>
      </c>
      <c r="N489" t="s">
        <v>53</v>
      </c>
    </row>
    <row r="490" spans="1:14" x14ac:dyDescent="0.3">
      <c r="A490" s="1">
        <v>45150</v>
      </c>
      <c r="B490" t="s">
        <v>28</v>
      </c>
      <c r="C490" t="s">
        <v>11</v>
      </c>
      <c r="D490" t="s">
        <v>17</v>
      </c>
      <c r="E490">
        <v>5</v>
      </c>
      <c r="F490">
        <v>655</v>
      </c>
      <c r="G490">
        <v>166.69</v>
      </c>
      <c r="H490">
        <v>2023</v>
      </c>
      <c r="I490" t="s">
        <v>24</v>
      </c>
      <c r="J490" s="4">
        <v>0.25448854961832101</v>
      </c>
      <c r="K490" t="s">
        <v>40</v>
      </c>
      <c r="L490" t="s">
        <v>60</v>
      </c>
      <c r="M490">
        <v>8</v>
      </c>
      <c r="N490" t="s">
        <v>63</v>
      </c>
    </row>
    <row r="491" spans="1:14" x14ac:dyDescent="0.3">
      <c r="A491" s="1">
        <v>45265</v>
      </c>
      <c r="B491" t="s">
        <v>28</v>
      </c>
      <c r="C491" t="s">
        <v>11</v>
      </c>
      <c r="D491" t="s">
        <v>19</v>
      </c>
      <c r="E491">
        <v>8</v>
      </c>
      <c r="F491">
        <v>2072</v>
      </c>
      <c r="G491">
        <v>555.05999999999995</v>
      </c>
      <c r="H491">
        <v>2023</v>
      </c>
      <c r="I491" t="s">
        <v>13</v>
      </c>
      <c r="J491" s="4">
        <v>0.2678861003861</v>
      </c>
      <c r="K491" t="s">
        <v>40</v>
      </c>
      <c r="L491" t="s">
        <v>52</v>
      </c>
      <c r="M491">
        <v>12</v>
      </c>
      <c r="N491" t="s">
        <v>53</v>
      </c>
    </row>
    <row r="492" spans="1:14" x14ac:dyDescent="0.3">
      <c r="A492" s="1">
        <v>44958</v>
      </c>
      <c r="B492" t="s">
        <v>28</v>
      </c>
      <c r="C492" t="s">
        <v>11</v>
      </c>
      <c r="D492" t="s">
        <v>17</v>
      </c>
      <c r="E492">
        <v>7</v>
      </c>
      <c r="F492">
        <v>5509</v>
      </c>
      <c r="G492">
        <v>1648.74</v>
      </c>
      <c r="H492">
        <v>2023</v>
      </c>
      <c r="I492" t="s">
        <v>16</v>
      </c>
      <c r="J492" s="4">
        <v>0.29928117625703399</v>
      </c>
      <c r="K492" t="s">
        <v>40</v>
      </c>
      <c r="L492" t="s">
        <v>55</v>
      </c>
      <c r="M492">
        <v>2</v>
      </c>
      <c r="N492" t="s">
        <v>57</v>
      </c>
    </row>
    <row r="493" spans="1:14" x14ac:dyDescent="0.3">
      <c r="A493" s="1">
        <v>45149</v>
      </c>
      <c r="B493" t="s">
        <v>28</v>
      </c>
      <c r="C493" t="s">
        <v>11</v>
      </c>
      <c r="D493" t="s">
        <v>19</v>
      </c>
      <c r="E493">
        <v>2</v>
      </c>
      <c r="F493">
        <v>704</v>
      </c>
      <c r="G493">
        <v>135.63</v>
      </c>
      <c r="H493">
        <v>2023</v>
      </c>
      <c r="I493" t="s">
        <v>24</v>
      </c>
      <c r="J493" s="4">
        <v>0.19265625</v>
      </c>
      <c r="K493" t="s">
        <v>40</v>
      </c>
      <c r="L493" t="s">
        <v>60</v>
      </c>
      <c r="M493">
        <v>8</v>
      </c>
      <c r="N493" t="s">
        <v>63</v>
      </c>
    </row>
    <row r="494" spans="1:14" x14ac:dyDescent="0.3">
      <c r="A494" s="1">
        <v>45243</v>
      </c>
      <c r="B494" t="s">
        <v>28</v>
      </c>
      <c r="C494" t="s">
        <v>11</v>
      </c>
      <c r="D494" t="s">
        <v>12</v>
      </c>
      <c r="E494">
        <v>8</v>
      </c>
      <c r="F494">
        <v>3416</v>
      </c>
      <c r="G494">
        <v>478.9</v>
      </c>
      <c r="H494">
        <v>2023</v>
      </c>
      <c r="I494" t="s">
        <v>18</v>
      </c>
      <c r="J494" s="4">
        <v>0.14019320843091301</v>
      </c>
      <c r="K494" t="s">
        <v>40</v>
      </c>
      <c r="L494" t="s">
        <v>52</v>
      </c>
      <c r="M494">
        <v>11</v>
      </c>
      <c r="N494" t="s">
        <v>58</v>
      </c>
    </row>
    <row r="495" spans="1:14" x14ac:dyDescent="0.3">
      <c r="A495" s="1">
        <v>45002</v>
      </c>
      <c r="B495" t="s">
        <v>28</v>
      </c>
      <c r="C495" t="s">
        <v>11</v>
      </c>
      <c r="D495" t="s">
        <v>22</v>
      </c>
      <c r="E495">
        <v>9</v>
      </c>
      <c r="F495">
        <v>5751</v>
      </c>
      <c r="G495">
        <v>1196.23</v>
      </c>
      <c r="H495">
        <v>2023</v>
      </c>
      <c r="I495" t="s">
        <v>15</v>
      </c>
      <c r="J495" s="4">
        <v>0.20800382542166601</v>
      </c>
      <c r="K495" t="s">
        <v>40</v>
      </c>
      <c r="L495" t="s">
        <v>55</v>
      </c>
      <c r="M495">
        <v>3</v>
      </c>
      <c r="N495" t="s">
        <v>56</v>
      </c>
    </row>
    <row r="496" spans="1:14" x14ac:dyDescent="0.3">
      <c r="A496" s="1">
        <v>45247</v>
      </c>
      <c r="B496" t="s">
        <v>28</v>
      </c>
      <c r="C496" t="s">
        <v>11</v>
      </c>
      <c r="D496" t="s">
        <v>17</v>
      </c>
      <c r="E496">
        <v>9</v>
      </c>
      <c r="F496">
        <v>7551</v>
      </c>
      <c r="G496">
        <v>894.4</v>
      </c>
      <c r="H496">
        <v>2023</v>
      </c>
      <c r="I496" t="s">
        <v>18</v>
      </c>
      <c r="J496" s="4">
        <v>0.11844788769699401</v>
      </c>
      <c r="K496" t="s">
        <v>40</v>
      </c>
      <c r="L496" t="s">
        <v>52</v>
      </c>
      <c r="M496">
        <v>11</v>
      </c>
      <c r="N496" t="s">
        <v>58</v>
      </c>
    </row>
    <row r="497" spans="1:14" x14ac:dyDescent="0.3">
      <c r="A497" s="1">
        <v>45199</v>
      </c>
      <c r="B497" t="s">
        <v>28</v>
      </c>
      <c r="C497" t="s">
        <v>11</v>
      </c>
      <c r="D497" t="s">
        <v>19</v>
      </c>
      <c r="E497">
        <v>5</v>
      </c>
      <c r="F497">
        <v>2025</v>
      </c>
      <c r="G497">
        <v>168.82</v>
      </c>
      <c r="H497">
        <v>2023</v>
      </c>
      <c r="I497" t="s">
        <v>21</v>
      </c>
      <c r="J497" s="4">
        <v>8.3367901234567901E-2</v>
      </c>
      <c r="K497" t="s">
        <v>40</v>
      </c>
      <c r="L497" t="s">
        <v>60</v>
      </c>
      <c r="M497">
        <v>9</v>
      </c>
      <c r="N497" t="s">
        <v>61</v>
      </c>
    </row>
    <row r="498" spans="1:14" x14ac:dyDescent="0.3">
      <c r="A498" s="1">
        <v>45090</v>
      </c>
      <c r="B498" t="s">
        <v>28</v>
      </c>
      <c r="C498" t="s">
        <v>11</v>
      </c>
      <c r="D498" t="s">
        <v>22</v>
      </c>
      <c r="E498">
        <v>9</v>
      </c>
      <c r="F498">
        <v>4248</v>
      </c>
      <c r="G498">
        <v>964.12</v>
      </c>
      <c r="H498">
        <v>2023</v>
      </c>
      <c r="I498" t="s">
        <v>27</v>
      </c>
      <c r="J498" s="4">
        <v>0.22695856873823</v>
      </c>
      <c r="K498" t="s">
        <v>40</v>
      </c>
      <c r="L498" t="s">
        <v>59</v>
      </c>
      <c r="M498">
        <v>6</v>
      </c>
      <c r="N498" t="s">
        <v>66</v>
      </c>
    </row>
    <row r="499" spans="1:14" x14ac:dyDescent="0.3">
      <c r="A499" s="1">
        <v>45162</v>
      </c>
      <c r="B499" t="s">
        <v>28</v>
      </c>
      <c r="C499" t="s">
        <v>11</v>
      </c>
      <c r="D499" t="s">
        <v>19</v>
      </c>
      <c r="E499">
        <v>4</v>
      </c>
      <c r="F499">
        <v>1104</v>
      </c>
      <c r="G499">
        <v>84.31</v>
      </c>
      <c r="H499">
        <v>2023</v>
      </c>
      <c r="I499" t="s">
        <v>24</v>
      </c>
      <c r="J499" s="4">
        <v>7.63677536231884E-2</v>
      </c>
      <c r="K499" t="s">
        <v>40</v>
      </c>
      <c r="L499" t="s">
        <v>60</v>
      </c>
      <c r="M499">
        <v>8</v>
      </c>
      <c r="N499" t="s">
        <v>63</v>
      </c>
    </row>
    <row r="500" spans="1:14" x14ac:dyDescent="0.3">
      <c r="A500" s="1">
        <v>45181</v>
      </c>
      <c r="B500" t="s">
        <v>28</v>
      </c>
      <c r="C500" t="s">
        <v>11</v>
      </c>
      <c r="D500" t="s">
        <v>12</v>
      </c>
      <c r="E500">
        <v>6</v>
      </c>
      <c r="F500">
        <v>5592</v>
      </c>
      <c r="G500">
        <v>926.42</v>
      </c>
      <c r="H500">
        <v>2023</v>
      </c>
      <c r="I500" t="s">
        <v>21</v>
      </c>
      <c r="J500" s="4">
        <v>0.16566881258941299</v>
      </c>
      <c r="K500" t="s">
        <v>40</v>
      </c>
      <c r="L500" t="s">
        <v>60</v>
      </c>
      <c r="M500">
        <v>9</v>
      </c>
      <c r="N500" t="s">
        <v>61</v>
      </c>
    </row>
    <row r="501" spans="1:14" x14ac:dyDescent="0.3">
      <c r="A501" s="1">
        <v>45026</v>
      </c>
      <c r="B501" t="s">
        <v>28</v>
      </c>
      <c r="C501" t="s">
        <v>11</v>
      </c>
      <c r="D501" t="s">
        <v>12</v>
      </c>
      <c r="E501">
        <v>6</v>
      </c>
      <c r="F501">
        <v>1008</v>
      </c>
      <c r="G501">
        <v>245.45</v>
      </c>
      <c r="H501">
        <v>2023</v>
      </c>
      <c r="I501" t="s">
        <v>23</v>
      </c>
      <c r="J501" s="4">
        <v>0.24350198412698401</v>
      </c>
      <c r="K501" t="s">
        <v>40</v>
      </c>
      <c r="L501" t="s">
        <v>59</v>
      </c>
      <c r="M501">
        <v>4</v>
      </c>
      <c r="N501" t="s">
        <v>62</v>
      </c>
    </row>
    <row r="502" spans="1:14" x14ac:dyDescent="0.3">
      <c r="A502" s="1">
        <v>45226</v>
      </c>
      <c r="B502" t="s">
        <v>28</v>
      </c>
      <c r="C502" t="s">
        <v>11</v>
      </c>
      <c r="D502" t="s">
        <v>17</v>
      </c>
      <c r="E502">
        <v>6</v>
      </c>
      <c r="F502">
        <v>1344</v>
      </c>
      <c r="G502">
        <v>338.4</v>
      </c>
      <c r="H502">
        <v>2023</v>
      </c>
      <c r="I502" t="s">
        <v>14</v>
      </c>
      <c r="J502" s="4">
        <v>0.251785714285714</v>
      </c>
      <c r="K502" t="s">
        <v>40</v>
      </c>
      <c r="L502" t="s">
        <v>52</v>
      </c>
      <c r="M502">
        <v>10</v>
      </c>
      <c r="N502" t="s">
        <v>54</v>
      </c>
    </row>
    <row r="503" spans="1:14" x14ac:dyDescent="0.3">
      <c r="A503" s="1">
        <v>44997</v>
      </c>
      <c r="B503" t="s">
        <v>28</v>
      </c>
      <c r="C503" t="s">
        <v>11</v>
      </c>
      <c r="D503" t="s">
        <v>19</v>
      </c>
      <c r="E503">
        <v>6</v>
      </c>
      <c r="F503">
        <v>3324</v>
      </c>
      <c r="G503">
        <v>466.78</v>
      </c>
      <c r="H503">
        <v>2023</v>
      </c>
      <c r="I503" t="s">
        <v>15</v>
      </c>
      <c r="J503" s="4">
        <v>0.140427196149218</v>
      </c>
      <c r="K503" t="s">
        <v>40</v>
      </c>
      <c r="L503" t="s">
        <v>55</v>
      </c>
      <c r="M503">
        <v>3</v>
      </c>
      <c r="N503" t="s">
        <v>56</v>
      </c>
    </row>
    <row r="504" spans="1:14" x14ac:dyDescent="0.3">
      <c r="A504" s="1">
        <v>45289</v>
      </c>
      <c r="B504" t="s">
        <v>28</v>
      </c>
      <c r="C504" t="s">
        <v>11</v>
      </c>
      <c r="D504" t="s">
        <v>19</v>
      </c>
      <c r="E504">
        <v>1</v>
      </c>
      <c r="F504">
        <v>723</v>
      </c>
      <c r="G504">
        <v>115.26</v>
      </c>
      <c r="H504">
        <v>2023</v>
      </c>
      <c r="I504" t="s">
        <v>13</v>
      </c>
      <c r="J504" s="4">
        <v>0.15941908713692901</v>
      </c>
      <c r="K504" t="s">
        <v>40</v>
      </c>
      <c r="L504" t="s">
        <v>52</v>
      </c>
      <c r="M504">
        <v>12</v>
      </c>
      <c r="N504" t="s">
        <v>53</v>
      </c>
    </row>
    <row r="505" spans="1:14" x14ac:dyDescent="0.3">
      <c r="A505" s="1">
        <v>45242</v>
      </c>
      <c r="B505" t="s">
        <v>28</v>
      </c>
      <c r="C505" t="s">
        <v>11</v>
      </c>
      <c r="D505" t="s">
        <v>17</v>
      </c>
      <c r="E505">
        <v>1</v>
      </c>
      <c r="F505">
        <v>371</v>
      </c>
      <c r="G505">
        <v>108.58</v>
      </c>
      <c r="H505">
        <v>2023</v>
      </c>
      <c r="I505" t="s">
        <v>18</v>
      </c>
      <c r="J505" s="4">
        <v>0.29266846361186</v>
      </c>
      <c r="K505" t="s">
        <v>40</v>
      </c>
      <c r="L505" t="s">
        <v>52</v>
      </c>
      <c r="M505">
        <v>11</v>
      </c>
      <c r="N505" t="s">
        <v>58</v>
      </c>
    </row>
    <row r="506" spans="1:14" x14ac:dyDescent="0.3">
      <c r="A506" s="1">
        <v>45147</v>
      </c>
      <c r="B506" t="s">
        <v>28</v>
      </c>
      <c r="C506" t="s">
        <v>11</v>
      </c>
      <c r="D506" t="s">
        <v>22</v>
      </c>
      <c r="E506">
        <v>2</v>
      </c>
      <c r="F506">
        <v>514</v>
      </c>
      <c r="G506">
        <v>106.75</v>
      </c>
      <c r="H506">
        <v>2023</v>
      </c>
      <c r="I506" t="s">
        <v>24</v>
      </c>
      <c r="J506" s="4">
        <v>0.207684824902724</v>
      </c>
      <c r="K506" t="s">
        <v>40</v>
      </c>
      <c r="L506" t="s">
        <v>60</v>
      </c>
      <c r="M506">
        <v>8</v>
      </c>
      <c r="N506" t="s">
        <v>63</v>
      </c>
    </row>
    <row r="507" spans="1:14" x14ac:dyDescent="0.3">
      <c r="A507" s="1">
        <v>44938</v>
      </c>
      <c r="B507" t="s">
        <v>28</v>
      </c>
      <c r="C507" t="s">
        <v>11</v>
      </c>
      <c r="D507" t="s">
        <v>17</v>
      </c>
      <c r="E507">
        <v>3</v>
      </c>
      <c r="F507">
        <v>2727</v>
      </c>
      <c r="G507">
        <v>554.46</v>
      </c>
      <c r="H507">
        <v>2023</v>
      </c>
      <c r="I507" t="s">
        <v>26</v>
      </c>
      <c r="J507" s="4">
        <v>0.20332233223322299</v>
      </c>
      <c r="K507" t="s">
        <v>40</v>
      </c>
      <c r="L507" t="s">
        <v>55</v>
      </c>
      <c r="M507">
        <v>1</v>
      </c>
      <c r="N507" t="s">
        <v>65</v>
      </c>
    </row>
    <row r="508" spans="1:14" x14ac:dyDescent="0.3">
      <c r="A508" s="1">
        <v>44932</v>
      </c>
      <c r="B508" t="s">
        <v>28</v>
      </c>
      <c r="C508" t="s">
        <v>11</v>
      </c>
      <c r="D508" t="s">
        <v>22</v>
      </c>
      <c r="E508">
        <v>1</v>
      </c>
      <c r="F508">
        <v>563</v>
      </c>
      <c r="G508">
        <v>46.96</v>
      </c>
      <c r="H508">
        <v>2023</v>
      </c>
      <c r="I508" t="s">
        <v>26</v>
      </c>
      <c r="J508" s="4">
        <v>8.3410301953818794E-2</v>
      </c>
      <c r="K508" t="s">
        <v>40</v>
      </c>
      <c r="L508" t="s">
        <v>55</v>
      </c>
      <c r="M508">
        <v>1</v>
      </c>
      <c r="N508" t="s">
        <v>65</v>
      </c>
    </row>
    <row r="509" spans="1:14" x14ac:dyDescent="0.3">
      <c r="A509" s="1">
        <v>45115</v>
      </c>
      <c r="B509" t="s">
        <v>28</v>
      </c>
      <c r="C509" t="s">
        <v>11</v>
      </c>
      <c r="D509" t="s">
        <v>19</v>
      </c>
      <c r="E509">
        <v>8</v>
      </c>
      <c r="F509">
        <v>7152</v>
      </c>
      <c r="G509">
        <v>1539.72</v>
      </c>
      <c r="H509">
        <v>2023</v>
      </c>
      <c r="I509" t="s">
        <v>25</v>
      </c>
      <c r="J509" s="4">
        <v>0.21528523489932899</v>
      </c>
      <c r="K509" t="s">
        <v>40</v>
      </c>
      <c r="L509" t="s">
        <v>60</v>
      </c>
      <c r="M509">
        <v>7</v>
      </c>
      <c r="N509" t="s">
        <v>64</v>
      </c>
    </row>
    <row r="510" spans="1:14" x14ac:dyDescent="0.3">
      <c r="A510" s="1">
        <v>45143</v>
      </c>
      <c r="B510" t="s">
        <v>28</v>
      </c>
      <c r="C510" t="s">
        <v>11</v>
      </c>
      <c r="D510" t="s">
        <v>12</v>
      </c>
      <c r="E510">
        <v>7</v>
      </c>
      <c r="F510">
        <v>8141</v>
      </c>
      <c r="G510">
        <v>767.6</v>
      </c>
      <c r="H510">
        <v>2023</v>
      </c>
      <c r="I510" t="s">
        <v>24</v>
      </c>
      <c r="J510" s="4">
        <v>9.4288170986365299E-2</v>
      </c>
      <c r="K510" t="s">
        <v>40</v>
      </c>
      <c r="L510" t="s">
        <v>60</v>
      </c>
      <c r="M510">
        <v>8</v>
      </c>
      <c r="N510" t="s">
        <v>63</v>
      </c>
    </row>
    <row r="511" spans="1:14" x14ac:dyDescent="0.3">
      <c r="A511" s="1">
        <v>45161</v>
      </c>
      <c r="B511" t="s">
        <v>28</v>
      </c>
      <c r="C511" t="s">
        <v>11</v>
      </c>
      <c r="D511" t="s">
        <v>12</v>
      </c>
      <c r="E511">
        <v>9</v>
      </c>
      <c r="F511">
        <v>7245</v>
      </c>
      <c r="G511">
        <v>1410.92</v>
      </c>
      <c r="H511">
        <v>2023</v>
      </c>
      <c r="I511" t="s">
        <v>24</v>
      </c>
      <c r="J511" s="4">
        <v>0.19474396135265701</v>
      </c>
      <c r="K511" t="s">
        <v>40</v>
      </c>
      <c r="L511" t="s">
        <v>60</v>
      </c>
      <c r="M511">
        <v>8</v>
      </c>
      <c r="N511" t="s">
        <v>63</v>
      </c>
    </row>
    <row r="512" spans="1:14" x14ac:dyDescent="0.3">
      <c r="A512" s="1">
        <v>45254</v>
      </c>
      <c r="B512" t="s">
        <v>28</v>
      </c>
      <c r="C512" t="s">
        <v>11</v>
      </c>
      <c r="D512" t="s">
        <v>19</v>
      </c>
      <c r="E512">
        <v>1</v>
      </c>
      <c r="F512">
        <v>584</v>
      </c>
      <c r="G512">
        <v>172.4</v>
      </c>
      <c r="H512">
        <v>2023</v>
      </c>
      <c r="I512" t="s">
        <v>18</v>
      </c>
      <c r="J512" s="4">
        <v>0.295205479452055</v>
      </c>
      <c r="K512" t="s">
        <v>40</v>
      </c>
      <c r="L512" t="s">
        <v>52</v>
      </c>
      <c r="M512">
        <v>11</v>
      </c>
      <c r="N512" t="s">
        <v>58</v>
      </c>
    </row>
    <row r="513" spans="1:14" x14ac:dyDescent="0.3">
      <c r="A513" s="1">
        <v>45011</v>
      </c>
      <c r="B513" t="s">
        <v>28</v>
      </c>
      <c r="C513" t="s">
        <v>11</v>
      </c>
      <c r="D513" t="s">
        <v>17</v>
      </c>
      <c r="E513">
        <v>1</v>
      </c>
      <c r="F513">
        <v>387</v>
      </c>
      <c r="G513">
        <v>99.59</v>
      </c>
      <c r="H513">
        <v>2023</v>
      </c>
      <c r="I513" t="s">
        <v>15</v>
      </c>
      <c r="J513" s="4">
        <v>0.25733850129198999</v>
      </c>
      <c r="K513" t="s">
        <v>40</v>
      </c>
      <c r="L513" t="s">
        <v>55</v>
      </c>
      <c r="M513">
        <v>3</v>
      </c>
      <c r="N513" t="s">
        <v>56</v>
      </c>
    </row>
    <row r="514" spans="1:14" x14ac:dyDescent="0.3">
      <c r="A514" s="1">
        <v>45149</v>
      </c>
      <c r="B514" t="s">
        <v>28</v>
      </c>
      <c r="C514" t="s">
        <v>11</v>
      </c>
      <c r="D514" t="s">
        <v>17</v>
      </c>
      <c r="E514">
        <v>3</v>
      </c>
      <c r="F514">
        <v>966</v>
      </c>
      <c r="G514">
        <v>120.56</v>
      </c>
      <c r="H514">
        <v>2023</v>
      </c>
      <c r="I514" t="s">
        <v>24</v>
      </c>
      <c r="J514" s="4">
        <v>0.1248033126294</v>
      </c>
      <c r="K514" t="s">
        <v>40</v>
      </c>
      <c r="L514" t="s">
        <v>60</v>
      </c>
      <c r="M514">
        <v>8</v>
      </c>
      <c r="N514" t="s">
        <v>63</v>
      </c>
    </row>
    <row r="515" spans="1:14" x14ac:dyDescent="0.3">
      <c r="A515" s="1">
        <v>44939</v>
      </c>
      <c r="B515" t="s">
        <v>28</v>
      </c>
      <c r="C515" t="s">
        <v>11</v>
      </c>
      <c r="D515" t="s">
        <v>22</v>
      </c>
      <c r="E515">
        <v>6</v>
      </c>
      <c r="F515">
        <v>810</v>
      </c>
      <c r="G515">
        <v>108.61</v>
      </c>
      <c r="H515">
        <v>2023</v>
      </c>
      <c r="I515" t="s">
        <v>26</v>
      </c>
      <c r="J515" s="4">
        <v>0.13408641975308599</v>
      </c>
      <c r="K515" t="s">
        <v>40</v>
      </c>
      <c r="L515" t="s">
        <v>55</v>
      </c>
      <c r="M515">
        <v>1</v>
      </c>
      <c r="N515" t="s">
        <v>65</v>
      </c>
    </row>
    <row r="516" spans="1:14" x14ac:dyDescent="0.3">
      <c r="A516" s="1">
        <v>45155</v>
      </c>
      <c r="B516" t="s">
        <v>28</v>
      </c>
      <c r="C516" t="s">
        <v>11</v>
      </c>
      <c r="D516" t="s">
        <v>17</v>
      </c>
      <c r="E516">
        <v>2</v>
      </c>
      <c r="F516">
        <v>2040</v>
      </c>
      <c r="G516">
        <v>481.15</v>
      </c>
      <c r="H516">
        <v>2023</v>
      </c>
      <c r="I516" t="s">
        <v>24</v>
      </c>
      <c r="J516" s="4">
        <v>0.235857843137255</v>
      </c>
      <c r="K516" t="s">
        <v>40</v>
      </c>
      <c r="L516" t="s">
        <v>60</v>
      </c>
      <c r="M516">
        <v>8</v>
      </c>
      <c r="N516" t="s">
        <v>63</v>
      </c>
    </row>
    <row r="517" spans="1:14" x14ac:dyDescent="0.3">
      <c r="A517" s="1">
        <v>45085</v>
      </c>
      <c r="B517" t="s">
        <v>28</v>
      </c>
      <c r="C517" t="s">
        <v>11</v>
      </c>
      <c r="D517" t="s">
        <v>17</v>
      </c>
      <c r="E517">
        <v>5</v>
      </c>
      <c r="F517">
        <v>1525</v>
      </c>
      <c r="G517">
        <v>413.75</v>
      </c>
      <c r="H517">
        <v>2023</v>
      </c>
      <c r="I517" t="s">
        <v>27</v>
      </c>
      <c r="J517" s="4">
        <v>0.27131147540983602</v>
      </c>
      <c r="K517" t="s">
        <v>40</v>
      </c>
      <c r="L517" t="s">
        <v>59</v>
      </c>
      <c r="M517">
        <v>6</v>
      </c>
      <c r="N517" t="s">
        <v>66</v>
      </c>
    </row>
    <row r="518" spans="1:14" x14ac:dyDescent="0.3">
      <c r="A518" s="1">
        <v>45165</v>
      </c>
      <c r="B518" t="s">
        <v>28</v>
      </c>
      <c r="C518" t="s">
        <v>11</v>
      </c>
      <c r="D518" t="s">
        <v>17</v>
      </c>
      <c r="E518">
        <v>6</v>
      </c>
      <c r="F518">
        <v>4440</v>
      </c>
      <c r="G518">
        <v>800.92</v>
      </c>
      <c r="H518">
        <v>2023</v>
      </c>
      <c r="I518" t="s">
        <v>24</v>
      </c>
      <c r="J518" s="4">
        <v>0.18038738738738699</v>
      </c>
      <c r="K518" t="s">
        <v>40</v>
      </c>
      <c r="L518" t="s">
        <v>60</v>
      </c>
      <c r="M518">
        <v>8</v>
      </c>
      <c r="N518" t="s">
        <v>63</v>
      </c>
    </row>
    <row r="519" spans="1:14" x14ac:dyDescent="0.3">
      <c r="A519" s="1">
        <v>45200</v>
      </c>
      <c r="B519" t="s">
        <v>28</v>
      </c>
      <c r="C519" t="s">
        <v>11</v>
      </c>
      <c r="D519" t="s">
        <v>17</v>
      </c>
      <c r="E519">
        <v>5</v>
      </c>
      <c r="F519">
        <v>3970</v>
      </c>
      <c r="G519">
        <v>642.70000000000005</v>
      </c>
      <c r="H519">
        <v>2023</v>
      </c>
      <c r="I519" t="s">
        <v>14</v>
      </c>
      <c r="J519" s="4">
        <v>0.161889168765743</v>
      </c>
      <c r="K519" t="s">
        <v>40</v>
      </c>
      <c r="L519" t="s">
        <v>52</v>
      </c>
      <c r="M519">
        <v>10</v>
      </c>
      <c r="N519" t="s">
        <v>54</v>
      </c>
    </row>
    <row r="520" spans="1:14" x14ac:dyDescent="0.3">
      <c r="A520" s="1">
        <v>45014</v>
      </c>
      <c r="B520" t="s">
        <v>28</v>
      </c>
      <c r="C520" t="s">
        <v>11</v>
      </c>
      <c r="D520" t="s">
        <v>19</v>
      </c>
      <c r="E520">
        <v>7</v>
      </c>
      <c r="F520">
        <v>4298</v>
      </c>
      <c r="G520">
        <v>358.38</v>
      </c>
      <c r="H520">
        <v>2023</v>
      </c>
      <c r="I520" t="s">
        <v>15</v>
      </c>
      <c r="J520" s="4">
        <v>8.3382968822708195E-2</v>
      </c>
      <c r="K520" t="s">
        <v>40</v>
      </c>
      <c r="L520" t="s">
        <v>55</v>
      </c>
      <c r="M520">
        <v>3</v>
      </c>
      <c r="N520" t="s">
        <v>56</v>
      </c>
    </row>
    <row r="521" spans="1:14" x14ac:dyDescent="0.3">
      <c r="A521" s="1">
        <v>45131</v>
      </c>
      <c r="B521" t="s">
        <v>28</v>
      </c>
      <c r="C521" t="s">
        <v>11</v>
      </c>
      <c r="D521" t="s">
        <v>12</v>
      </c>
      <c r="E521">
        <v>2</v>
      </c>
      <c r="F521">
        <v>2006</v>
      </c>
      <c r="G521">
        <v>235.52</v>
      </c>
      <c r="H521">
        <v>2023</v>
      </c>
      <c r="I521" t="s">
        <v>25</v>
      </c>
      <c r="J521" s="4">
        <v>0.11740777666999</v>
      </c>
      <c r="K521" t="s">
        <v>40</v>
      </c>
      <c r="L521" t="s">
        <v>60</v>
      </c>
      <c r="M521">
        <v>7</v>
      </c>
      <c r="N521" t="s">
        <v>64</v>
      </c>
    </row>
    <row r="522" spans="1:14" x14ac:dyDescent="0.3">
      <c r="A522" s="1">
        <v>44947</v>
      </c>
      <c r="B522" t="s">
        <v>28</v>
      </c>
      <c r="C522" t="s">
        <v>11</v>
      </c>
      <c r="D522" t="s">
        <v>22</v>
      </c>
      <c r="E522">
        <v>9</v>
      </c>
      <c r="F522">
        <v>2718</v>
      </c>
      <c r="G522">
        <v>195.97</v>
      </c>
      <c r="H522">
        <v>2023</v>
      </c>
      <c r="I522" t="s">
        <v>26</v>
      </c>
      <c r="J522" s="4">
        <v>7.2100809418690195E-2</v>
      </c>
      <c r="K522" t="s">
        <v>40</v>
      </c>
      <c r="L522" t="s">
        <v>55</v>
      </c>
      <c r="M522">
        <v>1</v>
      </c>
      <c r="N522" t="s">
        <v>65</v>
      </c>
    </row>
    <row r="523" spans="1:14" x14ac:dyDescent="0.3">
      <c r="A523" s="1">
        <v>45011</v>
      </c>
      <c r="B523" t="s">
        <v>28</v>
      </c>
      <c r="C523" t="s">
        <v>11</v>
      </c>
      <c r="D523" t="s">
        <v>19</v>
      </c>
      <c r="E523">
        <v>1</v>
      </c>
      <c r="F523">
        <v>859</v>
      </c>
      <c r="G523">
        <v>217.67</v>
      </c>
      <c r="H523">
        <v>2023</v>
      </c>
      <c r="I523" t="s">
        <v>15</v>
      </c>
      <c r="J523" s="4">
        <v>0.25339930151338802</v>
      </c>
      <c r="K523" t="s">
        <v>40</v>
      </c>
      <c r="L523" t="s">
        <v>55</v>
      </c>
      <c r="M523">
        <v>3</v>
      </c>
      <c r="N523" t="s">
        <v>56</v>
      </c>
    </row>
    <row r="524" spans="1:14" x14ac:dyDescent="0.3">
      <c r="A524" s="1">
        <v>45150</v>
      </c>
      <c r="B524" t="s">
        <v>28</v>
      </c>
      <c r="C524" t="s">
        <v>11</v>
      </c>
      <c r="D524" t="s">
        <v>22</v>
      </c>
      <c r="E524">
        <v>4</v>
      </c>
      <c r="F524">
        <v>828</v>
      </c>
      <c r="G524">
        <v>216.98</v>
      </c>
      <c r="H524">
        <v>2023</v>
      </c>
      <c r="I524" t="s">
        <v>24</v>
      </c>
      <c r="J524" s="4">
        <v>0.26205314009661801</v>
      </c>
      <c r="K524" t="s">
        <v>40</v>
      </c>
      <c r="L524" t="s">
        <v>60</v>
      </c>
      <c r="M524">
        <v>8</v>
      </c>
      <c r="N524" t="s">
        <v>63</v>
      </c>
    </row>
    <row r="525" spans="1:14" x14ac:dyDescent="0.3">
      <c r="A525" s="1">
        <v>45006</v>
      </c>
      <c r="B525" t="s">
        <v>28</v>
      </c>
      <c r="C525" t="s">
        <v>11</v>
      </c>
      <c r="D525" t="s">
        <v>17</v>
      </c>
      <c r="E525">
        <v>8</v>
      </c>
      <c r="F525">
        <v>7264</v>
      </c>
      <c r="G525">
        <v>1776.83</v>
      </c>
      <c r="H525">
        <v>2023</v>
      </c>
      <c r="I525" t="s">
        <v>15</v>
      </c>
      <c r="J525" s="4">
        <v>0.24460765418502201</v>
      </c>
      <c r="K525" t="s">
        <v>40</v>
      </c>
      <c r="L525" t="s">
        <v>55</v>
      </c>
      <c r="M525">
        <v>3</v>
      </c>
      <c r="N525" t="s">
        <v>56</v>
      </c>
    </row>
    <row r="526" spans="1:14" x14ac:dyDescent="0.3">
      <c r="A526" s="1">
        <v>45057</v>
      </c>
      <c r="B526" t="s">
        <v>28</v>
      </c>
      <c r="C526" t="s">
        <v>11</v>
      </c>
      <c r="D526" t="s">
        <v>12</v>
      </c>
      <c r="E526">
        <v>1</v>
      </c>
      <c r="F526">
        <v>281</v>
      </c>
      <c r="G526">
        <v>30.51</v>
      </c>
      <c r="H526">
        <v>2023</v>
      </c>
      <c r="I526" t="s">
        <v>20</v>
      </c>
      <c r="J526" s="4">
        <v>0.108576512455516</v>
      </c>
      <c r="K526" t="s">
        <v>40</v>
      </c>
      <c r="L526" t="s">
        <v>59</v>
      </c>
      <c r="M526">
        <v>5</v>
      </c>
      <c r="N526" t="s">
        <v>20</v>
      </c>
    </row>
    <row r="527" spans="1:14" x14ac:dyDescent="0.3">
      <c r="A527" s="1">
        <v>45143</v>
      </c>
      <c r="B527" t="s">
        <v>28</v>
      </c>
      <c r="C527" t="s">
        <v>11</v>
      </c>
      <c r="D527" t="s">
        <v>19</v>
      </c>
      <c r="E527">
        <v>8</v>
      </c>
      <c r="F527">
        <v>7144</v>
      </c>
      <c r="G527">
        <v>492.1</v>
      </c>
      <c r="H527">
        <v>2023</v>
      </c>
      <c r="I527" t="s">
        <v>24</v>
      </c>
      <c r="J527" s="4">
        <v>6.8882978723404306E-2</v>
      </c>
      <c r="K527" t="s">
        <v>40</v>
      </c>
      <c r="L527" t="s">
        <v>60</v>
      </c>
      <c r="M527">
        <v>8</v>
      </c>
      <c r="N527" t="s">
        <v>63</v>
      </c>
    </row>
    <row r="528" spans="1:14" x14ac:dyDescent="0.3">
      <c r="A528" s="1">
        <v>45192</v>
      </c>
      <c r="B528" t="s">
        <v>28</v>
      </c>
      <c r="C528" t="s">
        <v>11</v>
      </c>
      <c r="D528" t="s">
        <v>19</v>
      </c>
      <c r="E528">
        <v>7</v>
      </c>
      <c r="F528">
        <v>5019</v>
      </c>
      <c r="G528">
        <v>1154.79</v>
      </c>
      <c r="H528">
        <v>2023</v>
      </c>
      <c r="I528" t="s">
        <v>21</v>
      </c>
      <c r="J528" s="4">
        <v>0.23008368200836801</v>
      </c>
      <c r="K528" t="s">
        <v>40</v>
      </c>
      <c r="L528" t="s">
        <v>60</v>
      </c>
      <c r="M528">
        <v>9</v>
      </c>
      <c r="N528" t="s">
        <v>61</v>
      </c>
    </row>
    <row r="529" spans="1:14" x14ac:dyDescent="0.3">
      <c r="A529" s="1">
        <v>45150</v>
      </c>
      <c r="B529" t="s">
        <v>28</v>
      </c>
      <c r="C529" t="s">
        <v>11</v>
      </c>
      <c r="D529" t="s">
        <v>19</v>
      </c>
      <c r="E529">
        <v>8</v>
      </c>
      <c r="F529">
        <v>984</v>
      </c>
      <c r="G529">
        <v>183.07</v>
      </c>
      <c r="H529">
        <v>2023</v>
      </c>
      <c r="I529" t="s">
        <v>24</v>
      </c>
      <c r="J529" s="4">
        <v>0.18604674796748</v>
      </c>
      <c r="K529" t="s">
        <v>40</v>
      </c>
      <c r="L529" t="s">
        <v>60</v>
      </c>
      <c r="M529">
        <v>8</v>
      </c>
      <c r="N529" t="s">
        <v>63</v>
      </c>
    </row>
    <row r="530" spans="1:14" x14ac:dyDescent="0.3">
      <c r="A530" s="1">
        <v>45144</v>
      </c>
      <c r="B530" t="s">
        <v>28</v>
      </c>
      <c r="C530" t="s">
        <v>11</v>
      </c>
      <c r="D530" t="s">
        <v>17</v>
      </c>
      <c r="E530">
        <v>8</v>
      </c>
      <c r="F530">
        <v>9464</v>
      </c>
      <c r="G530">
        <v>2043.73</v>
      </c>
      <c r="H530">
        <v>2023</v>
      </c>
      <c r="I530" t="s">
        <v>24</v>
      </c>
      <c r="J530" s="4">
        <v>0.21594780219780199</v>
      </c>
      <c r="K530" t="s">
        <v>40</v>
      </c>
      <c r="L530" t="s">
        <v>60</v>
      </c>
      <c r="M530">
        <v>8</v>
      </c>
      <c r="N530" t="s">
        <v>63</v>
      </c>
    </row>
    <row r="531" spans="1:14" x14ac:dyDescent="0.3">
      <c r="A531" s="1">
        <v>45052</v>
      </c>
      <c r="B531" t="s">
        <v>28</v>
      </c>
      <c r="C531" t="s">
        <v>11</v>
      </c>
      <c r="D531" t="s">
        <v>19</v>
      </c>
      <c r="E531">
        <v>7</v>
      </c>
      <c r="F531">
        <v>6258</v>
      </c>
      <c r="G531">
        <v>1347.74</v>
      </c>
      <c r="H531">
        <v>2023</v>
      </c>
      <c r="I531" t="s">
        <v>20</v>
      </c>
      <c r="J531" s="4">
        <v>0.215362735698306</v>
      </c>
      <c r="K531" t="s">
        <v>40</v>
      </c>
      <c r="L531" t="s">
        <v>59</v>
      </c>
      <c r="M531">
        <v>5</v>
      </c>
      <c r="N531" t="s">
        <v>20</v>
      </c>
    </row>
    <row r="532" spans="1:14" x14ac:dyDescent="0.3">
      <c r="A532" s="1">
        <v>45055</v>
      </c>
      <c r="B532" t="s">
        <v>28</v>
      </c>
      <c r="C532" t="s">
        <v>11</v>
      </c>
      <c r="D532" t="s">
        <v>19</v>
      </c>
      <c r="E532">
        <v>9</v>
      </c>
      <c r="F532">
        <v>4698</v>
      </c>
      <c r="G532">
        <v>1167.9000000000001</v>
      </c>
      <c r="H532">
        <v>2023</v>
      </c>
      <c r="I532" t="s">
        <v>20</v>
      </c>
      <c r="J532" s="4">
        <v>0.248595146871009</v>
      </c>
      <c r="K532" t="s">
        <v>40</v>
      </c>
      <c r="L532" t="s">
        <v>59</v>
      </c>
      <c r="M532">
        <v>5</v>
      </c>
      <c r="N532" t="s">
        <v>20</v>
      </c>
    </row>
    <row r="533" spans="1:14" x14ac:dyDescent="0.3">
      <c r="A533" s="1">
        <v>44954</v>
      </c>
      <c r="B533" t="s">
        <v>28</v>
      </c>
      <c r="C533" t="s">
        <v>11</v>
      </c>
      <c r="D533" t="s">
        <v>12</v>
      </c>
      <c r="E533">
        <v>9</v>
      </c>
      <c r="F533">
        <v>10206</v>
      </c>
      <c r="G533">
        <v>592.77</v>
      </c>
      <c r="H533">
        <v>2023</v>
      </c>
      <c r="I533" t="s">
        <v>26</v>
      </c>
      <c r="J533" s="4">
        <v>5.8080540858318597E-2</v>
      </c>
      <c r="K533" t="s">
        <v>40</v>
      </c>
      <c r="L533" t="s">
        <v>55</v>
      </c>
      <c r="M533">
        <v>1</v>
      </c>
      <c r="N533" t="s">
        <v>65</v>
      </c>
    </row>
    <row r="534" spans="1:14" x14ac:dyDescent="0.3">
      <c r="A534" s="1">
        <v>45273</v>
      </c>
      <c r="B534" t="s">
        <v>28</v>
      </c>
      <c r="C534" t="s">
        <v>11</v>
      </c>
      <c r="D534" t="s">
        <v>12</v>
      </c>
      <c r="E534">
        <v>6</v>
      </c>
      <c r="F534">
        <v>4812</v>
      </c>
      <c r="G534">
        <v>662.54</v>
      </c>
      <c r="H534">
        <v>2023</v>
      </c>
      <c r="I534" t="s">
        <v>13</v>
      </c>
      <c r="J534" s="4">
        <v>0.137684954280964</v>
      </c>
      <c r="K534" t="s">
        <v>40</v>
      </c>
      <c r="L534" t="s">
        <v>52</v>
      </c>
      <c r="M534">
        <v>12</v>
      </c>
      <c r="N534" t="s">
        <v>53</v>
      </c>
    </row>
    <row r="535" spans="1:14" x14ac:dyDescent="0.3">
      <c r="A535" s="1">
        <v>45108</v>
      </c>
      <c r="B535" t="s">
        <v>28</v>
      </c>
      <c r="C535" t="s">
        <v>11</v>
      </c>
      <c r="D535" t="s">
        <v>19</v>
      </c>
      <c r="E535">
        <v>6</v>
      </c>
      <c r="F535">
        <v>3570</v>
      </c>
      <c r="G535">
        <v>265.62</v>
      </c>
      <c r="H535">
        <v>2023</v>
      </c>
      <c r="I535" t="s">
        <v>25</v>
      </c>
      <c r="J535" s="4">
        <v>7.4403361344537802E-2</v>
      </c>
      <c r="K535" t="s">
        <v>40</v>
      </c>
      <c r="L535" t="s">
        <v>60</v>
      </c>
      <c r="M535">
        <v>7</v>
      </c>
      <c r="N535" t="s">
        <v>64</v>
      </c>
    </row>
    <row r="536" spans="1:14" x14ac:dyDescent="0.3">
      <c r="A536" s="1">
        <v>45021</v>
      </c>
      <c r="B536" t="s">
        <v>28</v>
      </c>
      <c r="C536" t="s">
        <v>11</v>
      </c>
      <c r="D536" t="s">
        <v>12</v>
      </c>
      <c r="E536">
        <v>3</v>
      </c>
      <c r="F536">
        <v>1488</v>
      </c>
      <c r="G536">
        <v>296.36</v>
      </c>
      <c r="H536">
        <v>2023</v>
      </c>
      <c r="I536" t="s">
        <v>23</v>
      </c>
      <c r="J536" s="4">
        <v>0.19916666666666699</v>
      </c>
      <c r="K536" t="s">
        <v>40</v>
      </c>
      <c r="L536" t="s">
        <v>59</v>
      </c>
      <c r="M536">
        <v>4</v>
      </c>
      <c r="N536" t="s">
        <v>62</v>
      </c>
    </row>
    <row r="537" spans="1:14" x14ac:dyDescent="0.3">
      <c r="A537" s="1">
        <v>45082</v>
      </c>
      <c r="B537" t="s">
        <v>28</v>
      </c>
      <c r="C537" t="s">
        <v>11</v>
      </c>
      <c r="D537" t="s">
        <v>22</v>
      </c>
      <c r="E537">
        <v>4</v>
      </c>
      <c r="F537">
        <v>1724</v>
      </c>
      <c r="G537">
        <v>233.21</v>
      </c>
      <c r="H537">
        <v>2023</v>
      </c>
      <c r="I537" t="s">
        <v>27</v>
      </c>
      <c r="J537" s="4">
        <v>0.135272621809745</v>
      </c>
      <c r="K537" t="s">
        <v>40</v>
      </c>
      <c r="L537" t="s">
        <v>59</v>
      </c>
      <c r="M537">
        <v>6</v>
      </c>
      <c r="N537" t="s">
        <v>66</v>
      </c>
    </row>
    <row r="538" spans="1:14" x14ac:dyDescent="0.3">
      <c r="A538" s="1">
        <v>45178</v>
      </c>
      <c r="B538" t="s">
        <v>28</v>
      </c>
      <c r="C538" t="s">
        <v>11</v>
      </c>
      <c r="D538" t="s">
        <v>17</v>
      </c>
      <c r="E538">
        <v>4</v>
      </c>
      <c r="F538">
        <v>304</v>
      </c>
      <c r="G538">
        <v>34.729999999999997</v>
      </c>
      <c r="H538">
        <v>2023</v>
      </c>
      <c r="I538" t="s">
        <v>21</v>
      </c>
      <c r="J538" s="4">
        <v>0.11424342105263199</v>
      </c>
      <c r="K538" t="s">
        <v>40</v>
      </c>
      <c r="L538" t="s">
        <v>60</v>
      </c>
      <c r="M538">
        <v>9</v>
      </c>
      <c r="N538" t="s">
        <v>61</v>
      </c>
    </row>
    <row r="539" spans="1:14" x14ac:dyDescent="0.3">
      <c r="A539" s="1">
        <v>44971</v>
      </c>
      <c r="B539" t="s">
        <v>28</v>
      </c>
      <c r="C539" t="s">
        <v>11</v>
      </c>
      <c r="D539" t="s">
        <v>19</v>
      </c>
      <c r="E539">
        <v>3</v>
      </c>
      <c r="F539">
        <v>1533</v>
      </c>
      <c r="G539">
        <v>440.88</v>
      </c>
      <c r="H539">
        <v>2023</v>
      </c>
      <c r="I539" t="s">
        <v>16</v>
      </c>
      <c r="J539" s="4">
        <v>0.28759295499021498</v>
      </c>
      <c r="K539" t="s">
        <v>40</v>
      </c>
      <c r="L539" t="s">
        <v>55</v>
      </c>
      <c r="M539">
        <v>2</v>
      </c>
      <c r="N539" t="s">
        <v>57</v>
      </c>
    </row>
    <row r="540" spans="1:14" x14ac:dyDescent="0.3">
      <c r="A540" s="1">
        <v>45018</v>
      </c>
      <c r="B540" t="s">
        <v>28</v>
      </c>
      <c r="C540" t="s">
        <v>11</v>
      </c>
      <c r="D540" t="s">
        <v>17</v>
      </c>
      <c r="E540">
        <v>8</v>
      </c>
      <c r="F540">
        <v>9392</v>
      </c>
      <c r="G540">
        <v>1753.08</v>
      </c>
      <c r="H540">
        <v>2023</v>
      </c>
      <c r="I540" t="s">
        <v>23</v>
      </c>
      <c r="J540" s="4">
        <v>0.18665672913117501</v>
      </c>
      <c r="K540" t="s">
        <v>40</v>
      </c>
      <c r="L540" t="s">
        <v>59</v>
      </c>
      <c r="M540">
        <v>4</v>
      </c>
      <c r="N540" t="s">
        <v>62</v>
      </c>
    </row>
    <row r="541" spans="1:14" x14ac:dyDescent="0.3">
      <c r="A541" s="1">
        <v>45160</v>
      </c>
      <c r="B541" t="s">
        <v>28</v>
      </c>
      <c r="C541" t="s">
        <v>11</v>
      </c>
      <c r="D541" t="s">
        <v>12</v>
      </c>
      <c r="E541">
        <v>3</v>
      </c>
      <c r="F541">
        <v>2151</v>
      </c>
      <c r="G541">
        <v>322.02999999999997</v>
      </c>
      <c r="H541">
        <v>2023</v>
      </c>
      <c r="I541" t="s">
        <v>24</v>
      </c>
      <c r="J541" s="4">
        <v>0.149711761971176</v>
      </c>
      <c r="K541" t="s">
        <v>40</v>
      </c>
      <c r="L541" t="s">
        <v>60</v>
      </c>
      <c r="M541">
        <v>8</v>
      </c>
      <c r="N541" t="s">
        <v>63</v>
      </c>
    </row>
    <row r="542" spans="1:14" x14ac:dyDescent="0.3">
      <c r="A542" s="1">
        <v>45150</v>
      </c>
      <c r="B542" t="s">
        <v>28</v>
      </c>
      <c r="C542" t="s">
        <v>11</v>
      </c>
      <c r="D542" t="s">
        <v>17</v>
      </c>
      <c r="E542">
        <v>6</v>
      </c>
      <c r="F542">
        <v>2724</v>
      </c>
      <c r="G542">
        <v>675.53</v>
      </c>
      <c r="H542">
        <v>2023</v>
      </c>
      <c r="I542" t="s">
        <v>24</v>
      </c>
      <c r="J542" s="4">
        <v>0.247991923641703</v>
      </c>
      <c r="K542" t="s">
        <v>40</v>
      </c>
      <c r="L542" t="s">
        <v>60</v>
      </c>
      <c r="M542">
        <v>8</v>
      </c>
      <c r="N542" t="s">
        <v>63</v>
      </c>
    </row>
    <row r="543" spans="1:14" x14ac:dyDescent="0.3">
      <c r="A543" s="1">
        <v>45102</v>
      </c>
      <c r="B543" t="s">
        <v>28</v>
      </c>
      <c r="C543" t="s">
        <v>11</v>
      </c>
      <c r="D543" t="s">
        <v>19</v>
      </c>
      <c r="E543">
        <v>4</v>
      </c>
      <c r="F543">
        <v>660</v>
      </c>
      <c r="G543">
        <v>83.96</v>
      </c>
      <c r="H543">
        <v>2023</v>
      </c>
      <c r="I543" t="s">
        <v>27</v>
      </c>
      <c r="J543" s="4">
        <v>0.127212121212121</v>
      </c>
      <c r="K543" t="s">
        <v>40</v>
      </c>
      <c r="L543" t="s">
        <v>59</v>
      </c>
      <c r="M543">
        <v>6</v>
      </c>
      <c r="N543" t="s">
        <v>66</v>
      </c>
    </row>
    <row r="544" spans="1:14" x14ac:dyDescent="0.3">
      <c r="A544" s="1">
        <v>45280</v>
      </c>
      <c r="B544" t="s">
        <v>28</v>
      </c>
      <c r="C544" t="s">
        <v>11</v>
      </c>
      <c r="D544" t="s">
        <v>22</v>
      </c>
      <c r="E544">
        <v>5</v>
      </c>
      <c r="F544">
        <v>2545</v>
      </c>
      <c r="G544">
        <v>588.47</v>
      </c>
      <c r="H544">
        <v>2023</v>
      </c>
      <c r="I544" t="s">
        <v>13</v>
      </c>
      <c r="J544" s="4">
        <v>0.23122593320235801</v>
      </c>
      <c r="K544" t="s">
        <v>40</v>
      </c>
      <c r="L544" t="s">
        <v>52</v>
      </c>
      <c r="M544">
        <v>12</v>
      </c>
      <c r="N544" t="s">
        <v>53</v>
      </c>
    </row>
    <row r="545" spans="1:14" x14ac:dyDescent="0.3">
      <c r="A545" s="1">
        <v>45027</v>
      </c>
      <c r="B545" t="s">
        <v>28</v>
      </c>
      <c r="C545" t="s">
        <v>11</v>
      </c>
      <c r="D545" t="s">
        <v>17</v>
      </c>
      <c r="E545">
        <v>4</v>
      </c>
      <c r="F545">
        <v>652</v>
      </c>
      <c r="G545">
        <v>116.06</v>
      </c>
      <c r="H545">
        <v>2023</v>
      </c>
      <c r="I545" t="s">
        <v>23</v>
      </c>
      <c r="J545" s="4">
        <v>0.17800613496932499</v>
      </c>
      <c r="K545" t="s">
        <v>40</v>
      </c>
      <c r="L545" t="s">
        <v>59</v>
      </c>
      <c r="M545">
        <v>4</v>
      </c>
      <c r="N545" t="s">
        <v>62</v>
      </c>
    </row>
    <row r="546" spans="1:14" x14ac:dyDescent="0.3">
      <c r="A546" s="1">
        <v>45260</v>
      </c>
      <c r="B546" t="s">
        <v>28</v>
      </c>
      <c r="C546" t="s">
        <v>11</v>
      </c>
      <c r="D546" t="s">
        <v>12</v>
      </c>
      <c r="E546">
        <v>8</v>
      </c>
      <c r="F546">
        <v>3928</v>
      </c>
      <c r="G546">
        <v>700.38</v>
      </c>
      <c r="H546">
        <v>2023</v>
      </c>
      <c r="I546" t="s">
        <v>18</v>
      </c>
      <c r="J546" s="4">
        <v>0.17830448065173099</v>
      </c>
      <c r="K546" t="s">
        <v>40</v>
      </c>
      <c r="L546" t="s">
        <v>52</v>
      </c>
      <c r="M546">
        <v>11</v>
      </c>
      <c r="N546" t="s">
        <v>58</v>
      </c>
    </row>
    <row r="547" spans="1:14" x14ac:dyDescent="0.3">
      <c r="A547" s="1">
        <v>44939</v>
      </c>
      <c r="B547" t="s">
        <v>28</v>
      </c>
      <c r="C547" t="s">
        <v>11</v>
      </c>
      <c r="D547" t="s">
        <v>12</v>
      </c>
      <c r="E547">
        <v>2</v>
      </c>
      <c r="F547">
        <v>1644</v>
      </c>
      <c r="G547">
        <v>189.32</v>
      </c>
      <c r="H547">
        <v>2023</v>
      </c>
      <c r="I547" t="s">
        <v>26</v>
      </c>
      <c r="J547" s="4">
        <v>0.115158150851582</v>
      </c>
      <c r="K547" t="s">
        <v>40</v>
      </c>
      <c r="L547" t="s">
        <v>55</v>
      </c>
      <c r="M547">
        <v>1</v>
      </c>
      <c r="N547" t="s">
        <v>65</v>
      </c>
    </row>
    <row r="548" spans="1:14" x14ac:dyDescent="0.3">
      <c r="A548" s="1">
        <v>45122</v>
      </c>
      <c r="B548" t="s">
        <v>28</v>
      </c>
      <c r="C548" t="s">
        <v>11</v>
      </c>
      <c r="D548" t="s">
        <v>17</v>
      </c>
      <c r="E548">
        <v>2</v>
      </c>
      <c r="F548">
        <v>116</v>
      </c>
      <c r="G548">
        <v>32.270000000000003</v>
      </c>
      <c r="H548">
        <v>2023</v>
      </c>
      <c r="I548" t="s">
        <v>25</v>
      </c>
      <c r="J548" s="4">
        <v>0.27818965517241401</v>
      </c>
      <c r="K548" t="s">
        <v>40</v>
      </c>
      <c r="L548" t="s">
        <v>60</v>
      </c>
      <c r="M548">
        <v>7</v>
      </c>
      <c r="N548" t="s">
        <v>64</v>
      </c>
    </row>
    <row r="549" spans="1:14" x14ac:dyDescent="0.3">
      <c r="A549" s="1">
        <v>45285</v>
      </c>
      <c r="B549" t="s">
        <v>28</v>
      </c>
      <c r="C549" t="s">
        <v>11</v>
      </c>
      <c r="D549" t="s">
        <v>12</v>
      </c>
      <c r="E549">
        <v>2</v>
      </c>
      <c r="F549">
        <v>200</v>
      </c>
      <c r="G549">
        <v>10.45</v>
      </c>
      <c r="H549">
        <v>2023</v>
      </c>
      <c r="I549" t="s">
        <v>13</v>
      </c>
      <c r="J549" s="4">
        <v>5.2249999999999998E-2</v>
      </c>
      <c r="K549" t="s">
        <v>40</v>
      </c>
      <c r="L549" t="s">
        <v>52</v>
      </c>
      <c r="M549">
        <v>12</v>
      </c>
      <c r="N549" t="s">
        <v>53</v>
      </c>
    </row>
    <row r="550" spans="1:14" x14ac:dyDescent="0.3">
      <c r="A550" s="1">
        <v>45073</v>
      </c>
      <c r="B550" t="s">
        <v>28</v>
      </c>
      <c r="C550" t="s">
        <v>11</v>
      </c>
      <c r="D550" t="s">
        <v>22</v>
      </c>
      <c r="E550">
        <v>8</v>
      </c>
      <c r="F550">
        <v>6184</v>
      </c>
      <c r="G550">
        <v>1796.9</v>
      </c>
      <c r="H550">
        <v>2023</v>
      </c>
      <c r="I550" t="s">
        <v>20</v>
      </c>
      <c r="J550" s="4">
        <v>0.29057244501940499</v>
      </c>
      <c r="K550" t="s">
        <v>40</v>
      </c>
      <c r="L550" t="s">
        <v>59</v>
      </c>
      <c r="M550">
        <v>5</v>
      </c>
      <c r="N550" t="s">
        <v>20</v>
      </c>
    </row>
    <row r="551" spans="1:14" x14ac:dyDescent="0.3">
      <c r="A551" s="1">
        <v>45278</v>
      </c>
      <c r="B551" t="s">
        <v>28</v>
      </c>
      <c r="C551" t="s">
        <v>11</v>
      </c>
      <c r="D551" t="s">
        <v>19</v>
      </c>
      <c r="E551">
        <v>1</v>
      </c>
      <c r="F551">
        <v>294</v>
      </c>
      <c r="G551">
        <v>52.37</v>
      </c>
      <c r="H551">
        <v>2023</v>
      </c>
      <c r="I551" t="s">
        <v>13</v>
      </c>
      <c r="J551" s="4">
        <v>0.17812925170068</v>
      </c>
      <c r="K551" t="s">
        <v>40</v>
      </c>
      <c r="L551" t="s">
        <v>52</v>
      </c>
      <c r="M551">
        <v>12</v>
      </c>
      <c r="N551" t="s">
        <v>53</v>
      </c>
    </row>
    <row r="552" spans="1:14" x14ac:dyDescent="0.3">
      <c r="A552" s="1">
        <v>45067</v>
      </c>
      <c r="B552" t="s">
        <v>28</v>
      </c>
      <c r="C552" t="s">
        <v>11</v>
      </c>
      <c r="D552" t="s">
        <v>17</v>
      </c>
      <c r="E552">
        <v>7</v>
      </c>
      <c r="F552">
        <v>6188</v>
      </c>
      <c r="G552">
        <v>1231.3</v>
      </c>
      <c r="H552">
        <v>2023</v>
      </c>
      <c r="I552" t="s">
        <v>20</v>
      </c>
      <c r="J552" s="4">
        <v>0.19898190045248901</v>
      </c>
      <c r="K552" t="s">
        <v>40</v>
      </c>
      <c r="L552" t="s">
        <v>59</v>
      </c>
      <c r="M552">
        <v>5</v>
      </c>
      <c r="N552" t="s">
        <v>20</v>
      </c>
    </row>
    <row r="553" spans="1:14" x14ac:dyDescent="0.3">
      <c r="A553" s="1">
        <v>44960</v>
      </c>
      <c r="B553" t="s">
        <v>28</v>
      </c>
      <c r="C553" t="s">
        <v>11</v>
      </c>
      <c r="D553" t="s">
        <v>19</v>
      </c>
      <c r="E553">
        <v>6</v>
      </c>
      <c r="F553">
        <v>648</v>
      </c>
      <c r="G553">
        <v>62.25</v>
      </c>
      <c r="H553">
        <v>2023</v>
      </c>
      <c r="I553" t="s">
        <v>16</v>
      </c>
      <c r="J553" s="4">
        <v>9.6064814814814797E-2</v>
      </c>
      <c r="K553" t="s">
        <v>40</v>
      </c>
      <c r="L553" t="s">
        <v>55</v>
      </c>
      <c r="M553">
        <v>2</v>
      </c>
      <c r="N553" t="s">
        <v>57</v>
      </c>
    </row>
    <row r="554" spans="1:14" x14ac:dyDescent="0.3">
      <c r="A554" s="1">
        <v>45160</v>
      </c>
      <c r="B554" t="s">
        <v>28</v>
      </c>
      <c r="C554" t="s">
        <v>11</v>
      </c>
      <c r="D554" t="s">
        <v>22</v>
      </c>
      <c r="E554">
        <v>5</v>
      </c>
      <c r="F554">
        <v>2075</v>
      </c>
      <c r="G554">
        <v>271.70999999999998</v>
      </c>
      <c r="H554">
        <v>2023</v>
      </c>
      <c r="I554" t="s">
        <v>24</v>
      </c>
      <c r="J554" s="4">
        <v>0.13094457831325301</v>
      </c>
      <c r="K554" t="s">
        <v>40</v>
      </c>
      <c r="L554" t="s">
        <v>60</v>
      </c>
      <c r="M554">
        <v>8</v>
      </c>
      <c r="N554" t="s">
        <v>63</v>
      </c>
    </row>
    <row r="555" spans="1:14" x14ac:dyDescent="0.3">
      <c r="A555" s="1">
        <v>45200</v>
      </c>
      <c r="B555" t="s">
        <v>28</v>
      </c>
      <c r="C555" t="s">
        <v>11</v>
      </c>
      <c r="D555" t="s">
        <v>19</v>
      </c>
      <c r="E555">
        <v>2</v>
      </c>
      <c r="F555">
        <v>486</v>
      </c>
      <c r="G555">
        <v>62.58</v>
      </c>
      <c r="H555">
        <v>2023</v>
      </c>
      <c r="I555" t="s">
        <v>14</v>
      </c>
      <c r="J555" s="4">
        <v>0.12876543209876501</v>
      </c>
      <c r="K555" t="s">
        <v>40</v>
      </c>
      <c r="L555" t="s">
        <v>52</v>
      </c>
      <c r="M555">
        <v>10</v>
      </c>
      <c r="N555" t="s">
        <v>54</v>
      </c>
    </row>
    <row r="556" spans="1:14" x14ac:dyDescent="0.3">
      <c r="A556" s="1">
        <v>45031</v>
      </c>
      <c r="B556" t="s">
        <v>28</v>
      </c>
      <c r="C556" t="s">
        <v>11</v>
      </c>
      <c r="D556" t="s">
        <v>19</v>
      </c>
      <c r="E556">
        <v>2</v>
      </c>
      <c r="F556">
        <v>1488</v>
      </c>
      <c r="G556">
        <v>342.87</v>
      </c>
      <c r="H556">
        <v>2023</v>
      </c>
      <c r="I556" t="s">
        <v>23</v>
      </c>
      <c r="J556" s="4">
        <v>0.23042338709677401</v>
      </c>
      <c r="K556" t="s">
        <v>40</v>
      </c>
      <c r="L556" t="s">
        <v>59</v>
      </c>
      <c r="M556">
        <v>4</v>
      </c>
      <c r="N556" t="s">
        <v>62</v>
      </c>
    </row>
    <row r="557" spans="1:14" x14ac:dyDescent="0.3">
      <c r="A557" s="1">
        <v>45125</v>
      </c>
      <c r="B557" t="s">
        <v>28</v>
      </c>
      <c r="C557" t="s">
        <v>11</v>
      </c>
      <c r="D557" t="s">
        <v>22</v>
      </c>
      <c r="E557">
        <v>7</v>
      </c>
      <c r="F557">
        <v>6293</v>
      </c>
      <c r="G557">
        <v>389.22</v>
      </c>
      <c r="H557">
        <v>2023</v>
      </c>
      <c r="I557" t="s">
        <v>25</v>
      </c>
      <c r="J557" s="4">
        <v>6.1849674241220398E-2</v>
      </c>
      <c r="K557" t="s">
        <v>40</v>
      </c>
      <c r="L557" t="s">
        <v>60</v>
      </c>
      <c r="M557">
        <v>7</v>
      </c>
      <c r="N557" t="s">
        <v>64</v>
      </c>
    </row>
    <row r="558" spans="1:14" x14ac:dyDescent="0.3">
      <c r="A558" s="1">
        <v>45126</v>
      </c>
      <c r="B558" t="s">
        <v>28</v>
      </c>
      <c r="C558" t="s">
        <v>11</v>
      </c>
      <c r="D558" t="s">
        <v>17</v>
      </c>
      <c r="E558">
        <v>2</v>
      </c>
      <c r="F558">
        <v>1678</v>
      </c>
      <c r="G558">
        <v>372.78</v>
      </c>
      <c r="H558">
        <v>2023</v>
      </c>
      <c r="I558" t="s">
        <v>25</v>
      </c>
      <c r="J558" s="4">
        <v>0.22215733015494599</v>
      </c>
      <c r="K558" t="s">
        <v>40</v>
      </c>
      <c r="L558" t="s">
        <v>60</v>
      </c>
      <c r="M558">
        <v>7</v>
      </c>
      <c r="N558" t="s">
        <v>64</v>
      </c>
    </row>
    <row r="559" spans="1:14" x14ac:dyDescent="0.3">
      <c r="A559" s="1">
        <v>44962</v>
      </c>
      <c r="B559" t="s">
        <v>28</v>
      </c>
      <c r="C559" t="s">
        <v>11</v>
      </c>
      <c r="D559" t="s">
        <v>17</v>
      </c>
      <c r="E559">
        <v>4</v>
      </c>
      <c r="F559">
        <v>508</v>
      </c>
      <c r="G559">
        <v>37.94</v>
      </c>
      <c r="H559">
        <v>2023</v>
      </c>
      <c r="I559" t="s">
        <v>16</v>
      </c>
      <c r="J559" s="4">
        <v>7.4685039370078699E-2</v>
      </c>
      <c r="K559" t="s">
        <v>40</v>
      </c>
      <c r="L559" t="s">
        <v>55</v>
      </c>
      <c r="M559">
        <v>2</v>
      </c>
      <c r="N559" t="s">
        <v>57</v>
      </c>
    </row>
    <row r="560" spans="1:14" x14ac:dyDescent="0.3">
      <c r="A560" s="1">
        <v>45124</v>
      </c>
      <c r="B560" t="s">
        <v>28</v>
      </c>
      <c r="C560" t="s">
        <v>11</v>
      </c>
      <c r="D560" t="s">
        <v>12</v>
      </c>
      <c r="E560">
        <v>9</v>
      </c>
      <c r="F560">
        <v>3861</v>
      </c>
      <c r="G560">
        <v>536.04</v>
      </c>
      <c r="H560">
        <v>2023</v>
      </c>
      <c r="I560" t="s">
        <v>25</v>
      </c>
      <c r="J560" s="4">
        <v>0.138834498834499</v>
      </c>
      <c r="K560" t="s">
        <v>40</v>
      </c>
      <c r="L560" t="s">
        <v>60</v>
      </c>
      <c r="M560">
        <v>7</v>
      </c>
      <c r="N560" t="s">
        <v>64</v>
      </c>
    </row>
    <row r="561" spans="1:14" x14ac:dyDescent="0.3">
      <c r="A561" s="1">
        <v>45032</v>
      </c>
      <c r="B561" t="s">
        <v>28</v>
      </c>
      <c r="C561" t="s">
        <v>11</v>
      </c>
      <c r="D561" t="s">
        <v>22</v>
      </c>
      <c r="E561">
        <v>4</v>
      </c>
      <c r="F561">
        <v>776</v>
      </c>
      <c r="G561">
        <v>73.16</v>
      </c>
      <c r="H561">
        <v>2023</v>
      </c>
      <c r="I561" t="s">
        <v>23</v>
      </c>
      <c r="J561" s="4">
        <v>9.4278350515463905E-2</v>
      </c>
      <c r="K561" t="s">
        <v>40</v>
      </c>
      <c r="L561" t="s">
        <v>59</v>
      </c>
      <c r="M561">
        <v>4</v>
      </c>
      <c r="N561" t="s">
        <v>62</v>
      </c>
    </row>
    <row r="562" spans="1:14" x14ac:dyDescent="0.3">
      <c r="A562" s="1">
        <v>45249</v>
      </c>
      <c r="B562" t="s">
        <v>28</v>
      </c>
      <c r="C562" t="s">
        <v>11</v>
      </c>
      <c r="D562" t="s">
        <v>19</v>
      </c>
      <c r="E562">
        <v>1</v>
      </c>
      <c r="F562">
        <v>384</v>
      </c>
      <c r="G562">
        <v>83.58</v>
      </c>
      <c r="H562">
        <v>2023</v>
      </c>
      <c r="I562" t="s">
        <v>18</v>
      </c>
      <c r="J562" s="4">
        <v>0.21765625</v>
      </c>
      <c r="K562" t="s">
        <v>40</v>
      </c>
      <c r="L562" t="s">
        <v>52</v>
      </c>
      <c r="M562">
        <v>11</v>
      </c>
      <c r="N562" t="s">
        <v>58</v>
      </c>
    </row>
    <row r="563" spans="1:14" x14ac:dyDescent="0.3">
      <c r="A563" s="1">
        <v>45140</v>
      </c>
      <c r="B563" t="s">
        <v>28</v>
      </c>
      <c r="C563" t="s">
        <v>11</v>
      </c>
      <c r="D563" t="s">
        <v>12</v>
      </c>
      <c r="E563">
        <v>5</v>
      </c>
      <c r="F563">
        <v>5845</v>
      </c>
      <c r="G563">
        <v>978.75</v>
      </c>
      <c r="H563">
        <v>2023</v>
      </c>
      <c r="I563" t="s">
        <v>24</v>
      </c>
      <c r="J563" s="4">
        <v>0.16745081266039399</v>
      </c>
      <c r="K563" t="s">
        <v>40</v>
      </c>
      <c r="L563" t="s">
        <v>60</v>
      </c>
      <c r="M563">
        <v>8</v>
      </c>
      <c r="N563" t="s">
        <v>63</v>
      </c>
    </row>
    <row r="564" spans="1:14" x14ac:dyDescent="0.3">
      <c r="A564" s="1">
        <v>45014</v>
      </c>
      <c r="B564" t="s">
        <v>28</v>
      </c>
      <c r="C564" t="s">
        <v>11</v>
      </c>
      <c r="D564" t="s">
        <v>12</v>
      </c>
      <c r="E564">
        <v>1</v>
      </c>
      <c r="F564">
        <v>835</v>
      </c>
      <c r="G564">
        <v>131.69999999999999</v>
      </c>
      <c r="H564">
        <v>2023</v>
      </c>
      <c r="I564" t="s">
        <v>15</v>
      </c>
      <c r="J564" s="4">
        <v>0.157724550898204</v>
      </c>
      <c r="K564" t="s">
        <v>40</v>
      </c>
      <c r="L564" t="s">
        <v>55</v>
      </c>
      <c r="M564">
        <v>3</v>
      </c>
      <c r="N564" t="s">
        <v>56</v>
      </c>
    </row>
    <row r="565" spans="1:14" x14ac:dyDescent="0.3">
      <c r="A565" s="1">
        <v>44961</v>
      </c>
      <c r="B565" t="s">
        <v>28</v>
      </c>
      <c r="C565" t="s">
        <v>11</v>
      </c>
      <c r="D565" t="s">
        <v>19</v>
      </c>
      <c r="E565">
        <v>7</v>
      </c>
      <c r="F565">
        <v>6041</v>
      </c>
      <c r="G565">
        <v>776.09</v>
      </c>
      <c r="H565">
        <v>2023</v>
      </c>
      <c r="I565" t="s">
        <v>16</v>
      </c>
      <c r="J565" s="4">
        <v>0.12847045191193501</v>
      </c>
      <c r="K565" t="s">
        <v>40</v>
      </c>
      <c r="L565" t="s">
        <v>55</v>
      </c>
      <c r="M565">
        <v>2</v>
      </c>
      <c r="N565" t="s">
        <v>57</v>
      </c>
    </row>
    <row r="566" spans="1:14" x14ac:dyDescent="0.3">
      <c r="A566" s="1">
        <v>45084</v>
      </c>
      <c r="B566" t="s">
        <v>28</v>
      </c>
      <c r="C566" t="s">
        <v>11</v>
      </c>
      <c r="D566" t="s">
        <v>19</v>
      </c>
      <c r="E566">
        <v>6</v>
      </c>
      <c r="F566">
        <v>2664</v>
      </c>
      <c r="G566">
        <v>520.29999999999995</v>
      </c>
      <c r="H566">
        <v>2023</v>
      </c>
      <c r="I566" t="s">
        <v>27</v>
      </c>
      <c r="J566" s="4">
        <v>0.19530780780780799</v>
      </c>
      <c r="K566" t="s">
        <v>40</v>
      </c>
      <c r="L566" t="s">
        <v>59</v>
      </c>
      <c r="M566">
        <v>6</v>
      </c>
      <c r="N566" t="s">
        <v>66</v>
      </c>
    </row>
    <row r="567" spans="1:14" x14ac:dyDescent="0.3">
      <c r="A567" s="1">
        <v>45077</v>
      </c>
      <c r="B567" t="s">
        <v>28</v>
      </c>
      <c r="C567" t="s">
        <v>11</v>
      </c>
      <c r="D567" t="s">
        <v>12</v>
      </c>
      <c r="E567">
        <v>9</v>
      </c>
      <c r="F567">
        <v>9054</v>
      </c>
      <c r="G567">
        <v>644.36</v>
      </c>
      <c r="H567">
        <v>2023</v>
      </c>
      <c r="I567" t="s">
        <v>20</v>
      </c>
      <c r="J567" s="4">
        <v>7.1168544289816602E-2</v>
      </c>
      <c r="K567" t="s">
        <v>40</v>
      </c>
      <c r="L567" t="s">
        <v>59</v>
      </c>
      <c r="M567">
        <v>5</v>
      </c>
      <c r="N567" t="s">
        <v>20</v>
      </c>
    </row>
    <row r="568" spans="1:14" x14ac:dyDescent="0.3">
      <c r="A568" s="1">
        <v>45253</v>
      </c>
      <c r="B568" t="s">
        <v>28</v>
      </c>
      <c r="C568" t="s">
        <v>11</v>
      </c>
      <c r="D568" t="s">
        <v>17</v>
      </c>
      <c r="E568">
        <v>6</v>
      </c>
      <c r="F568">
        <v>1746</v>
      </c>
      <c r="G568">
        <v>289.2</v>
      </c>
      <c r="H568">
        <v>2023</v>
      </c>
      <c r="I568" t="s">
        <v>18</v>
      </c>
      <c r="J568" s="4">
        <v>0.165635738831615</v>
      </c>
      <c r="K568" t="s">
        <v>40</v>
      </c>
      <c r="L568" t="s">
        <v>52</v>
      </c>
      <c r="M568">
        <v>11</v>
      </c>
      <c r="N568" t="s">
        <v>58</v>
      </c>
    </row>
    <row r="569" spans="1:14" x14ac:dyDescent="0.3">
      <c r="A569" s="1">
        <v>45147</v>
      </c>
      <c r="B569" t="s">
        <v>28</v>
      </c>
      <c r="C569" t="s">
        <v>11</v>
      </c>
      <c r="D569" t="s">
        <v>22</v>
      </c>
      <c r="E569">
        <v>2</v>
      </c>
      <c r="F569">
        <v>274</v>
      </c>
      <c r="G569">
        <v>42.37</v>
      </c>
      <c r="H569">
        <v>2023</v>
      </c>
      <c r="I569" t="s">
        <v>24</v>
      </c>
      <c r="J569" s="4">
        <v>0.15463503649634999</v>
      </c>
      <c r="K569" t="s">
        <v>40</v>
      </c>
      <c r="L569" t="s">
        <v>60</v>
      </c>
      <c r="M569">
        <v>8</v>
      </c>
      <c r="N569" t="s">
        <v>63</v>
      </c>
    </row>
    <row r="570" spans="1:14" x14ac:dyDescent="0.3">
      <c r="A570" s="1">
        <v>44984</v>
      </c>
      <c r="B570" t="s">
        <v>28</v>
      </c>
      <c r="C570" t="s">
        <v>11</v>
      </c>
      <c r="D570" t="s">
        <v>12</v>
      </c>
      <c r="E570">
        <v>6</v>
      </c>
      <c r="F570">
        <v>1350</v>
      </c>
      <c r="G570">
        <v>356.88</v>
      </c>
      <c r="H570">
        <v>2023</v>
      </c>
      <c r="I570" t="s">
        <v>16</v>
      </c>
      <c r="J570" s="4">
        <v>0.26435555555555601</v>
      </c>
      <c r="K570" t="s">
        <v>40</v>
      </c>
      <c r="L570" t="s">
        <v>55</v>
      </c>
      <c r="M570">
        <v>2</v>
      </c>
      <c r="N570" t="s">
        <v>57</v>
      </c>
    </row>
    <row r="571" spans="1:14" x14ac:dyDescent="0.3">
      <c r="A571" s="1">
        <v>45148</v>
      </c>
      <c r="B571" t="s">
        <v>28</v>
      </c>
      <c r="C571" t="s">
        <v>11</v>
      </c>
      <c r="D571" t="s">
        <v>12</v>
      </c>
      <c r="E571">
        <v>3</v>
      </c>
      <c r="F571">
        <v>1656</v>
      </c>
      <c r="G571">
        <v>469.28</v>
      </c>
      <c r="H571">
        <v>2023</v>
      </c>
      <c r="I571" t="s">
        <v>24</v>
      </c>
      <c r="J571" s="4">
        <v>0.28338164251207698</v>
      </c>
      <c r="K571" t="s">
        <v>40</v>
      </c>
      <c r="L571" t="s">
        <v>60</v>
      </c>
      <c r="M571">
        <v>8</v>
      </c>
      <c r="N571" t="s">
        <v>63</v>
      </c>
    </row>
    <row r="572" spans="1:14" x14ac:dyDescent="0.3">
      <c r="A572" s="1">
        <v>45216</v>
      </c>
      <c r="B572" t="s">
        <v>28</v>
      </c>
      <c r="C572" t="s">
        <v>11</v>
      </c>
      <c r="D572" t="s">
        <v>12</v>
      </c>
      <c r="E572">
        <v>2</v>
      </c>
      <c r="F572">
        <v>862</v>
      </c>
      <c r="G572">
        <v>105.97</v>
      </c>
      <c r="H572">
        <v>2023</v>
      </c>
      <c r="I572" t="s">
        <v>14</v>
      </c>
      <c r="J572" s="4">
        <v>0.122935034802784</v>
      </c>
      <c r="K572" t="s">
        <v>40</v>
      </c>
      <c r="L572" t="s">
        <v>52</v>
      </c>
      <c r="M572">
        <v>10</v>
      </c>
      <c r="N572" t="s">
        <v>54</v>
      </c>
    </row>
    <row r="573" spans="1:14" x14ac:dyDescent="0.3">
      <c r="A573" s="1">
        <v>45202</v>
      </c>
      <c r="B573" t="s">
        <v>28</v>
      </c>
      <c r="C573" t="s">
        <v>11</v>
      </c>
      <c r="D573" t="s">
        <v>22</v>
      </c>
      <c r="E573">
        <v>6</v>
      </c>
      <c r="F573">
        <v>918</v>
      </c>
      <c r="G573">
        <v>116.87</v>
      </c>
      <c r="H573">
        <v>2023</v>
      </c>
      <c r="I573" t="s">
        <v>14</v>
      </c>
      <c r="J573" s="4">
        <v>0.12730936819172101</v>
      </c>
      <c r="K573" t="s">
        <v>40</v>
      </c>
      <c r="L573" t="s">
        <v>52</v>
      </c>
      <c r="M573">
        <v>10</v>
      </c>
      <c r="N573" t="s">
        <v>54</v>
      </c>
    </row>
    <row r="574" spans="1:14" x14ac:dyDescent="0.3">
      <c r="A574" s="1">
        <v>44964</v>
      </c>
      <c r="B574" t="s">
        <v>28</v>
      </c>
      <c r="C574" t="s">
        <v>11</v>
      </c>
      <c r="D574" t="s">
        <v>12</v>
      </c>
      <c r="E574">
        <v>8</v>
      </c>
      <c r="F574">
        <v>7072</v>
      </c>
      <c r="G574">
        <v>1983.42</v>
      </c>
      <c r="H574">
        <v>2023</v>
      </c>
      <c r="I574" t="s">
        <v>16</v>
      </c>
      <c r="J574" s="4">
        <v>0.280460972850679</v>
      </c>
      <c r="K574" t="s">
        <v>40</v>
      </c>
      <c r="L574" t="s">
        <v>55</v>
      </c>
      <c r="M574">
        <v>2</v>
      </c>
      <c r="N574" t="s">
        <v>57</v>
      </c>
    </row>
    <row r="575" spans="1:14" x14ac:dyDescent="0.3">
      <c r="A575" s="1">
        <v>45151</v>
      </c>
      <c r="B575" t="s">
        <v>28</v>
      </c>
      <c r="C575" t="s">
        <v>11</v>
      </c>
      <c r="D575" t="s">
        <v>19</v>
      </c>
      <c r="E575">
        <v>6</v>
      </c>
      <c r="F575">
        <v>2496</v>
      </c>
      <c r="G575">
        <v>332.08</v>
      </c>
      <c r="H575">
        <v>2023</v>
      </c>
      <c r="I575" t="s">
        <v>24</v>
      </c>
      <c r="J575" s="4">
        <v>0.13304487179487201</v>
      </c>
      <c r="K575" t="s">
        <v>40</v>
      </c>
      <c r="L575" t="s">
        <v>60</v>
      </c>
      <c r="M575">
        <v>8</v>
      </c>
      <c r="N575" t="s">
        <v>63</v>
      </c>
    </row>
    <row r="576" spans="1:14" x14ac:dyDescent="0.3">
      <c r="A576" s="1">
        <v>45273</v>
      </c>
      <c r="B576" t="s">
        <v>28</v>
      </c>
      <c r="C576" t="s">
        <v>11</v>
      </c>
      <c r="D576" t="s">
        <v>12</v>
      </c>
      <c r="E576">
        <v>3</v>
      </c>
      <c r="F576">
        <v>795</v>
      </c>
      <c r="G576">
        <v>60.34</v>
      </c>
      <c r="H576">
        <v>2023</v>
      </c>
      <c r="I576" t="s">
        <v>13</v>
      </c>
      <c r="J576" s="4">
        <v>7.5899371069182403E-2</v>
      </c>
      <c r="K576" t="s">
        <v>40</v>
      </c>
      <c r="L576" t="s">
        <v>52</v>
      </c>
      <c r="M576">
        <v>12</v>
      </c>
      <c r="N576" t="s">
        <v>53</v>
      </c>
    </row>
    <row r="577" spans="1:14" x14ac:dyDescent="0.3">
      <c r="A577" s="1">
        <v>45077</v>
      </c>
      <c r="B577" t="s">
        <v>28</v>
      </c>
      <c r="C577" t="s">
        <v>11</v>
      </c>
      <c r="D577" t="s">
        <v>17</v>
      </c>
      <c r="E577">
        <v>9</v>
      </c>
      <c r="F577">
        <v>1098</v>
      </c>
      <c r="G577">
        <v>106.97</v>
      </c>
      <c r="H577">
        <v>2023</v>
      </c>
      <c r="I577" t="s">
        <v>20</v>
      </c>
      <c r="J577" s="4">
        <v>9.7422586520947194E-2</v>
      </c>
      <c r="K577" t="s">
        <v>40</v>
      </c>
      <c r="L577" t="s">
        <v>59</v>
      </c>
      <c r="M577">
        <v>5</v>
      </c>
      <c r="N577" t="s">
        <v>20</v>
      </c>
    </row>
    <row r="578" spans="1:14" x14ac:dyDescent="0.3">
      <c r="A578" s="1">
        <v>45189</v>
      </c>
      <c r="B578" t="s">
        <v>28</v>
      </c>
      <c r="C578" t="s">
        <v>11</v>
      </c>
      <c r="D578" t="s">
        <v>19</v>
      </c>
      <c r="E578">
        <v>2</v>
      </c>
      <c r="F578">
        <v>218</v>
      </c>
      <c r="G578">
        <v>38.93</v>
      </c>
      <c r="H578">
        <v>2023</v>
      </c>
      <c r="I578" t="s">
        <v>21</v>
      </c>
      <c r="J578" s="4">
        <v>0.17857798165137601</v>
      </c>
      <c r="K578" t="s">
        <v>40</v>
      </c>
      <c r="L578" t="s">
        <v>60</v>
      </c>
      <c r="M578">
        <v>9</v>
      </c>
      <c r="N578" t="s">
        <v>61</v>
      </c>
    </row>
    <row r="579" spans="1:14" x14ac:dyDescent="0.3">
      <c r="A579" s="1">
        <v>45252</v>
      </c>
      <c r="B579" t="s">
        <v>28</v>
      </c>
      <c r="C579" t="s">
        <v>11</v>
      </c>
      <c r="D579" t="s">
        <v>17</v>
      </c>
      <c r="E579">
        <v>2</v>
      </c>
      <c r="F579">
        <v>1258</v>
      </c>
      <c r="G579">
        <v>146.69999999999999</v>
      </c>
      <c r="H579">
        <v>2023</v>
      </c>
      <c r="I579" t="s">
        <v>18</v>
      </c>
      <c r="J579" s="4">
        <v>0.116613672496025</v>
      </c>
      <c r="K579" t="s">
        <v>40</v>
      </c>
      <c r="L579" t="s">
        <v>52</v>
      </c>
      <c r="M579">
        <v>11</v>
      </c>
      <c r="N579" t="s">
        <v>58</v>
      </c>
    </row>
    <row r="580" spans="1:14" x14ac:dyDescent="0.3">
      <c r="A580" s="1">
        <v>45272</v>
      </c>
      <c r="B580" t="s">
        <v>28</v>
      </c>
      <c r="C580" t="s">
        <v>11</v>
      </c>
      <c r="D580" t="s">
        <v>12</v>
      </c>
      <c r="E580">
        <v>2</v>
      </c>
      <c r="F580">
        <v>850</v>
      </c>
      <c r="G580">
        <v>59.92</v>
      </c>
      <c r="H580">
        <v>2023</v>
      </c>
      <c r="I580" t="s">
        <v>13</v>
      </c>
      <c r="J580" s="4">
        <v>7.0494117647058804E-2</v>
      </c>
      <c r="K580" t="s">
        <v>40</v>
      </c>
      <c r="L580" t="s">
        <v>52</v>
      </c>
      <c r="M580">
        <v>12</v>
      </c>
      <c r="N580" t="s">
        <v>53</v>
      </c>
    </row>
    <row r="581" spans="1:14" x14ac:dyDescent="0.3">
      <c r="A581" s="1">
        <v>44994</v>
      </c>
      <c r="B581" t="s">
        <v>28</v>
      </c>
      <c r="C581" t="s">
        <v>11</v>
      </c>
      <c r="D581" t="s">
        <v>12</v>
      </c>
      <c r="E581">
        <v>3</v>
      </c>
      <c r="F581">
        <v>1488</v>
      </c>
      <c r="G581">
        <v>382.09</v>
      </c>
      <c r="H581">
        <v>2023</v>
      </c>
      <c r="I581" t="s">
        <v>15</v>
      </c>
      <c r="J581" s="4">
        <v>0.25678091397849501</v>
      </c>
      <c r="K581" t="s">
        <v>40</v>
      </c>
      <c r="L581" t="s">
        <v>55</v>
      </c>
      <c r="M581">
        <v>3</v>
      </c>
      <c r="N581" t="s">
        <v>56</v>
      </c>
    </row>
    <row r="582" spans="1:14" x14ac:dyDescent="0.3">
      <c r="A582" s="1">
        <v>45257</v>
      </c>
      <c r="B582" t="s">
        <v>28</v>
      </c>
      <c r="C582" t="s">
        <v>11</v>
      </c>
      <c r="D582" t="s">
        <v>19</v>
      </c>
      <c r="E582">
        <v>6</v>
      </c>
      <c r="F582">
        <v>5508</v>
      </c>
      <c r="G582">
        <v>1632.37</v>
      </c>
      <c r="H582">
        <v>2023</v>
      </c>
      <c r="I582" t="s">
        <v>18</v>
      </c>
      <c r="J582" s="4">
        <v>0.29636347131445201</v>
      </c>
      <c r="K582" t="s">
        <v>40</v>
      </c>
      <c r="L582" t="s">
        <v>52</v>
      </c>
      <c r="M582">
        <v>11</v>
      </c>
      <c r="N582" t="s">
        <v>58</v>
      </c>
    </row>
    <row r="583" spans="1:14" x14ac:dyDescent="0.3">
      <c r="A583" s="1">
        <v>45212</v>
      </c>
      <c r="B583" t="s">
        <v>28</v>
      </c>
      <c r="C583" t="s">
        <v>11</v>
      </c>
      <c r="D583" t="s">
        <v>17</v>
      </c>
      <c r="E583">
        <v>9</v>
      </c>
      <c r="F583">
        <v>1467</v>
      </c>
      <c r="G583">
        <v>384.22</v>
      </c>
      <c r="H583">
        <v>2023</v>
      </c>
      <c r="I583" t="s">
        <v>14</v>
      </c>
      <c r="J583" s="4">
        <v>0.26190865712338102</v>
      </c>
      <c r="K583" t="s">
        <v>40</v>
      </c>
      <c r="L583" t="s">
        <v>52</v>
      </c>
      <c r="M583">
        <v>10</v>
      </c>
      <c r="N583" t="s">
        <v>54</v>
      </c>
    </row>
    <row r="584" spans="1:14" x14ac:dyDescent="0.3">
      <c r="A584" s="1">
        <v>44946</v>
      </c>
      <c r="B584" t="s">
        <v>28</v>
      </c>
      <c r="C584" t="s">
        <v>11</v>
      </c>
      <c r="D584" t="s">
        <v>19</v>
      </c>
      <c r="E584">
        <v>2</v>
      </c>
      <c r="F584">
        <v>1026</v>
      </c>
      <c r="G584">
        <v>64.510000000000005</v>
      </c>
      <c r="H584">
        <v>2023</v>
      </c>
      <c r="I584" t="s">
        <v>26</v>
      </c>
      <c r="J584" s="4">
        <v>6.2875243664717403E-2</v>
      </c>
      <c r="K584" t="s">
        <v>40</v>
      </c>
      <c r="L584" t="s">
        <v>55</v>
      </c>
      <c r="M584">
        <v>1</v>
      </c>
      <c r="N584" t="s">
        <v>65</v>
      </c>
    </row>
    <row r="585" spans="1:14" x14ac:dyDescent="0.3">
      <c r="A585" s="1">
        <v>45002</v>
      </c>
      <c r="B585" t="s">
        <v>28</v>
      </c>
      <c r="C585" t="s">
        <v>11</v>
      </c>
      <c r="D585" t="s">
        <v>22</v>
      </c>
      <c r="E585">
        <v>9</v>
      </c>
      <c r="F585">
        <v>8712</v>
      </c>
      <c r="G585">
        <v>1034.27</v>
      </c>
      <c r="H585">
        <v>2023</v>
      </c>
      <c r="I585" t="s">
        <v>15</v>
      </c>
      <c r="J585" s="4">
        <v>0.11871786042240599</v>
      </c>
      <c r="K585" t="s">
        <v>40</v>
      </c>
      <c r="L585" t="s">
        <v>55</v>
      </c>
      <c r="M585">
        <v>3</v>
      </c>
      <c r="N585" t="s">
        <v>56</v>
      </c>
    </row>
    <row r="586" spans="1:14" x14ac:dyDescent="0.3">
      <c r="A586" s="1">
        <v>45032</v>
      </c>
      <c r="B586" t="s">
        <v>28</v>
      </c>
      <c r="C586" t="s">
        <v>11</v>
      </c>
      <c r="D586" t="s">
        <v>12</v>
      </c>
      <c r="E586">
        <v>3</v>
      </c>
      <c r="F586">
        <v>1497</v>
      </c>
      <c r="G586">
        <v>122.76</v>
      </c>
      <c r="H586">
        <v>2023</v>
      </c>
      <c r="I586" t="s">
        <v>23</v>
      </c>
      <c r="J586" s="4">
        <v>8.2004008016032096E-2</v>
      </c>
      <c r="K586" t="s">
        <v>40</v>
      </c>
      <c r="L586" t="s">
        <v>59</v>
      </c>
      <c r="M586">
        <v>4</v>
      </c>
      <c r="N586" t="s">
        <v>62</v>
      </c>
    </row>
    <row r="587" spans="1:14" x14ac:dyDescent="0.3">
      <c r="A587" s="1">
        <v>45058</v>
      </c>
      <c r="B587" t="s">
        <v>28</v>
      </c>
      <c r="C587" t="s">
        <v>11</v>
      </c>
      <c r="D587" t="s">
        <v>22</v>
      </c>
      <c r="E587">
        <v>2</v>
      </c>
      <c r="F587">
        <v>322</v>
      </c>
      <c r="G587">
        <v>42.03</v>
      </c>
      <c r="H587">
        <v>2023</v>
      </c>
      <c r="I587" t="s">
        <v>20</v>
      </c>
      <c r="J587" s="4">
        <v>0.130527950310559</v>
      </c>
      <c r="K587" t="s">
        <v>40</v>
      </c>
      <c r="L587" t="s">
        <v>59</v>
      </c>
      <c r="M587">
        <v>5</v>
      </c>
      <c r="N587" t="s">
        <v>20</v>
      </c>
    </row>
    <row r="588" spans="1:14" x14ac:dyDescent="0.3">
      <c r="A588" s="1">
        <v>45101</v>
      </c>
      <c r="B588" t="s">
        <v>28</v>
      </c>
      <c r="C588" t="s">
        <v>11</v>
      </c>
      <c r="D588" t="s">
        <v>19</v>
      </c>
      <c r="E588">
        <v>8</v>
      </c>
      <c r="F588">
        <v>5368</v>
      </c>
      <c r="G588">
        <v>333.53</v>
      </c>
      <c r="H588">
        <v>2023</v>
      </c>
      <c r="I588" t="s">
        <v>27</v>
      </c>
      <c r="J588" s="4">
        <v>6.2133010432190799E-2</v>
      </c>
      <c r="K588" t="s">
        <v>40</v>
      </c>
      <c r="L588" t="s">
        <v>59</v>
      </c>
      <c r="M588">
        <v>6</v>
      </c>
      <c r="N588" t="s">
        <v>66</v>
      </c>
    </row>
    <row r="589" spans="1:14" x14ac:dyDescent="0.3">
      <c r="A589" s="1">
        <v>44970</v>
      </c>
      <c r="B589" t="s">
        <v>28</v>
      </c>
      <c r="C589" t="s">
        <v>11</v>
      </c>
      <c r="D589" t="s">
        <v>19</v>
      </c>
      <c r="E589">
        <v>2</v>
      </c>
      <c r="F589">
        <v>2334</v>
      </c>
      <c r="G589">
        <v>158.07</v>
      </c>
      <c r="H589">
        <v>2023</v>
      </c>
      <c r="I589" t="s">
        <v>16</v>
      </c>
      <c r="J589" s="4">
        <v>6.7724935732647804E-2</v>
      </c>
      <c r="K589" t="s">
        <v>40</v>
      </c>
      <c r="L589" t="s">
        <v>55</v>
      </c>
      <c r="M589">
        <v>2</v>
      </c>
      <c r="N589" t="s">
        <v>57</v>
      </c>
    </row>
    <row r="590" spans="1:14" x14ac:dyDescent="0.3">
      <c r="A590" s="1">
        <v>44936</v>
      </c>
      <c r="B590" t="s">
        <v>28</v>
      </c>
      <c r="C590" t="s">
        <v>11</v>
      </c>
      <c r="D590" t="s">
        <v>17</v>
      </c>
      <c r="E590">
        <v>4</v>
      </c>
      <c r="F590">
        <v>4476</v>
      </c>
      <c r="G590">
        <v>977.6</v>
      </c>
      <c r="H590">
        <v>2023</v>
      </c>
      <c r="I590" t="s">
        <v>26</v>
      </c>
      <c r="J590" s="4">
        <v>0.218409294012511</v>
      </c>
      <c r="K590" t="s">
        <v>40</v>
      </c>
      <c r="L590" t="s">
        <v>55</v>
      </c>
      <c r="M590">
        <v>1</v>
      </c>
      <c r="N590" t="s">
        <v>65</v>
      </c>
    </row>
    <row r="591" spans="1:14" x14ac:dyDescent="0.3">
      <c r="A591" s="1">
        <v>45182</v>
      </c>
      <c r="B591" t="s">
        <v>28</v>
      </c>
      <c r="C591" t="s">
        <v>11</v>
      </c>
      <c r="D591" t="s">
        <v>22</v>
      </c>
      <c r="E591">
        <v>7</v>
      </c>
      <c r="F591">
        <v>6237</v>
      </c>
      <c r="G591">
        <v>1784.89</v>
      </c>
      <c r="H591">
        <v>2023</v>
      </c>
      <c r="I591" t="s">
        <v>21</v>
      </c>
      <c r="J591" s="4">
        <v>0.28617764951098301</v>
      </c>
      <c r="K591" t="s">
        <v>40</v>
      </c>
      <c r="L591" t="s">
        <v>60</v>
      </c>
      <c r="M591">
        <v>9</v>
      </c>
      <c r="N591" t="s">
        <v>61</v>
      </c>
    </row>
    <row r="592" spans="1:14" x14ac:dyDescent="0.3">
      <c r="A592" s="1">
        <v>45253</v>
      </c>
      <c r="B592" t="s">
        <v>28</v>
      </c>
      <c r="C592" t="s">
        <v>11</v>
      </c>
      <c r="D592" t="s">
        <v>22</v>
      </c>
      <c r="E592">
        <v>1</v>
      </c>
      <c r="F592">
        <v>61</v>
      </c>
      <c r="G592">
        <v>16.11</v>
      </c>
      <c r="H592">
        <v>2023</v>
      </c>
      <c r="I592" t="s">
        <v>18</v>
      </c>
      <c r="J592" s="4">
        <v>0.264098360655738</v>
      </c>
      <c r="K592" t="s">
        <v>40</v>
      </c>
      <c r="L592" t="s">
        <v>52</v>
      </c>
      <c r="M592">
        <v>11</v>
      </c>
      <c r="N592" t="s">
        <v>58</v>
      </c>
    </row>
    <row r="593" spans="1:14" x14ac:dyDescent="0.3">
      <c r="A593" s="1">
        <v>45147</v>
      </c>
      <c r="B593" t="s">
        <v>28</v>
      </c>
      <c r="C593" t="s">
        <v>11</v>
      </c>
      <c r="D593" t="s">
        <v>22</v>
      </c>
      <c r="E593">
        <v>4</v>
      </c>
      <c r="F593">
        <v>3892</v>
      </c>
      <c r="G593">
        <v>909.22</v>
      </c>
      <c r="H593">
        <v>2023</v>
      </c>
      <c r="I593" t="s">
        <v>24</v>
      </c>
      <c r="J593" s="4">
        <v>0.23361253854059599</v>
      </c>
      <c r="K593" t="s">
        <v>40</v>
      </c>
      <c r="L593" t="s">
        <v>60</v>
      </c>
      <c r="M593">
        <v>8</v>
      </c>
      <c r="N593" t="s">
        <v>63</v>
      </c>
    </row>
    <row r="594" spans="1:14" x14ac:dyDescent="0.3">
      <c r="A594" s="1">
        <v>45130</v>
      </c>
      <c r="B594" t="s">
        <v>28</v>
      </c>
      <c r="C594" t="s">
        <v>11</v>
      </c>
      <c r="D594" t="s">
        <v>19</v>
      </c>
      <c r="E594">
        <v>7</v>
      </c>
      <c r="F594">
        <v>5432</v>
      </c>
      <c r="G594">
        <v>870.08</v>
      </c>
      <c r="H594">
        <v>2023</v>
      </c>
      <c r="I594" t="s">
        <v>25</v>
      </c>
      <c r="J594" s="4">
        <v>0.160176730486009</v>
      </c>
      <c r="K594" t="s">
        <v>40</v>
      </c>
      <c r="L594" t="s">
        <v>60</v>
      </c>
      <c r="M594">
        <v>7</v>
      </c>
      <c r="N594" t="s">
        <v>64</v>
      </c>
    </row>
    <row r="595" spans="1:14" x14ac:dyDescent="0.3">
      <c r="A595" s="1">
        <v>45212</v>
      </c>
      <c r="B595" t="s">
        <v>28</v>
      </c>
      <c r="C595" t="s">
        <v>11</v>
      </c>
      <c r="D595" t="s">
        <v>19</v>
      </c>
      <c r="E595">
        <v>6</v>
      </c>
      <c r="F595">
        <v>1758</v>
      </c>
      <c r="G595">
        <v>287.36</v>
      </c>
      <c r="H595">
        <v>2023</v>
      </c>
      <c r="I595" t="s">
        <v>14</v>
      </c>
      <c r="J595" s="4">
        <v>0.163458475540387</v>
      </c>
      <c r="K595" t="s">
        <v>40</v>
      </c>
      <c r="L595" t="s">
        <v>52</v>
      </c>
      <c r="M595">
        <v>10</v>
      </c>
      <c r="N595" t="s">
        <v>54</v>
      </c>
    </row>
    <row r="596" spans="1:14" x14ac:dyDescent="0.3">
      <c r="A596" s="1">
        <v>45120</v>
      </c>
      <c r="B596" t="s">
        <v>28</v>
      </c>
      <c r="C596" t="s">
        <v>11</v>
      </c>
      <c r="D596" t="s">
        <v>22</v>
      </c>
      <c r="E596">
        <v>2</v>
      </c>
      <c r="F596">
        <v>1734</v>
      </c>
      <c r="G596">
        <v>310.76</v>
      </c>
      <c r="H596">
        <v>2023</v>
      </c>
      <c r="I596" t="s">
        <v>25</v>
      </c>
      <c r="J596" s="4">
        <v>0.17921568627451001</v>
      </c>
      <c r="K596" t="s">
        <v>40</v>
      </c>
      <c r="L596" t="s">
        <v>60</v>
      </c>
      <c r="M596">
        <v>7</v>
      </c>
      <c r="N596" t="s">
        <v>64</v>
      </c>
    </row>
    <row r="597" spans="1:14" x14ac:dyDescent="0.3">
      <c r="A597" s="1">
        <v>45071</v>
      </c>
      <c r="B597" t="s">
        <v>28</v>
      </c>
      <c r="C597" t="s">
        <v>11</v>
      </c>
      <c r="D597" t="s">
        <v>17</v>
      </c>
      <c r="E597">
        <v>7</v>
      </c>
      <c r="F597">
        <v>6706</v>
      </c>
      <c r="G597">
        <v>1687.22</v>
      </c>
      <c r="H597">
        <v>2023</v>
      </c>
      <c r="I597" t="s">
        <v>20</v>
      </c>
      <c r="J597" s="4">
        <v>0.25159856844616801</v>
      </c>
      <c r="K597" t="s">
        <v>40</v>
      </c>
      <c r="L597" t="s">
        <v>59</v>
      </c>
      <c r="M597">
        <v>5</v>
      </c>
      <c r="N597" t="s">
        <v>20</v>
      </c>
    </row>
    <row r="598" spans="1:14" x14ac:dyDescent="0.3">
      <c r="A598" s="1">
        <v>44953</v>
      </c>
      <c r="B598" t="s">
        <v>28</v>
      </c>
      <c r="C598" t="s">
        <v>11</v>
      </c>
      <c r="D598" t="s">
        <v>19</v>
      </c>
      <c r="E598">
        <v>6</v>
      </c>
      <c r="F598">
        <v>396</v>
      </c>
      <c r="G598">
        <v>89.51</v>
      </c>
      <c r="H598">
        <v>2023</v>
      </c>
      <c r="I598" t="s">
        <v>26</v>
      </c>
      <c r="J598" s="4">
        <v>0.22603535353535401</v>
      </c>
      <c r="K598" t="s">
        <v>40</v>
      </c>
      <c r="L598" t="s">
        <v>55</v>
      </c>
      <c r="M598">
        <v>1</v>
      </c>
      <c r="N598" t="s">
        <v>65</v>
      </c>
    </row>
    <row r="599" spans="1:14" x14ac:dyDescent="0.3">
      <c r="A599" s="1">
        <v>44961</v>
      </c>
      <c r="B599" t="s">
        <v>28</v>
      </c>
      <c r="C599" t="s">
        <v>11</v>
      </c>
      <c r="D599" t="s">
        <v>19</v>
      </c>
      <c r="E599">
        <v>2</v>
      </c>
      <c r="F599">
        <v>1378</v>
      </c>
      <c r="G599">
        <v>183.1</v>
      </c>
      <c r="H599">
        <v>2023</v>
      </c>
      <c r="I599" t="s">
        <v>16</v>
      </c>
      <c r="J599" s="4">
        <v>0.132873730043541</v>
      </c>
      <c r="K599" t="s">
        <v>40</v>
      </c>
      <c r="L599" t="s">
        <v>55</v>
      </c>
      <c r="M599">
        <v>2</v>
      </c>
      <c r="N599" t="s">
        <v>57</v>
      </c>
    </row>
    <row r="600" spans="1:14" x14ac:dyDescent="0.3">
      <c r="A600" s="1">
        <v>45185</v>
      </c>
      <c r="B600" t="s">
        <v>28</v>
      </c>
      <c r="C600" t="s">
        <v>11</v>
      </c>
      <c r="D600" t="s">
        <v>19</v>
      </c>
      <c r="E600">
        <v>9</v>
      </c>
      <c r="F600">
        <v>9090</v>
      </c>
      <c r="G600">
        <v>727.64</v>
      </c>
      <c r="H600">
        <v>2023</v>
      </c>
      <c r="I600" t="s">
        <v>21</v>
      </c>
      <c r="J600" s="4">
        <v>8.0048404840484005E-2</v>
      </c>
      <c r="K600" t="s">
        <v>40</v>
      </c>
      <c r="L600" t="s">
        <v>60</v>
      </c>
      <c r="M600">
        <v>9</v>
      </c>
      <c r="N600" t="s">
        <v>61</v>
      </c>
    </row>
    <row r="601" spans="1:14" x14ac:dyDescent="0.3">
      <c r="A601" s="1">
        <v>45126</v>
      </c>
      <c r="B601" t="s">
        <v>28</v>
      </c>
      <c r="C601" t="s">
        <v>11</v>
      </c>
      <c r="D601" t="s">
        <v>12</v>
      </c>
      <c r="E601">
        <v>2</v>
      </c>
      <c r="F601">
        <v>2388</v>
      </c>
      <c r="G601">
        <v>492.54</v>
      </c>
      <c r="H601">
        <v>2023</v>
      </c>
      <c r="I601" t="s">
        <v>25</v>
      </c>
      <c r="J601" s="4">
        <v>0.206256281407035</v>
      </c>
      <c r="K601" t="s">
        <v>40</v>
      </c>
      <c r="L601" t="s">
        <v>60</v>
      </c>
      <c r="M601">
        <v>7</v>
      </c>
      <c r="N601" t="s">
        <v>64</v>
      </c>
    </row>
    <row r="602" spans="1:14" x14ac:dyDescent="0.3">
      <c r="A602" s="1">
        <v>45023</v>
      </c>
      <c r="B602" t="s">
        <v>28</v>
      </c>
      <c r="C602" t="s">
        <v>11</v>
      </c>
      <c r="D602" t="s">
        <v>12</v>
      </c>
      <c r="E602">
        <v>5</v>
      </c>
      <c r="F602">
        <v>2480</v>
      </c>
      <c r="G602">
        <v>601.66</v>
      </c>
      <c r="H602">
        <v>2023</v>
      </c>
      <c r="I602" t="s">
        <v>23</v>
      </c>
      <c r="J602" s="4">
        <v>0.242604838709677</v>
      </c>
      <c r="K602" t="s">
        <v>40</v>
      </c>
      <c r="L602" t="s">
        <v>59</v>
      </c>
      <c r="M602">
        <v>4</v>
      </c>
      <c r="N602" t="s">
        <v>62</v>
      </c>
    </row>
    <row r="603" spans="1:14" x14ac:dyDescent="0.3">
      <c r="A603" s="1">
        <v>45044</v>
      </c>
      <c r="B603" t="s">
        <v>28</v>
      </c>
      <c r="C603" t="s">
        <v>11</v>
      </c>
      <c r="D603" t="s">
        <v>19</v>
      </c>
      <c r="E603">
        <v>8</v>
      </c>
      <c r="F603">
        <v>7600</v>
      </c>
      <c r="G603">
        <v>1099.8800000000001</v>
      </c>
      <c r="H603">
        <v>2023</v>
      </c>
      <c r="I603" t="s">
        <v>23</v>
      </c>
      <c r="J603" s="4">
        <v>0.144721052631579</v>
      </c>
      <c r="K603" t="s">
        <v>40</v>
      </c>
      <c r="L603" t="s">
        <v>59</v>
      </c>
      <c r="M603">
        <v>4</v>
      </c>
      <c r="N603" t="s">
        <v>62</v>
      </c>
    </row>
    <row r="604" spans="1:14" x14ac:dyDescent="0.3">
      <c r="A604" s="1">
        <v>45205</v>
      </c>
      <c r="B604" t="s">
        <v>28</v>
      </c>
      <c r="C604" t="s">
        <v>11</v>
      </c>
      <c r="D604" t="s">
        <v>17</v>
      </c>
      <c r="E604">
        <v>1</v>
      </c>
      <c r="F604">
        <v>915</v>
      </c>
      <c r="G604">
        <v>264.3</v>
      </c>
      <c r="H604">
        <v>2023</v>
      </c>
      <c r="I604" t="s">
        <v>14</v>
      </c>
      <c r="J604" s="4">
        <v>0.288852459016393</v>
      </c>
      <c r="K604" t="s">
        <v>40</v>
      </c>
      <c r="L604" t="s">
        <v>52</v>
      </c>
      <c r="M604">
        <v>10</v>
      </c>
      <c r="N604" t="s">
        <v>54</v>
      </c>
    </row>
    <row r="605" spans="1:14" x14ac:dyDescent="0.3">
      <c r="A605" s="1">
        <v>45399</v>
      </c>
      <c r="B605" t="s">
        <v>28</v>
      </c>
      <c r="C605" t="s">
        <v>11</v>
      </c>
      <c r="D605" t="s">
        <v>19</v>
      </c>
      <c r="E605">
        <v>6</v>
      </c>
      <c r="F605">
        <v>2124</v>
      </c>
      <c r="G605">
        <v>126.03</v>
      </c>
      <c r="H605">
        <v>2024</v>
      </c>
      <c r="I605" t="s">
        <v>23</v>
      </c>
      <c r="J605" s="4">
        <v>5.9336158192090399E-2</v>
      </c>
      <c r="K605" t="s">
        <v>41</v>
      </c>
      <c r="L605" t="s">
        <v>59</v>
      </c>
      <c r="M605">
        <v>4</v>
      </c>
      <c r="N605" t="s">
        <v>62</v>
      </c>
    </row>
    <row r="606" spans="1:14" x14ac:dyDescent="0.3">
      <c r="A606" s="1">
        <v>45643</v>
      </c>
      <c r="B606" t="s">
        <v>28</v>
      </c>
      <c r="C606" t="s">
        <v>11</v>
      </c>
      <c r="D606" t="s">
        <v>19</v>
      </c>
      <c r="E606">
        <v>3</v>
      </c>
      <c r="F606">
        <v>2118</v>
      </c>
      <c r="G606">
        <v>317.08</v>
      </c>
      <c r="H606">
        <v>2024</v>
      </c>
      <c r="I606" t="s">
        <v>13</v>
      </c>
      <c r="J606" s="4">
        <v>0.149707271010387</v>
      </c>
      <c r="K606" t="s">
        <v>41</v>
      </c>
      <c r="L606" t="s">
        <v>52</v>
      </c>
      <c r="M606">
        <v>12</v>
      </c>
      <c r="N606" t="s">
        <v>53</v>
      </c>
    </row>
    <row r="607" spans="1:14" x14ac:dyDescent="0.3">
      <c r="A607" s="1">
        <v>45574</v>
      </c>
      <c r="B607" t="s">
        <v>28</v>
      </c>
      <c r="C607" t="s">
        <v>11</v>
      </c>
      <c r="D607" t="s">
        <v>17</v>
      </c>
      <c r="E607">
        <v>5</v>
      </c>
      <c r="F607">
        <v>830</v>
      </c>
      <c r="G607">
        <v>58.28</v>
      </c>
      <c r="H607">
        <v>2024</v>
      </c>
      <c r="I607" t="s">
        <v>14</v>
      </c>
      <c r="J607" s="4">
        <v>7.0216867469879499E-2</v>
      </c>
      <c r="K607" t="s">
        <v>41</v>
      </c>
      <c r="L607" t="s">
        <v>52</v>
      </c>
      <c r="M607">
        <v>10</v>
      </c>
      <c r="N607" t="s">
        <v>54</v>
      </c>
    </row>
    <row r="608" spans="1:14" x14ac:dyDescent="0.3">
      <c r="A608" s="1">
        <v>45300</v>
      </c>
      <c r="B608" t="s">
        <v>28</v>
      </c>
      <c r="C608" t="s">
        <v>11</v>
      </c>
      <c r="D608" t="s">
        <v>17</v>
      </c>
      <c r="E608">
        <v>5</v>
      </c>
      <c r="F608">
        <v>2530</v>
      </c>
      <c r="G608">
        <v>486.09</v>
      </c>
      <c r="H608">
        <v>2024</v>
      </c>
      <c r="I608" t="s">
        <v>26</v>
      </c>
      <c r="J608" s="4">
        <v>0.19213043478260899</v>
      </c>
      <c r="K608" t="s">
        <v>41</v>
      </c>
      <c r="L608" t="s">
        <v>55</v>
      </c>
      <c r="M608">
        <v>1</v>
      </c>
      <c r="N608" t="s">
        <v>65</v>
      </c>
    </row>
    <row r="609" spans="1:14" x14ac:dyDescent="0.3">
      <c r="A609" s="1">
        <v>45355</v>
      </c>
      <c r="B609" t="s">
        <v>28</v>
      </c>
      <c r="C609" t="s">
        <v>11</v>
      </c>
      <c r="D609" t="s">
        <v>17</v>
      </c>
      <c r="E609">
        <v>2</v>
      </c>
      <c r="F609">
        <v>2302</v>
      </c>
      <c r="G609">
        <v>305.07</v>
      </c>
      <c r="H609">
        <v>2024</v>
      </c>
      <c r="I609" t="s">
        <v>15</v>
      </c>
      <c r="J609" s="4">
        <v>0.13252389226759301</v>
      </c>
      <c r="K609" t="s">
        <v>41</v>
      </c>
      <c r="L609" t="s">
        <v>55</v>
      </c>
      <c r="M609">
        <v>3</v>
      </c>
      <c r="N609" t="s">
        <v>56</v>
      </c>
    </row>
    <row r="610" spans="1:14" x14ac:dyDescent="0.3">
      <c r="A610" s="1">
        <v>45373</v>
      </c>
      <c r="B610" t="s">
        <v>28</v>
      </c>
      <c r="C610" t="s">
        <v>11</v>
      </c>
      <c r="D610" t="s">
        <v>17</v>
      </c>
      <c r="E610">
        <v>7</v>
      </c>
      <c r="F610">
        <v>945</v>
      </c>
      <c r="G610">
        <v>124.62</v>
      </c>
      <c r="H610">
        <v>2024</v>
      </c>
      <c r="I610" t="s">
        <v>15</v>
      </c>
      <c r="J610" s="4">
        <v>0.131873015873016</v>
      </c>
      <c r="K610" t="s">
        <v>41</v>
      </c>
      <c r="L610" t="s">
        <v>55</v>
      </c>
      <c r="M610">
        <v>3</v>
      </c>
      <c r="N610" t="s">
        <v>56</v>
      </c>
    </row>
    <row r="611" spans="1:14" x14ac:dyDescent="0.3">
      <c r="A611" s="1">
        <v>45554</v>
      </c>
      <c r="B611" t="s">
        <v>28</v>
      </c>
      <c r="C611" t="s">
        <v>11</v>
      </c>
      <c r="D611" t="s">
        <v>19</v>
      </c>
      <c r="E611">
        <v>8</v>
      </c>
      <c r="F611">
        <v>8056</v>
      </c>
      <c r="G611">
        <v>605.79999999999995</v>
      </c>
      <c r="H611">
        <v>2024</v>
      </c>
      <c r="I611" t="s">
        <v>21</v>
      </c>
      <c r="J611" s="4">
        <v>7.5198609731876795E-2</v>
      </c>
      <c r="K611" t="s">
        <v>41</v>
      </c>
      <c r="L611" t="s">
        <v>60</v>
      </c>
      <c r="M611">
        <v>9</v>
      </c>
      <c r="N611" t="s">
        <v>61</v>
      </c>
    </row>
    <row r="612" spans="1:14" x14ac:dyDescent="0.3">
      <c r="A612" s="1">
        <v>45602</v>
      </c>
      <c r="B612" t="s">
        <v>28</v>
      </c>
      <c r="C612" t="s">
        <v>11</v>
      </c>
      <c r="D612" t="s">
        <v>17</v>
      </c>
      <c r="E612">
        <v>4</v>
      </c>
      <c r="F612">
        <v>360</v>
      </c>
      <c r="G612">
        <v>42.66</v>
      </c>
      <c r="H612">
        <v>2024</v>
      </c>
      <c r="I612" t="s">
        <v>18</v>
      </c>
      <c r="J612" s="4">
        <v>0.11849999999999999</v>
      </c>
      <c r="K612" t="s">
        <v>41</v>
      </c>
      <c r="L612" t="s">
        <v>52</v>
      </c>
      <c r="M612">
        <v>11</v>
      </c>
      <c r="N612" t="s">
        <v>58</v>
      </c>
    </row>
    <row r="613" spans="1:14" x14ac:dyDescent="0.3">
      <c r="A613" s="1">
        <v>45380</v>
      </c>
      <c r="B613" t="s">
        <v>28</v>
      </c>
      <c r="C613" t="s">
        <v>11</v>
      </c>
      <c r="D613" t="s">
        <v>17</v>
      </c>
      <c r="E613">
        <v>2</v>
      </c>
      <c r="F613">
        <v>2138</v>
      </c>
      <c r="G613">
        <v>619.29</v>
      </c>
      <c r="H613">
        <v>2024</v>
      </c>
      <c r="I613" t="s">
        <v>15</v>
      </c>
      <c r="J613" s="4">
        <v>0.28965855940131002</v>
      </c>
      <c r="K613" t="s">
        <v>41</v>
      </c>
      <c r="L613" t="s">
        <v>55</v>
      </c>
      <c r="M613">
        <v>3</v>
      </c>
      <c r="N613" t="s">
        <v>56</v>
      </c>
    </row>
    <row r="614" spans="1:14" x14ac:dyDescent="0.3">
      <c r="A614" s="1">
        <v>45602</v>
      </c>
      <c r="B614" t="s">
        <v>28</v>
      </c>
      <c r="C614" t="s">
        <v>11</v>
      </c>
      <c r="D614" t="s">
        <v>17</v>
      </c>
      <c r="E614">
        <v>2</v>
      </c>
      <c r="F614">
        <v>244</v>
      </c>
      <c r="G614">
        <v>16.78</v>
      </c>
      <c r="H614">
        <v>2024</v>
      </c>
      <c r="I614" t="s">
        <v>18</v>
      </c>
      <c r="J614" s="4">
        <v>6.8770491803278697E-2</v>
      </c>
      <c r="K614" t="s">
        <v>41</v>
      </c>
      <c r="L614" t="s">
        <v>52</v>
      </c>
      <c r="M614">
        <v>11</v>
      </c>
      <c r="N614" t="s">
        <v>58</v>
      </c>
    </row>
    <row r="615" spans="1:14" x14ac:dyDescent="0.3">
      <c r="A615" s="1">
        <v>45542</v>
      </c>
      <c r="B615" t="s">
        <v>28</v>
      </c>
      <c r="C615" t="s">
        <v>11</v>
      </c>
      <c r="D615" t="s">
        <v>22</v>
      </c>
      <c r="E615">
        <v>7</v>
      </c>
      <c r="F615">
        <v>3150</v>
      </c>
      <c r="G615">
        <v>299.7</v>
      </c>
      <c r="H615">
        <v>2024</v>
      </c>
      <c r="I615" t="s">
        <v>21</v>
      </c>
      <c r="J615" s="4">
        <v>9.5142857142857098E-2</v>
      </c>
      <c r="K615" t="s">
        <v>41</v>
      </c>
      <c r="L615" t="s">
        <v>60</v>
      </c>
      <c r="M615">
        <v>9</v>
      </c>
      <c r="N615" t="s">
        <v>61</v>
      </c>
    </row>
    <row r="616" spans="1:14" x14ac:dyDescent="0.3">
      <c r="A616" s="1">
        <v>45314</v>
      </c>
      <c r="B616" t="s">
        <v>28</v>
      </c>
      <c r="C616" t="s">
        <v>11</v>
      </c>
      <c r="D616" t="s">
        <v>22</v>
      </c>
      <c r="E616">
        <v>2</v>
      </c>
      <c r="F616">
        <v>1748</v>
      </c>
      <c r="G616">
        <v>183.75</v>
      </c>
      <c r="H616">
        <v>2024</v>
      </c>
      <c r="I616" t="s">
        <v>26</v>
      </c>
      <c r="J616" s="4">
        <v>0.105120137299771</v>
      </c>
      <c r="K616" t="s">
        <v>41</v>
      </c>
      <c r="L616" t="s">
        <v>55</v>
      </c>
      <c r="M616">
        <v>1</v>
      </c>
      <c r="N616" t="s">
        <v>65</v>
      </c>
    </row>
    <row r="617" spans="1:14" x14ac:dyDescent="0.3">
      <c r="A617" s="1">
        <v>45432</v>
      </c>
      <c r="B617" t="s">
        <v>28</v>
      </c>
      <c r="C617" t="s">
        <v>11</v>
      </c>
      <c r="D617" t="s">
        <v>22</v>
      </c>
      <c r="E617">
        <v>6</v>
      </c>
      <c r="F617">
        <v>7056</v>
      </c>
      <c r="G617">
        <v>586.91</v>
      </c>
      <c r="H617">
        <v>2024</v>
      </c>
      <c r="I617" t="s">
        <v>20</v>
      </c>
      <c r="J617" s="4">
        <v>8.3178854875283398E-2</v>
      </c>
      <c r="K617" t="s">
        <v>41</v>
      </c>
      <c r="L617" t="s">
        <v>59</v>
      </c>
      <c r="M617">
        <v>5</v>
      </c>
      <c r="N617" t="s">
        <v>20</v>
      </c>
    </row>
    <row r="618" spans="1:14" x14ac:dyDescent="0.3">
      <c r="A618" s="1">
        <v>45448</v>
      </c>
      <c r="B618" t="s">
        <v>28</v>
      </c>
      <c r="C618" t="s">
        <v>11</v>
      </c>
      <c r="D618" t="s">
        <v>12</v>
      </c>
      <c r="E618">
        <v>2</v>
      </c>
      <c r="F618">
        <v>384</v>
      </c>
      <c r="G618">
        <v>38.409999999999997</v>
      </c>
      <c r="H618">
        <v>2024</v>
      </c>
      <c r="I618" t="s">
        <v>27</v>
      </c>
      <c r="J618" s="4">
        <v>0.100026041666667</v>
      </c>
      <c r="K618" t="s">
        <v>41</v>
      </c>
      <c r="L618" t="s">
        <v>59</v>
      </c>
      <c r="M618">
        <v>6</v>
      </c>
      <c r="N618" t="s">
        <v>66</v>
      </c>
    </row>
    <row r="619" spans="1:14" x14ac:dyDescent="0.3">
      <c r="A619" s="1">
        <v>45293</v>
      </c>
      <c r="B619" t="s">
        <v>28</v>
      </c>
      <c r="C619" t="s">
        <v>11</v>
      </c>
      <c r="D619" t="s">
        <v>12</v>
      </c>
      <c r="E619">
        <v>8</v>
      </c>
      <c r="F619">
        <v>3624</v>
      </c>
      <c r="G619">
        <v>750.86</v>
      </c>
      <c r="H619">
        <v>2024</v>
      </c>
      <c r="I619" t="s">
        <v>26</v>
      </c>
      <c r="J619" s="4">
        <v>0.20719094922737299</v>
      </c>
      <c r="K619" t="s">
        <v>41</v>
      </c>
      <c r="L619" t="s">
        <v>55</v>
      </c>
      <c r="M619">
        <v>1</v>
      </c>
      <c r="N619" t="s">
        <v>65</v>
      </c>
    </row>
    <row r="620" spans="1:14" x14ac:dyDescent="0.3">
      <c r="A620" s="1">
        <v>45533</v>
      </c>
      <c r="B620" t="s">
        <v>28</v>
      </c>
      <c r="C620" t="s">
        <v>11</v>
      </c>
      <c r="D620" t="s">
        <v>17</v>
      </c>
      <c r="E620">
        <v>9</v>
      </c>
      <c r="F620">
        <v>1638</v>
      </c>
      <c r="G620">
        <v>183.75</v>
      </c>
      <c r="H620">
        <v>2024</v>
      </c>
      <c r="I620" t="s">
        <v>24</v>
      </c>
      <c r="J620" s="4">
        <v>0.112179487179487</v>
      </c>
      <c r="K620" t="s">
        <v>41</v>
      </c>
      <c r="L620" t="s">
        <v>60</v>
      </c>
      <c r="M620">
        <v>8</v>
      </c>
      <c r="N620" t="s">
        <v>63</v>
      </c>
    </row>
    <row r="621" spans="1:14" x14ac:dyDescent="0.3">
      <c r="A621" s="1">
        <v>45599</v>
      </c>
      <c r="B621" t="s">
        <v>28</v>
      </c>
      <c r="C621" t="s">
        <v>11</v>
      </c>
      <c r="D621" t="s">
        <v>17</v>
      </c>
      <c r="E621">
        <v>6</v>
      </c>
      <c r="F621">
        <v>6510</v>
      </c>
      <c r="G621">
        <v>1539.18</v>
      </c>
      <c r="H621">
        <v>2024</v>
      </c>
      <c r="I621" t="s">
        <v>18</v>
      </c>
      <c r="J621" s="4">
        <v>0.236433179723502</v>
      </c>
      <c r="K621" t="s">
        <v>41</v>
      </c>
      <c r="L621" t="s">
        <v>52</v>
      </c>
      <c r="M621">
        <v>11</v>
      </c>
      <c r="N621" t="s">
        <v>58</v>
      </c>
    </row>
    <row r="622" spans="1:14" x14ac:dyDescent="0.3">
      <c r="A622" s="1">
        <v>45402</v>
      </c>
      <c r="B622" t="s">
        <v>28</v>
      </c>
      <c r="C622" t="s">
        <v>11</v>
      </c>
      <c r="D622" t="s">
        <v>17</v>
      </c>
      <c r="E622">
        <v>6</v>
      </c>
      <c r="F622">
        <v>1524</v>
      </c>
      <c r="G622">
        <v>178.36</v>
      </c>
      <c r="H622">
        <v>2024</v>
      </c>
      <c r="I622" t="s">
        <v>23</v>
      </c>
      <c r="J622" s="4">
        <v>0.117034120734908</v>
      </c>
      <c r="K622" t="s">
        <v>41</v>
      </c>
      <c r="L622" t="s">
        <v>59</v>
      </c>
      <c r="M622">
        <v>4</v>
      </c>
      <c r="N622" t="s">
        <v>62</v>
      </c>
    </row>
    <row r="623" spans="1:14" x14ac:dyDescent="0.3">
      <c r="A623" s="1">
        <v>45629</v>
      </c>
      <c r="B623" t="s">
        <v>28</v>
      </c>
      <c r="C623" t="s">
        <v>11</v>
      </c>
      <c r="D623" t="s">
        <v>17</v>
      </c>
      <c r="E623">
        <v>1</v>
      </c>
      <c r="F623">
        <v>496</v>
      </c>
      <c r="G623">
        <v>93.31</v>
      </c>
      <c r="H623">
        <v>2024</v>
      </c>
      <c r="I623" t="s">
        <v>13</v>
      </c>
      <c r="J623" s="4">
        <v>0.18812499999999999</v>
      </c>
      <c r="K623" t="s">
        <v>41</v>
      </c>
      <c r="L623" t="s">
        <v>52</v>
      </c>
      <c r="M623">
        <v>12</v>
      </c>
      <c r="N623" t="s">
        <v>53</v>
      </c>
    </row>
    <row r="624" spans="1:14" x14ac:dyDescent="0.3">
      <c r="A624" s="1">
        <v>45490</v>
      </c>
      <c r="B624" t="s">
        <v>28</v>
      </c>
      <c r="C624" t="s">
        <v>11</v>
      </c>
      <c r="D624" t="s">
        <v>12</v>
      </c>
      <c r="E624">
        <v>7</v>
      </c>
      <c r="F624">
        <v>1988</v>
      </c>
      <c r="G624">
        <v>430.59</v>
      </c>
      <c r="H624">
        <v>2024</v>
      </c>
      <c r="I624" t="s">
        <v>25</v>
      </c>
      <c r="J624" s="4">
        <v>0.21659456740442701</v>
      </c>
      <c r="K624" t="s">
        <v>41</v>
      </c>
      <c r="L624" t="s">
        <v>60</v>
      </c>
      <c r="M624">
        <v>7</v>
      </c>
      <c r="N624" t="s">
        <v>64</v>
      </c>
    </row>
    <row r="625" spans="1:14" x14ac:dyDescent="0.3">
      <c r="A625" s="1">
        <v>45604</v>
      </c>
      <c r="B625" t="s">
        <v>28</v>
      </c>
      <c r="C625" t="s">
        <v>11</v>
      </c>
      <c r="D625" t="s">
        <v>19</v>
      </c>
      <c r="E625">
        <v>9</v>
      </c>
      <c r="F625">
        <v>3654</v>
      </c>
      <c r="G625">
        <v>581.9</v>
      </c>
      <c r="H625">
        <v>2024</v>
      </c>
      <c r="I625" t="s">
        <v>18</v>
      </c>
      <c r="J625" s="4">
        <v>0.15925013683634401</v>
      </c>
      <c r="K625" t="s">
        <v>41</v>
      </c>
      <c r="L625" t="s">
        <v>52</v>
      </c>
      <c r="M625">
        <v>11</v>
      </c>
      <c r="N625" t="s">
        <v>58</v>
      </c>
    </row>
    <row r="626" spans="1:14" x14ac:dyDescent="0.3">
      <c r="A626" s="1">
        <v>45596</v>
      </c>
      <c r="B626" t="s">
        <v>28</v>
      </c>
      <c r="C626" t="s">
        <v>11</v>
      </c>
      <c r="D626" t="s">
        <v>22</v>
      </c>
      <c r="E626">
        <v>3</v>
      </c>
      <c r="F626">
        <v>2943</v>
      </c>
      <c r="G626">
        <v>234.27</v>
      </c>
      <c r="H626">
        <v>2024</v>
      </c>
      <c r="I626" t="s">
        <v>14</v>
      </c>
      <c r="J626" s="4">
        <v>7.9602446483180406E-2</v>
      </c>
      <c r="K626" t="s">
        <v>41</v>
      </c>
      <c r="L626" t="s">
        <v>52</v>
      </c>
      <c r="M626">
        <v>10</v>
      </c>
      <c r="N626" t="s">
        <v>54</v>
      </c>
    </row>
    <row r="627" spans="1:14" x14ac:dyDescent="0.3">
      <c r="A627" s="1">
        <v>45351</v>
      </c>
      <c r="B627" t="s">
        <v>28</v>
      </c>
      <c r="C627" t="s">
        <v>11</v>
      </c>
      <c r="D627" t="s">
        <v>22</v>
      </c>
      <c r="E627">
        <v>6</v>
      </c>
      <c r="F627">
        <v>1290</v>
      </c>
      <c r="G627">
        <v>343.35</v>
      </c>
      <c r="H627">
        <v>2024</v>
      </c>
      <c r="I627" t="s">
        <v>16</v>
      </c>
      <c r="J627" s="4">
        <v>0.26616279069767401</v>
      </c>
      <c r="K627" t="s">
        <v>41</v>
      </c>
      <c r="L627" t="s">
        <v>55</v>
      </c>
      <c r="M627">
        <v>2</v>
      </c>
      <c r="N627" t="s">
        <v>57</v>
      </c>
    </row>
    <row r="628" spans="1:14" x14ac:dyDescent="0.3">
      <c r="A628" s="1">
        <v>45424</v>
      </c>
      <c r="B628" t="s">
        <v>28</v>
      </c>
      <c r="C628" t="s">
        <v>11</v>
      </c>
      <c r="D628" t="s">
        <v>17</v>
      </c>
      <c r="E628">
        <v>3</v>
      </c>
      <c r="F628">
        <v>564</v>
      </c>
      <c r="G628">
        <v>108.35</v>
      </c>
      <c r="H628">
        <v>2024</v>
      </c>
      <c r="I628" t="s">
        <v>20</v>
      </c>
      <c r="J628" s="4">
        <v>0.192109929078014</v>
      </c>
      <c r="K628" t="s">
        <v>41</v>
      </c>
      <c r="L628" t="s">
        <v>59</v>
      </c>
      <c r="M628">
        <v>5</v>
      </c>
      <c r="N628" t="s">
        <v>20</v>
      </c>
    </row>
    <row r="629" spans="1:14" x14ac:dyDescent="0.3">
      <c r="A629" s="1">
        <v>45477</v>
      </c>
      <c r="B629" t="s">
        <v>28</v>
      </c>
      <c r="C629" t="s">
        <v>11</v>
      </c>
      <c r="D629" t="s">
        <v>12</v>
      </c>
      <c r="E629">
        <v>8</v>
      </c>
      <c r="F629">
        <v>4472</v>
      </c>
      <c r="G629">
        <v>290.79000000000002</v>
      </c>
      <c r="H629">
        <v>2024</v>
      </c>
      <c r="I629" t="s">
        <v>25</v>
      </c>
      <c r="J629" s="4">
        <v>6.5024597495527706E-2</v>
      </c>
      <c r="K629" t="s">
        <v>41</v>
      </c>
      <c r="L629" t="s">
        <v>60</v>
      </c>
      <c r="M629">
        <v>7</v>
      </c>
      <c r="N629" t="s">
        <v>64</v>
      </c>
    </row>
    <row r="630" spans="1:14" x14ac:dyDescent="0.3">
      <c r="A630" s="1">
        <v>45410</v>
      </c>
      <c r="B630" t="s">
        <v>28</v>
      </c>
      <c r="C630" t="s">
        <v>11</v>
      </c>
      <c r="D630" t="s">
        <v>17</v>
      </c>
      <c r="E630">
        <v>1</v>
      </c>
      <c r="F630">
        <v>1169</v>
      </c>
      <c r="G630">
        <v>340.69</v>
      </c>
      <c r="H630">
        <v>2024</v>
      </c>
      <c r="I630" t="s">
        <v>23</v>
      </c>
      <c r="J630" s="4">
        <v>0.291437125748503</v>
      </c>
      <c r="K630" t="s">
        <v>41</v>
      </c>
      <c r="L630" t="s">
        <v>59</v>
      </c>
      <c r="M630">
        <v>4</v>
      </c>
      <c r="N630" t="s">
        <v>62</v>
      </c>
    </row>
    <row r="631" spans="1:14" x14ac:dyDescent="0.3">
      <c r="A631" s="1">
        <v>45486</v>
      </c>
      <c r="B631" t="s">
        <v>28</v>
      </c>
      <c r="C631" t="s">
        <v>11</v>
      </c>
      <c r="D631" t="s">
        <v>19</v>
      </c>
      <c r="E631">
        <v>7</v>
      </c>
      <c r="F631">
        <v>6573</v>
      </c>
      <c r="G631">
        <v>460.28</v>
      </c>
      <c r="H631">
        <v>2024</v>
      </c>
      <c r="I631" t="s">
        <v>25</v>
      </c>
      <c r="J631" s="4">
        <v>7.0025863380496003E-2</v>
      </c>
      <c r="K631" t="s">
        <v>41</v>
      </c>
      <c r="L631" t="s">
        <v>60</v>
      </c>
      <c r="M631">
        <v>7</v>
      </c>
      <c r="N631" t="s">
        <v>64</v>
      </c>
    </row>
    <row r="632" spans="1:14" x14ac:dyDescent="0.3">
      <c r="A632" s="1">
        <v>45654</v>
      </c>
      <c r="B632" t="s">
        <v>28</v>
      </c>
      <c r="C632" t="s">
        <v>11</v>
      </c>
      <c r="D632" t="s">
        <v>19</v>
      </c>
      <c r="E632">
        <v>4</v>
      </c>
      <c r="F632">
        <v>1284</v>
      </c>
      <c r="G632">
        <v>171.02</v>
      </c>
      <c r="H632">
        <v>2024</v>
      </c>
      <c r="I632" t="s">
        <v>13</v>
      </c>
      <c r="J632" s="4">
        <v>0.13319314641744501</v>
      </c>
      <c r="K632" t="s">
        <v>41</v>
      </c>
      <c r="L632" t="s">
        <v>52</v>
      </c>
      <c r="M632">
        <v>12</v>
      </c>
      <c r="N632" t="s">
        <v>53</v>
      </c>
    </row>
    <row r="633" spans="1:14" x14ac:dyDescent="0.3">
      <c r="A633" s="1">
        <v>45460</v>
      </c>
      <c r="B633" t="s">
        <v>28</v>
      </c>
      <c r="C633" t="s">
        <v>11</v>
      </c>
      <c r="D633" t="s">
        <v>19</v>
      </c>
      <c r="E633">
        <v>3</v>
      </c>
      <c r="F633">
        <v>2829</v>
      </c>
      <c r="G633">
        <v>362.16</v>
      </c>
      <c r="H633">
        <v>2024</v>
      </c>
      <c r="I633" t="s">
        <v>27</v>
      </c>
      <c r="J633" s="4">
        <v>0.12801696712619301</v>
      </c>
      <c r="K633" t="s">
        <v>41</v>
      </c>
      <c r="L633" t="s">
        <v>59</v>
      </c>
      <c r="M633">
        <v>6</v>
      </c>
      <c r="N633" t="s">
        <v>66</v>
      </c>
    </row>
    <row r="634" spans="1:14" x14ac:dyDescent="0.3">
      <c r="A634" s="1">
        <v>45423</v>
      </c>
      <c r="B634" t="s">
        <v>28</v>
      </c>
      <c r="C634" t="s">
        <v>11</v>
      </c>
      <c r="D634" t="s">
        <v>22</v>
      </c>
      <c r="E634">
        <v>7</v>
      </c>
      <c r="F634">
        <v>1253</v>
      </c>
      <c r="G634">
        <v>354.23</v>
      </c>
      <c r="H634">
        <v>2024</v>
      </c>
      <c r="I634" t="s">
        <v>20</v>
      </c>
      <c r="J634" s="4">
        <v>0.28270550678371897</v>
      </c>
      <c r="K634" t="s">
        <v>41</v>
      </c>
      <c r="L634" t="s">
        <v>59</v>
      </c>
      <c r="M634">
        <v>5</v>
      </c>
      <c r="N634" t="s">
        <v>20</v>
      </c>
    </row>
    <row r="635" spans="1:14" x14ac:dyDescent="0.3">
      <c r="A635" s="1">
        <v>45586</v>
      </c>
      <c r="B635" t="s">
        <v>28</v>
      </c>
      <c r="C635" t="s">
        <v>11</v>
      </c>
      <c r="D635" t="s">
        <v>17</v>
      </c>
      <c r="E635">
        <v>2</v>
      </c>
      <c r="F635">
        <v>2232</v>
      </c>
      <c r="G635">
        <v>150.12</v>
      </c>
      <c r="H635">
        <v>2024</v>
      </c>
      <c r="I635" t="s">
        <v>14</v>
      </c>
      <c r="J635" s="4">
        <v>6.7258064516129007E-2</v>
      </c>
      <c r="K635" t="s">
        <v>41</v>
      </c>
      <c r="L635" t="s">
        <v>52</v>
      </c>
      <c r="M635">
        <v>10</v>
      </c>
      <c r="N635" t="s">
        <v>54</v>
      </c>
    </row>
    <row r="636" spans="1:14" x14ac:dyDescent="0.3">
      <c r="A636" s="1">
        <v>45524</v>
      </c>
      <c r="B636" t="s">
        <v>28</v>
      </c>
      <c r="C636" t="s">
        <v>11</v>
      </c>
      <c r="D636" t="s">
        <v>12</v>
      </c>
      <c r="E636">
        <v>9</v>
      </c>
      <c r="F636">
        <v>3150</v>
      </c>
      <c r="G636">
        <v>457.13</v>
      </c>
      <c r="H636">
        <v>2024</v>
      </c>
      <c r="I636" t="s">
        <v>24</v>
      </c>
      <c r="J636" s="4">
        <v>0.14512063492063501</v>
      </c>
      <c r="K636" t="s">
        <v>41</v>
      </c>
      <c r="L636" t="s">
        <v>60</v>
      </c>
      <c r="M636">
        <v>8</v>
      </c>
      <c r="N636" t="s">
        <v>63</v>
      </c>
    </row>
    <row r="637" spans="1:14" x14ac:dyDescent="0.3">
      <c r="A637" s="1">
        <v>45599</v>
      </c>
      <c r="B637" t="s">
        <v>28</v>
      </c>
      <c r="C637" t="s">
        <v>11</v>
      </c>
      <c r="D637" t="s">
        <v>22</v>
      </c>
      <c r="E637">
        <v>8</v>
      </c>
      <c r="F637">
        <v>7536</v>
      </c>
      <c r="G637">
        <v>1197.0899999999999</v>
      </c>
      <c r="H637">
        <v>2024</v>
      </c>
      <c r="I637" t="s">
        <v>18</v>
      </c>
      <c r="J637" s="4">
        <v>0.15884952229299401</v>
      </c>
      <c r="K637" t="s">
        <v>41</v>
      </c>
      <c r="L637" t="s">
        <v>52</v>
      </c>
      <c r="M637">
        <v>11</v>
      </c>
      <c r="N637" t="s">
        <v>58</v>
      </c>
    </row>
    <row r="638" spans="1:14" x14ac:dyDescent="0.3">
      <c r="A638" s="1">
        <v>45627</v>
      </c>
      <c r="B638" t="s">
        <v>28</v>
      </c>
      <c r="C638" t="s">
        <v>11</v>
      </c>
      <c r="D638" t="s">
        <v>19</v>
      </c>
      <c r="E638">
        <v>4</v>
      </c>
      <c r="F638">
        <v>3968</v>
      </c>
      <c r="G638">
        <v>480.72</v>
      </c>
      <c r="H638">
        <v>2024</v>
      </c>
      <c r="I638" t="s">
        <v>13</v>
      </c>
      <c r="J638" s="4">
        <v>0.121149193548387</v>
      </c>
      <c r="K638" t="s">
        <v>41</v>
      </c>
      <c r="L638" t="s">
        <v>52</v>
      </c>
      <c r="M638">
        <v>12</v>
      </c>
      <c r="N638" t="s">
        <v>53</v>
      </c>
    </row>
    <row r="639" spans="1:14" x14ac:dyDescent="0.3">
      <c r="A639" s="1">
        <v>45485</v>
      </c>
      <c r="B639" t="s">
        <v>28</v>
      </c>
      <c r="C639" t="s">
        <v>11</v>
      </c>
      <c r="D639" t="s">
        <v>12</v>
      </c>
      <c r="E639">
        <v>8</v>
      </c>
      <c r="F639">
        <v>5504</v>
      </c>
      <c r="G639">
        <v>1196.78</v>
      </c>
      <c r="H639">
        <v>2024</v>
      </c>
      <c r="I639" t="s">
        <v>25</v>
      </c>
      <c r="J639" s="4">
        <v>0.217438226744186</v>
      </c>
      <c r="K639" t="s">
        <v>41</v>
      </c>
      <c r="L639" t="s">
        <v>60</v>
      </c>
      <c r="M639">
        <v>7</v>
      </c>
      <c r="N639" t="s">
        <v>64</v>
      </c>
    </row>
    <row r="640" spans="1:14" x14ac:dyDescent="0.3">
      <c r="A640" s="1">
        <v>45570</v>
      </c>
      <c r="B640" t="s">
        <v>28</v>
      </c>
      <c r="C640" t="s">
        <v>11</v>
      </c>
      <c r="D640" t="s">
        <v>19</v>
      </c>
      <c r="E640">
        <v>5</v>
      </c>
      <c r="F640">
        <v>2725</v>
      </c>
      <c r="G640">
        <v>308.29000000000002</v>
      </c>
      <c r="H640">
        <v>2024</v>
      </c>
      <c r="I640" t="s">
        <v>14</v>
      </c>
      <c r="J640" s="4">
        <v>0.113133944954128</v>
      </c>
      <c r="K640" t="s">
        <v>41</v>
      </c>
      <c r="L640" t="s">
        <v>52</v>
      </c>
      <c r="M640">
        <v>10</v>
      </c>
      <c r="N640" t="s">
        <v>54</v>
      </c>
    </row>
    <row r="641" spans="1:14" x14ac:dyDescent="0.3">
      <c r="A641" s="1">
        <v>45544</v>
      </c>
      <c r="B641" t="s">
        <v>28</v>
      </c>
      <c r="C641" t="s">
        <v>11</v>
      </c>
      <c r="D641" t="s">
        <v>12</v>
      </c>
      <c r="E641">
        <v>5</v>
      </c>
      <c r="F641">
        <v>705</v>
      </c>
      <c r="G641">
        <v>198.62</v>
      </c>
      <c r="H641">
        <v>2024</v>
      </c>
      <c r="I641" t="s">
        <v>21</v>
      </c>
      <c r="J641" s="4">
        <v>0.28173049645390102</v>
      </c>
      <c r="K641" t="s">
        <v>41</v>
      </c>
      <c r="L641" t="s">
        <v>60</v>
      </c>
      <c r="M641">
        <v>9</v>
      </c>
      <c r="N641" t="s">
        <v>61</v>
      </c>
    </row>
    <row r="642" spans="1:14" x14ac:dyDescent="0.3">
      <c r="A642" s="1">
        <v>45631</v>
      </c>
      <c r="B642" t="s">
        <v>28</v>
      </c>
      <c r="C642" t="s">
        <v>11</v>
      </c>
      <c r="D642" t="s">
        <v>22</v>
      </c>
      <c r="E642">
        <v>1</v>
      </c>
      <c r="F642">
        <v>70</v>
      </c>
      <c r="G642">
        <v>10.64</v>
      </c>
      <c r="H642">
        <v>2024</v>
      </c>
      <c r="I642" t="s">
        <v>13</v>
      </c>
      <c r="J642" s="4">
        <v>0.152</v>
      </c>
      <c r="K642" t="s">
        <v>41</v>
      </c>
      <c r="L642" t="s">
        <v>52</v>
      </c>
      <c r="M642">
        <v>12</v>
      </c>
      <c r="N642" t="s">
        <v>53</v>
      </c>
    </row>
    <row r="643" spans="1:14" x14ac:dyDescent="0.3">
      <c r="A643" s="1">
        <v>45539</v>
      </c>
      <c r="B643" t="s">
        <v>28</v>
      </c>
      <c r="C643" t="s">
        <v>11</v>
      </c>
      <c r="D643" t="s">
        <v>22</v>
      </c>
      <c r="E643">
        <v>3</v>
      </c>
      <c r="F643">
        <v>1338</v>
      </c>
      <c r="G643">
        <v>396.08</v>
      </c>
      <c r="H643">
        <v>2024</v>
      </c>
      <c r="I643" t="s">
        <v>21</v>
      </c>
      <c r="J643" s="4">
        <v>0.29602391629297498</v>
      </c>
      <c r="K643" t="s">
        <v>41</v>
      </c>
      <c r="L643" t="s">
        <v>60</v>
      </c>
      <c r="M643">
        <v>9</v>
      </c>
      <c r="N643" t="s">
        <v>61</v>
      </c>
    </row>
    <row r="644" spans="1:14" x14ac:dyDescent="0.3">
      <c r="A644" s="1">
        <v>45490</v>
      </c>
      <c r="B644" t="s">
        <v>28</v>
      </c>
      <c r="C644" t="s">
        <v>11</v>
      </c>
      <c r="D644" t="s">
        <v>12</v>
      </c>
      <c r="E644">
        <v>1</v>
      </c>
      <c r="F644">
        <v>1142</v>
      </c>
      <c r="G644">
        <v>306.83999999999997</v>
      </c>
      <c r="H644">
        <v>2024</v>
      </c>
      <c r="I644" t="s">
        <v>25</v>
      </c>
      <c r="J644" s="4">
        <v>0.26868651488616502</v>
      </c>
      <c r="K644" t="s">
        <v>41</v>
      </c>
      <c r="L644" t="s">
        <v>60</v>
      </c>
      <c r="M644">
        <v>7</v>
      </c>
      <c r="N644" t="s">
        <v>64</v>
      </c>
    </row>
    <row r="645" spans="1:14" x14ac:dyDescent="0.3">
      <c r="A645" s="1">
        <v>45552</v>
      </c>
      <c r="B645" t="s">
        <v>28</v>
      </c>
      <c r="C645" t="s">
        <v>11</v>
      </c>
      <c r="D645" t="s">
        <v>17</v>
      </c>
      <c r="E645">
        <v>6</v>
      </c>
      <c r="F645">
        <v>5178</v>
      </c>
      <c r="G645">
        <v>1321.58</v>
      </c>
      <c r="H645">
        <v>2024</v>
      </c>
      <c r="I645" t="s">
        <v>21</v>
      </c>
      <c r="J645" s="4">
        <v>0.25522981846272702</v>
      </c>
      <c r="K645" t="s">
        <v>41</v>
      </c>
      <c r="L645" t="s">
        <v>60</v>
      </c>
      <c r="M645">
        <v>9</v>
      </c>
      <c r="N645" t="s">
        <v>61</v>
      </c>
    </row>
    <row r="646" spans="1:14" x14ac:dyDescent="0.3">
      <c r="A646" s="1">
        <v>45596</v>
      </c>
      <c r="B646" t="s">
        <v>28</v>
      </c>
      <c r="C646" t="s">
        <v>11</v>
      </c>
      <c r="D646" t="s">
        <v>22</v>
      </c>
      <c r="E646">
        <v>9</v>
      </c>
      <c r="F646">
        <v>6642</v>
      </c>
      <c r="G646">
        <v>394.48</v>
      </c>
      <c r="H646">
        <v>2024</v>
      </c>
      <c r="I646" t="s">
        <v>14</v>
      </c>
      <c r="J646" s="4">
        <v>5.9391749473050301E-2</v>
      </c>
      <c r="K646" t="s">
        <v>41</v>
      </c>
      <c r="L646" t="s">
        <v>52</v>
      </c>
      <c r="M646">
        <v>10</v>
      </c>
      <c r="N646" t="s">
        <v>54</v>
      </c>
    </row>
    <row r="647" spans="1:14" x14ac:dyDescent="0.3">
      <c r="A647" s="1">
        <v>45566</v>
      </c>
      <c r="B647" t="s">
        <v>28</v>
      </c>
      <c r="C647" t="s">
        <v>11</v>
      </c>
      <c r="D647" t="s">
        <v>17</v>
      </c>
      <c r="E647">
        <v>8</v>
      </c>
      <c r="F647">
        <v>4048</v>
      </c>
      <c r="G647">
        <v>666.1</v>
      </c>
      <c r="H647">
        <v>2024</v>
      </c>
      <c r="I647" t="s">
        <v>14</v>
      </c>
      <c r="J647" s="4">
        <v>0.164550395256917</v>
      </c>
      <c r="K647" t="s">
        <v>41</v>
      </c>
      <c r="L647" t="s">
        <v>52</v>
      </c>
      <c r="M647">
        <v>10</v>
      </c>
      <c r="N647" t="s">
        <v>54</v>
      </c>
    </row>
    <row r="648" spans="1:14" x14ac:dyDescent="0.3">
      <c r="A648" s="1">
        <v>45650</v>
      </c>
      <c r="B648" t="s">
        <v>28</v>
      </c>
      <c r="C648" t="s">
        <v>11</v>
      </c>
      <c r="D648" t="s">
        <v>22</v>
      </c>
      <c r="E648">
        <v>7</v>
      </c>
      <c r="F648">
        <v>4585</v>
      </c>
      <c r="G648">
        <v>383.97</v>
      </c>
      <c r="H648">
        <v>2024</v>
      </c>
      <c r="I648" t="s">
        <v>13</v>
      </c>
      <c r="J648" s="4">
        <v>8.3744820065430797E-2</v>
      </c>
      <c r="K648" t="s">
        <v>41</v>
      </c>
      <c r="L648" t="s">
        <v>52</v>
      </c>
      <c r="M648">
        <v>12</v>
      </c>
      <c r="N648" t="s">
        <v>53</v>
      </c>
    </row>
    <row r="649" spans="1:14" x14ac:dyDescent="0.3">
      <c r="A649" s="1">
        <v>45613</v>
      </c>
      <c r="B649" t="s">
        <v>28</v>
      </c>
      <c r="C649" t="s">
        <v>11</v>
      </c>
      <c r="D649" t="s">
        <v>12</v>
      </c>
      <c r="E649">
        <v>4</v>
      </c>
      <c r="F649">
        <v>3224</v>
      </c>
      <c r="G649">
        <v>871.53</v>
      </c>
      <c r="H649">
        <v>2024</v>
      </c>
      <c r="I649" t="s">
        <v>18</v>
      </c>
      <c r="J649" s="4">
        <v>0.270325682382134</v>
      </c>
      <c r="K649" t="s">
        <v>41</v>
      </c>
      <c r="L649" t="s">
        <v>52</v>
      </c>
      <c r="M649">
        <v>11</v>
      </c>
      <c r="N649" t="s">
        <v>58</v>
      </c>
    </row>
    <row r="650" spans="1:14" x14ac:dyDescent="0.3">
      <c r="A650" s="1">
        <v>45650</v>
      </c>
      <c r="B650" t="s">
        <v>28</v>
      </c>
      <c r="C650" t="s">
        <v>11</v>
      </c>
      <c r="D650" t="s">
        <v>19</v>
      </c>
      <c r="E650">
        <v>7</v>
      </c>
      <c r="F650">
        <v>5726</v>
      </c>
      <c r="G650">
        <v>976.14</v>
      </c>
      <c r="H650">
        <v>2024</v>
      </c>
      <c r="I650" t="s">
        <v>13</v>
      </c>
      <c r="J650" s="4">
        <v>0.17047502619629801</v>
      </c>
      <c r="K650" t="s">
        <v>41</v>
      </c>
      <c r="L650" t="s">
        <v>52</v>
      </c>
      <c r="M650">
        <v>12</v>
      </c>
      <c r="N650" t="s">
        <v>53</v>
      </c>
    </row>
    <row r="651" spans="1:14" x14ac:dyDescent="0.3">
      <c r="A651" s="1">
        <v>45387</v>
      </c>
      <c r="B651" t="s">
        <v>28</v>
      </c>
      <c r="C651" t="s">
        <v>11</v>
      </c>
      <c r="D651" t="s">
        <v>19</v>
      </c>
      <c r="E651">
        <v>6</v>
      </c>
      <c r="F651">
        <v>930</v>
      </c>
      <c r="G651">
        <v>68.239999999999995</v>
      </c>
      <c r="H651">
        <v>2024</v>
      </c>
      <c r="I651" t="s">
        <v>23</v>
      </c>
      <c r="J651" s="4">
        <v>7.3376344086021505E-2</v>
      </c>
      <c r="K651" t="s">
        <v>41</v>
      </c>
      <c r="L651" t="s">
        <v>59</v>
      </c>
      <c r="M651">
        <v>4</v>
      </c>
      <c r="N651" t="s">
        <v>62</v>
      </c>
    </row>
    <row r="652" spans="1:14" x14ac:dyDescent="0.3">
      <c r="A652" s="1">
        <v>45421</v>
      </c>
      <c r="B652" t="s">
        <v>28</v>
      </c>
      <c r="C652" t="s">
        <v>11</v>
      </c>
      <c r="D652" t="s">
        <v>22</v>
      </c>
      <c r="E652">
        <v>2</v>
      </c>
      <c r="F652">
        <v>1306</v>
      </c>
      <c r="G652">
        <v>228.41</v>
      </c>
      <c r="H652">
        <v>2024</v>
      </c>
      <c r="I652" t="s">
        <v>20</v>
      </c>
      <c r="J652" s="4">
        <v>0.17489280245023001</v>
      </c>
      <c r="K652" t="s">
        <v>41</v>
      </c>
      <c r="L652" t="s">
        <v>59</v>
      </c>
      <c r="M652">
        <v>5</v>
      </c>
      <c r="N652" t="s">
        <v>20</v>
      </c>
    </row>
    <row r="653" spans="1:14" x14ac:dyDescent="0.3">
      <c r="A653" s="1">
        <v>45631</v>
      </c>
      <c r="B653" t="s">
        <v>28</v>
      </c>
      <c r="C653" t="s">
        <v>11</v>
      </c>
      <c r="D653" t="s">
        <v>12</v>
      </c>
      <c r="E653">
        <v>6</v>
      </c>
      <c r="F653">
        <v>732</v>
      </c>
      <c r="G653">
        <v>136.59</v>
      </c>
      <c r="H653">
        <v>2024</v>
      </c>
      <c r="I653" t="s">
        <v>13</v>
      </c>
      <c r="J653" s="4">
        <v>0.18659836065573801</v>
      </c>
      <c r="K653" t="s">
        <v>41</v>
      </c>
      <c r="L653" t="s">
        <v>52</v>
      </c>
      <c r="M653">
        <v>12</v>
      </c>
      <c r="N653" t="s">
        <v>53</v>
      </c>
    </row>
    <row r="654" spans="1:14" x14ac:dyDescent="0.3">
      <c r="A654" s="1">
        <v>45308</v>
      </c>
      <c r="B654" t="s">
        <v>28</v>
      </c>
      <c r="C654" t="s">
        <v>11</v>
      </c>
      <c r="D654" t="s">
        <v>22</v>
      </c>
      <c r="E654">
        <v>1</v>
      </c>
      <c r="F654">
        <v>565</v>
      </c>
      <c r="G654">
        <v>148.79</v>
      </c>
      <c r="H654">
        <v>2024</v>
      </c>
      <c r="I654" t="s">
        <v>26</v>
      </c>
      <c r="J654" s="4">
        <v>0.26334513274336302</v>
      </c>
      <c r="K654" t="s">
        <v>41</v>
      </c>
      <c r="L654" t="s">
        <v>55</v>
      </c>
      <c r="M654">
        <v>1</v>
      </c>
      <c r="N654" t="s">
        <v>65</v>
      </c>
    </row>
    <row r="655" spans="1:14" x14ac:dyDescent="0.3">
      <c r="A655" s="1">
        <v>45429</v>
      </c>
      <c r="B655" t="s">
        <v>28</v>
      </c>
      <c r="C655" t="s">
        <v>11</v>
      </c>
      <c r="D655" t="s">
        <v>19</v>
      </c>
      <c r="E655">
        <v>8</v>
      </c>
      <c r="F655">
        <v>5736</v>
      </c>
      <c r="G655">
        <v>937.62</v>
      </c>
      <c r="H655">
        <v>2024</v>
      </c>
      <c r="I655" t="s">
        <v>20</v>
      </c>
      <c r="J655" s="4">
        <v>0.163462343096234</v>
      </c>
      <c r="K655" t="s">
        <v>41</v>
      </c>
      <c r="L655" t="s">
        <v>59</v>
      </c>
      <c r="M655">
        <v>5</v>
      </c>
      <c r="N655" t="s">
        <v>20</v>
      </c>
    </row>
    <row r="656" spans="1:14" x14ac:dyDescent="0.3">
      <c r="A656" s="1">
        <v>45566</v>
      </c>
      <c r="B656" t="s">
        <v>28</v>
      </c>
      <c r="C656" t="s">
        <v>11</v>
      </c>
      <c r="D656" t="s">
        <v>19</v>
      </c>
      <c r="E656">
        <v>5</v>
      </c>
      <c r="F656">
        <v>1910</v>
      </c>
      <c r="G656">
        <v>463.07</v>
      </c>
      <c r="H656">
        <v>2024</v>
      </c>
      <c r="I656" t="s">
        <v>14</v>
      </c>
      <c r="J656" s="4">
        <v>0.24244502617801</v>
      </c>
      <c r="K656" t="s">
        <v>41</v>
      </c>
      <c r="L656" t="s">
        <v>52</v>
      </c>
      <c r="M656">
        <v>10</v>
      </c>
      <c r="N656" t="s">
        <v>54</v>
      </c>
    </row>
    <row r="657" spans="1:14" x14ac:dyDescent="0.3">
      <c r="A657" s="1">
        <v>45462</v>
      </c>
      <c r="B657" t="s">
        <v>28</v>
      </c>
      <c r="C657" t="s">
        <v>11</v>
      </c>
      <c r="D657" t="s">
        <v>22</v>
      </c>
      <c r="E657">
        <v>3</v>
      </c>
      <c r="F657">
        <v>945</v>
      </c>
      <c r="G657">
        <v>135.59</v>
      </c>
      <c r="H657">
        <v>2024</v>
      </c>
      <c r="I657" t="s">
        <v>27</v>
      </c>
      <c r="J657" s="4">
        <v>0.14348148148148199</v>
      </c>
      <c r="K657" t="s">
        <v>41</v>
      </c>
      <c r="L657" t="s">
        <v>59</v>
      </c>
      <c r="M657">
        <v>6</v>
      </c>
      <c r="N657" t="s">
        <v>66</v>
      </c>
    </row>
    <row r="658" spans="1:14" x14ac:dyDescent="0.3">
      <c r="A658" s="1">
        <v>45654</v>
      </c>
      <c r="B658" t="s">
        <v>28</v>
      </c>
      <c r="C658" t="s">
        <v>11</v>
      </c>
      <c r="D658" t="s">
        <v>17</v>
      </c>
      <c r="E658">
        <v>5</v>
      </c>
      <c r="F658">
        <v>3625</v>
      </c>
      <c r="G658">
        <v>245.52</v>
      </c>
      <c r="H658">
        <v>2024</v>
      </c>
      <c r="I658" t="s">
        <v>13</v>
      </c>
      <c r="J658" s="4">
        <v>6.7729655172413805E-2</v>
      </c>
      <c r="K658" t="s">
        <v>41</v>
      </c>
      <c r="L658" t="s">
        <v>52</v>
      </c>
      <c r="M658">
        <v>12</v>
      </c>
      <c r="N658" t="s">
        <v>53</v>
      </c>
    </row>
    <row r="659" spans="1:14" x14ac:dyDescent="0.3">
      <c r="A659" s="1">
        <v>45616</v>
      </c>
      <c r="B659" t="s">
        <v>28</v>
      </c>
      <c r="C659" t="s">
        <v>11</v>
      </c>
      <c r="D659" t="s">
        <v>12</v>
      </c>
      <c r="E659">
        <v>7</v>
      </c>
      <c r="F659">
        <v>5453</v>
      </c>
      <c r="G659">
        <v>1592.37</v>
      </c>
      <c r="H659">
        <v>2024</v>
      </c>
      <c r="I659" t="s">
        <v>18</v>
      </c>
      <c r="J659" s="4">
        <v>0.29201723821749498</v>
      </c>
      <c r="K659" t="s">
        <v>41</v>
      </c>
      <c r="L659" t="s">
        <v>52</v>
      </c>
      <c r="M659">
        <v>11</v>
      </c>
      <c r="N659" t="s">
        <v>58</v>
      </c>
    </row>
    <row r="660" spans="1:14" x14ac:dyDescent="0.3">
      <c r="A660" s="1">
        <v>45498</v>
      </c>
      <c r="B660" t="s">
        <v>28</v>
      </c>
      <c r="C660" t="s">
        <v>11</v>
      </c>
      <c r="D660" t="s">
        <v>19</v>
      </c>
      <c r="E660">
        <v>4</v>
      </c>
      <c r="F660">
        <v>4324</v>
      </c>
      <c r="G660">
        <v>833.11</v>
      </c>
      <c r="H660">
        <v>2024</v>
      </c>
      <c r="I660" t="s">
        <v>25</v>
      </c>
      <c r="J660" s="4">
        <v>0.19267113783533801</v>
      </c>
      <c r="K660" t="s">
        <v>41</v>
      </c>
      <c r="L660" t="s">
        <v>60</v>
      </c>
      <c r="M660">
        <v>7</v>
      </c>
      <c r="N660" t="s">
        <v>64</v>
      </c>
    </row>
    <row r="661" spans="1:14" x14ac:dyDescent="0.3">
      <c r="A661" s="1">
        <v>45486</v>
      </c>
      <c r="B661" t="s">
        <v>28</v>
      </c>
      <c r="C661" t="s">
        <v>11</v>
      </c>
      <c r="D661" t="s">
        <v>17</v>
      </c>
      <c r="E661">
        <v>6</v>
      </c>
      <c r="F661">
        <v>4692</v>
      </c>
      <c r="G661">
        <v>1044.97</v>
      </c>
      <c r="H661">
        <v>2024</v>
      </c>
      <c r="I661" t="s">
        <v>25</v>
      </c>
      <c r="J661" s="4">
        <v>0.22271312872975299</v>
      </c>
      <c r="K661" t="s">
        <v>41</v>
      </c>
      <c r="L661" t="s">
        <v>60</v>
      </c>
      <c r="M661">
        <v>7</v>
      </c>
      <c r="N661" t="s">
        <v>64</v>
      </c>
    </row>
    <row r="662" spans="1:14" x14ac:dyDescent="0.3">
      <c r="A662" s="1">
        <v>45426</v>
      </c>
      <c r="B662" t="s">
        <v>28</v>
      </c>
      <c r="C662" t="s">
        <v>11</v>
      </c>
      <c r="D662" t="s">
        <v>12</v>
      </c>
      <c r="E662">
        <v>4</v>
      </c>
      <c r="F662">
        <v>2580</v>
      </c>
      <c r="G662">
        <v>602.5</v>
      </c>
      <c r="H662">
        <v>2024</v>
      </c>
      <c r="I662" t="s">
        <v>20</v>
      </c>
      <c r="J662" s="4">
        <v>0.23352713178294601</v>
      </c>
      <c r="K662" t="s">
        <v>41</v>
      </c>
      <c r="L662" t="s">
        <v>59</v>
      </c>
      <c r="M662">
        <v>5</v>
      </c>
      <c r="N662" t="s">
        <v>20</v>
      </c>
    </row>
    <row r="663" spans="1:14" x14ac:dyDescent="0.3">
      <c r="A663" s="1">
        <v>45629</v>
      </c>
      <c r="B663" t="s">
        <v>28</v>
      </c>
      <c r="C663" t="s">
        <v>11</v>
      </c>
      <c r="D663" t="s">
        <v>22</v>
      </c>
      <c r="E663">
        <v>5</v>
      </c>
      <c r="F663">
        <v>465</v>
      </c>
      <c r="G663">
        <v>71.23</v>
      </c>
      <c r="H663">
        <v>2024</v>
      </c>
      <c r="I663" t="s">
        <v>13</v>
      </c>
      <c r="J663" s="4">
        <v>0.15318279569892501</v>
      </c>
      <c r="K663" t="s">
        <v>41</v>
      </c>
      <c r="L663" t="s">
        <v>52</v>
      </c>
      <c r="M663">
        <v>12</v>
      </c>
      <c r="N663" t="s">
        <v>53</v>
      </c>
    </row>
    <row r="664" spans="1:14" x14ac:dyDescent="0.3">
      <c r="A664" s="1">
        <v>45385</v>
      </c>
      <c r="B664" t="s">
        <v>28</v>
      </c>
      <c r="C664" t="s">
        <v>11</v>
      </c>
      <c r="D664" t="s">
        <v>12</v>
      </c>
      <c r="E664">
        <v>8</v>
      </c>
      <c r="F664">
        <v>6328</v>
      </c>
      <c r="G664">
        <v>412.76</v>
      </c>
      <c r="H664">
        <v>2024</v>
      </c>
      <c r="I664" t="s">
        <v>23</v>
      </c>
      <c r="J664" s="4">
        <v>6.52275600505689E-2</v>
      </c>
      <c r="K664" t="s">
        <v>41</v>
      </c>
      <c r="L664" t="s">
        <v>59</v>
      </c>
      <c r="M664">
        <v>4</v>
      </c>
      <c r="N664" t="s">
        <v>62</v>
      </c>
    </row>
    <row r="665" spans="1:14" x14ac:dyDescent="0.3">
      <c r="A665" s="1">
        <v>45422</v>
      </c>
      <c r="B665" t="s">
        <v>28</v>
      </c>
      <c r="C665" t="s">
        <v>11</v>
      </c>
      <c r="D665" t="s">
        <v>19</v>
      </c>
      <c r="E665">
        <v>4</v>
      </c>
      <c r="F665">
        <v>4168</v>
      </c>
      <c r="G665">
        <v>494.48</v>
      </c>
      <c r="H665">
        <v>2024</v>
      </c>
      <c r="I665" t="s">
        <v>20</v>
      </c>
      <c r="J665" s="4">
        <v>0.11863723608445299</v>
      </c>
      <c r="K665" t="s">
        <v>41</v>
      </c>
      <c r="L665" t="s">
        <v>59</v>
      </c>
      <c r="M665">
        <v>5</v>
      </c>
      <c r="N665" t="s">
        <v>20</v>
      </c>
    </row>
    <row r="666" spans="1:14" x14ac:dyDescent="0.3">
      <c r="A666" s="1">
        <v>45492</v>
      </c>
      <c r="B666" t="s">
        <v>28</v>
      </c>
      <c r="C666" t="s">
        <v>11</v>
      </c>
      <c r="D666" t="s">
        <v>17</v>
      </c>
      <c r="E666">
        <v>3</v>
      </c>
      <c r="F666">
        <v>2601</v>
      </c>
      <c r="G666">
        <v>463.36</v>
      </c>
      <c r="H666">
        <v>2024</v>
      </c>
      <c r="I666" t="s">
        <v>25</v>
      </c>
      <c r="J666" s="4">
        <v>0.178146866589773</v>
      </c>
      <c r="K666" t="s">
        <v>41</v>
      </c>
      <c r="L666" t="s">
        <v>60</v>
      </c>
      <c r="M666">
        <v>7</v>
      </c>
      <c r="N666" t="s">
        <v>64</v>
      </c>
    </row>
    <row r="667" spans="1:14" x14ac:dyDescent="0.3">
      <c r="A667" s="1">
        <v>45436</v>
      </c>
      <c r="B667" t="s">
        <v>28</v>
      </c>
      <c r="C667" t="s">
        <v>11</v>
      </c>
      <c r="D667" t="s">
        <v>22</v>
      </c>
      <c r="E667">
        <v>2</v>
      </c>
      <c r="F667">
        <v>626</v>
      </c>
      <c r="G667">
        <v>159.49</v>
      </c>
      <c r="H667">
        <v>2024</v>
      </c>
      <c r="I667" t="s">
        <v>20</v>
      </c>
      <c r="J667" s="4">
        <v>0.25477635782747599</v>
      </c>
      <c r="K667" t="s">
        <v>41</v>
      </c>
      <c r="L667" t="s">
        <v>59</v>
      </c>
      <c r="M667">
        <v>5</v>
      </c>
      <c r="N667" t="s">
        <v>20</v>
      </c>
    </row>
    <row r="668" spans="1:14" x14ac:dyDescent="0.3">
      <c r="A668" s="1">
        <v>45645</v>
      </c>
      <c r="B668" t="s">
        <v>28</v>
      </c>
      <c r="C668" t="s">
        <v>11</v>
      </c>
      <c r="D668" t="s">
        <v>22</v>
      </c>
      <c r="E668">
        <v>7</v>
      </c>
      <c r="F668">
        <v>7700</v>
      </c>
      <c r="G668">
        <v>1573.41</v>
      </c>
      <c r="H668">
        <v>2024</v>
      </c>
      <c r="I668" t="s">
        <v>13</v>
      </c>
      <c r="J668" s="4">
        <v>0.20433896103896099</v>
      </c>
      <c r="K668" t="s">
        <v>41</v>
      </c>
      <c r="L668" t="s">
        <v>52</v>
      </c>
      <c r="M668">
        <v>12</v>
      </c>
      <c r="N668" t="s">
        <v>53</v>
      </c>
    </row>
    <row r="669" spans="1:14" x14ac:dyDescent="0.3">
      <c r="A669" s="1">
        <v>45460</v>
      </c>
      <c r="B669" t="s">
        <v>28</v>
      </c>
      <c r="C669" t="s">
        <v>11</v>
      </c>
      <c r="D669" t="s">
        <v>12</v>
      </c>
      <c r="E669">
        <v>5</v>
      </c>
      <c r="F669">
        <v>2095</v>
      </c>
      <c r="G669">
        <v>193.93</v>
      </c>
      <c r="H669">
        <v>2024</v>
      </c>
      <c r="I669" t="s">
        <v>27</v>
      </c>
      <c r="J669" s="4">
        <v>9.2568019093078796E-2</v>
      </c>
      <c r="K669" t="s">
        <v>41</v>
      </c>
      <c r="L669" t="s">
        <v>59</v>
      </c>
      <c r="M669">
        <v>6</v>
      </c>
      <c r="N669" t="s">
        <v>66</v>
      </c>
    </row>
    <row r="670" spans="1:14" x14ac:dyDescent="0.3">
      <c r="A670" s="1">
        <v>45653</v>
      </c>
      <c r="B670" t="s">
        <v>28</v>
      </c>
      <c r="C670" t="s">
        <v>11</v>
      </c>
      <c r="D670" t="s">
        <v>17</v>
      </c>
      <c r="E670">
        <v>2</v>
      </c>
      <c r="F670">
        <v>1206</v>
      </c>
      <c r="G670">
        <v>307.02</v>
      </c>
      <c r="H670">
        <v>2024</v>
      </c>
      <c r="I670" t="s">
        <v>13</v>
      </c>
      <c r="J670" s="4">
        <v>0.25457711442786102</v>
      </c>
      <c r="K670" t="s">
        <v>41</v>
      </c>
      <c r="L670" t="s">
        <v>52</v>
      </c>
      <c r="M670">
        <v>12</v>
      </c>
      <c r="N670" t="s">
        <v>53</v>
      </c>
    </row>
    <row r="671" spans="1:14" x14ac:dyDescent="0.3">
      <c r="A671" s="1">
        <v>45366</v>
      </c>
      <c r="B671" t="s">
        <v>28</v>
      </c>
      <c r="C671" t="s">
        <v>11</v>
      </c>
      <c r="D671" t="s">
        <v>22</v>
      </c>
      <c r="E671">
        <v>5</v>
      </c>
      <c r="F671">
        <v>1330</v>
      </c>
      <c r="G671">
        <v>285.77999999999997</v>
      </c>
      <c r="H671">
        <v>2024</v>
      </c>
      <c r="I671" t="s">
        <v>15</v>
      </c>
      <c r="J671" s="4">
        <v>0.21487218045112799</v>
      </c>
      <c r="K671" t="s">
        <v>41</v>
      </c>
      <c r="L671" t="s">
        <v>55</v>
      </c>
      <c r="M671">
        <v>3</v>
      </c>
      <c r="N671" t="s">
        <v>56</v>
      </c>
    </row>
    <row r="672" spans="1:14" x14ac:dyDescent="0.3">
      <c r="A672" s="1">
        <v>45508</v>
      </c>
      <c r="B672" t="s">
        <v>28</v>
      </c>
      <c r="C672" t="s">
        <v>11</v>
      </c>
      <c r="D672" t="s">
        <v>12</v>
      </c>
      <c r="E672">
        <v>9</v>
      </c>
      <c r="F672">
        <v>4014</v>
      </c>
      <c r="G672">
        <v>204.48</v>
      </c>
      <c r="H672">
        <v>2024</v>
      </c>
      <c r="I672" t="s">
        <v>24</v>
      </c>
      <c r="J672" s="4">
        <v>5.0941704035874398E-2</v>
      </c>
      <c r="K672" t="s">
        <v>41</v>
      </c>
      <c r="L672" t="s">
        <v>60</v>
      </c>
      <c r="M672">
        <v>8</v>
      </c>
      <c r="N672" t="s">
        <v>63</v>
      </c>
    </row>
    <row r="673" spans="1:14" x14ac:dyDescent="0.3">
      <c r="A673" s="1">
        <v>45385</v>
      </c>
      <c r="B673" t="s">
        <v>28</v>
      </c>
      <c r="C673" t="s">
        <v>11</v>
      </c>
      <c r="D673" t="s">
        <v>12</v>
      </c>
      <c r="E673">
        <v>3</v>
      </c>
      <c r="F673">
        <v>735</v>
      </c>
      <c r="G673">
        <v>134.53</v>
      </c>
      <c r="H673">
        <v>2024</v>
      </c>
      <c r="I673" t="s">
        <v>23</v>
      </c>
      <c r="J673" s="4">
        <v>0.183034013605442</v>
      </c>
      <c r="K673" t="s">
        <v>41</v>
      </c>
      <c r="L673" t="s">
        <v>59</v>
      </c>
      <c r="M673">
        <v>4</v>
      </c>
      <c r="N673" t="s">
        <v>62</v>
      </c>
    </row>
    <row r="674" spans="1:14" x14ac:dyDescent="0.3">
      <c r="A674" s="1">
        <v>45570</v>
      </c>
      <c r="B674" t="s">
        <v>28</v>
      </c>
      <c r="C674" t="s">
        <v>11</v>
      </c>
      <c r="D674" t="s">
        <v>19</v>
      </c>
      <c r="E674">
        <v>5</v>
      </c>
      <c r="F674">
        <v>1815</v>
      </c>
      <c r="G674">
        <v>468.62</v>
      </c>
      <c r="H674">
        <v>2024</v>
      </c>
      <c r="I674" t="s">
        <v>14</v>
      </c>
      <c r="J674" s="4">
        <v>0.25819283746556498</v>
      </c>
      <c r="K674" t="s">
        <v>41</v>
      </c>
      <c r="L674" t="s">
        <v>52</v>
      </c>
      <c r="M674">
        <v>10</v>
      </c>
      <c r="N674" t="s">
        <v>54</v>
      </c>
    </row>
    <row r="675" spans="1:14" x14ac:dyDescent="0.3">
      <c r="A675" s="1">
        <v>45307</v>
      </c>
      <c r="B675" t="s">
        <v>28</v>
      </c>
      <c r="C675" t="s">
        <v>11</v>
      </c>
      <c r="D675" t="s">
        <v>17</v>
      </c>
      <c r="E675">
        <v>5</v>
      </c>
      <c r="F675">
        <v>1645</v>
      </c>
      <c r="G675">
        <v>313.66000000000003</v>
      </c>
      <c r="H675">
        <v>2024</v>
      </c>
      <c r="I675" t="s">
        <v>26</v>
      </c>
      <c r="J675" s="4">
        <v>0.19067477203647401</v>
      </c>
      <c r="K675" t="s">
        <v>41</v>
      </c>
      <c r="L675" t="s">
        <v>55</v>
      </c>
      <c r="M675">
        <v>1</v>
      </c>
      <c r="N675" t="s">
        <v>65</v>
      </c>
    </row>
    <row r="676" spans="1:14" x14ac:dyDescent="0.3">
      <c r="A676" s="1">
        <v>45455</v>
      </c>
      <c r="B676" t="s">
        <v>28</v>
      </c>
      <c r="C676" t="s">
        <v>11</v>
      </c>
      <c r="D676" t="s">
        <v>22</v>
      </c>
      <c r="E676">
        <v>4</v>
      </c>
      <c r="F676">
        <v>4608</v>
      </c>
      <c r="G676">
        <v>963.5</v>
      </c>
      <c r="H676">
        <v>2024</v>
      </c>
      <c r="I676" t="s">
        <v>27</v>
      </c>
      <c r="J676" s="4">
        <v>0.209092881944444</v>
      </c>
      <c r="K676" t="s">
        <v>41</v>
      </c>
      <c r="L676" t="s">
        <v>59</v>
      </c>
      <c r="M676">
        <v>6</v>
      </c>
      <c r="N676" t="s">
        <v>66</v>
      </c>
    </row>
    <row r="677" spans="1:14" x14ac:dyDescent="0.3">
      <c r="A677" s="1">
        <v>45594</v>
      </c>
      <c r="B677" t="s">
        <v>28</v>
      </c>
      <c r="C677" t="s">
        <v>11</v>
      </c>
      <c r="D677" t="s">
        <v>19</v>
      </c>
      <c r="E677">
        <v>9</v>
      </c>
      <c r="F677">
        <v>1134</v>
      </c>
      <c r="G677">
        <v>267.26</v>
      </c>
      <c r="H677">
        <v>2024</v>
      </c>
      <c r="I677" t="s">
        <v>14</v>
      </c>
      <c r="J677" s="4">
        <v>0.23567901234567901</v>
      </c>
      <c r="K677" t="s">
        <v>41</v>
      </c>
      <c r="L677" t="s">
        <v>52</v>
      </c>
      <c r="M677">
        <v>10</v>
      </c>
      <c r="N677" t="s">
        <v>54</v>
      </c>
    </row>
    <row r="678" spans="1:14" x14ac:dyDescent="0.3">
      <c r="A678" s="1">
        <v>45391</v>
      </c>
      <c r="B678" t="s">
        <v>28</v>
      </c>
      <c r="C678" t="s">
        <v>11</v>
      </c>
      <c r="D678" t="s">
        <v>12</v>
      </c>
      <c r="E678">
        <v>9</v>
      </c>
      <c r="F678">
        <v>3231</v>
      </c>
      <c r="G678">
        <v>670.85</v>
      </c>
      <c r="H678">
        <v>2024</v>
      </c>
      <c r="I678" t="s">
        <v>23</v>
      </c>
      <c r="J678" s="4">
        <v>0.207629216960693</v>
      </c>
      <c r="K678" t="s">
        <v>41</v>
      </c>
      <c r="L678" t="s">
        <v>59</v>
      </c>
      <c r="M678">
        <v>4</v>
      </c>
      <c r="N678" t="s">
        <v>62</v>
      </c>
    </row>
    <row r="679" spans="1:14" x14ac:dyDescent="0.3">
      <c r="A679" s="1">
        <v>45435</v>
      </c>
      <c r="B679" t="s">
        <v>28</v>
      </c>
      <c r="C679" t="s">
        <v>11</v>
      </c>
      <c r="D679" t="s">
        <v>12</v>
      </c>
      <c r="E679">
        <v>3</v>
      </c>
      <c r="F679">
        <v>3360</v>
      </c>
      <c r="G679">
        <v>465.02</v>
      </c>
      <c r="H679">
        <v>2024</v>
      </c>
      <c r="I679" t="s">
        <v>20</v>
      </c>
      <c r="J679" s="4">
        <v>0.13839880952381001</v>
      </c>
      <c r="K679" t="s">
        <v>41</v>
      </c>
      <c r="L679" t="s">
        <v>59</v>
      </c>
      <c r="M679">
        <v>5</v>
      </c>
      <c r="N679" t="s">
        <v>20</v>
      </c>
    </row>
    <row r="680" spans="1:14" x14ac:dyDescent="0.3">
      <c r="A680" s="1">
        <v>45355</v>
      </c>
      <c r="B680" t="s">
        <v>28</v>
      </c>
      <c r="C680" t="s">
        <v>11</v>
      </c>
      <c r="D680" t="s">
        <v>19</v>
      </c>
      <c r="E680">
        <v>5</v>
      </c>
      <c r="F680">
        <v>4610</v>
      </c>
      <c r="G680">
        <v>1293.3699999999999</v>
      </c>
      <c r="H680">
        <v>2024</v>
      </c>
      <c r="I680" t="s">
        <v>15</v>
      </c>
      <c r="J680" s="4">
        <v>0.28055748373102002</v>
      </c>
      <c r="K680" t="s">
        <v>41</v>
      </c>
      <c r="L680" t="s">
        <v>55</v>
      </c>
      <c r="M680">
        <v>3</v>
      </c>
      <c r="N680" t="s">
        <v>56</v>
      </c>
    </row>
    <row r="681" spans="1:14" x14ac:dyDescent="0.3">
      <c r="A681" s="1">
        <v>45478</v>
      </c>
      <c r="B681" t="s">
        <v>28</v>
      </c>
      <c r="C681" t="s">
        <v>11</v>
      </c>
      <c r="D681" t="s">
        <v>12</v>
      </c>
      <c r="E681">
        <v>9</v>
      </c>
      <c r="F681">
        <v>4599</v>
      </c>
      <c r="G681">
        <v>618.89</v>
      </c>
      <c r="H681">
        <v>2024</v>
      </c>
      <c r="I681" t="s">
        <v>25</v>
      </c>
      <c r="J681" s="4">
        <v>0.13457055881713401</v>
      </c>
      <c r="K681" t="s">
        <v>41</v>
      </c>
      <c r="L681" t="s">
        <v>60</v>
      </c>
      <c r="M681">
        <v>7</v>
      </c>
      <c r="N681" t="s">
        <v>64</v>
      </c>
    </row>
    <row r="682" spans="1:14" x14ac:dyDescent="0.3">
      <c r="A682" s="1">
        <v>45567</v>
      </c>
      <c r="B682" t="s">
        <v>28</v>
      </c>
      <c r="C682" t="s">
        <v>11</v>
      </c>
      <c r="D682" t="s">
        <v>22</v>
      </c>
      <c r="E682">
        <v>8</v>
      </c>
      <c r="F682">
        <v>8792</v>
      </c>
      <c r="G682">
        <v>2045.54</v>
      </c>
      <c r="H682">
        <v>2024</v>
      </c>
      <c r="I682" t="s">
        <v>14</v>
      </c>
      <c r="J682" s="4">
        <v>0.23265923566878999</v>
      </c>
      <c r="K682" t="s">
        <v>41</v>
      </c>
      <c r="L682" t="s">
        <v>52</v>
      </c>
      <c r="M682">
        <v>10</v>
      </c>
      <c r="N682" t="s">
        <v>54</v>
      </c>
    </row>
    <row r="683" spans="1:14" x14ac:dyDescent="0.3">
      <c r="A683" s="1">
        <v>45359</v>
      </c>
      <c r="B683" t="s">
        <v>28</v>
      </c>
      <c r="C683" t="s">
        <v>11</v>
      </c>
      <c r="D683" t="s">
        <v>22</v>
      </c>
      <c r="E683">
        <v>4</v>
      </c>
      <c r="F683">
        <v>2052</v>
      </c>
      <c r="G683">
        <v>181.64</v>
      </c>
      <c r="H683">
        <v>2024</v>
      </c>
      <c r="I683" t="s">
        <v>15</v>
      </c>
      <c r="J683" s="4">
        <v>8.8518518518518496E-2</v>
      </c>
      <c r="K683" t="s">
        <v>41</v>
      </c>
      <c r="L683" t="s">
        <v>55</v>
      </c>
      <c r="M683">
        <v>3</v>
      </c>
      <c r="N683" t="s">
        <v>56</v>
      </c>
    </row>
    <row r="684" spans="1:14" x14ac:dyDescent="0.3">
      <c r="A684" s="1">
        <v>45393</v>
      </c>
      <c r="B684" t="s">
        <v>28</v>
      </c>
      <c r="C684" t="s">
        <v>11</v>
      </c>
      <c r="D684" t="s">
        <v>12</v>
      </c>
      <c r="E684">
        <v>4</v>
      </c>
      <c r="F684">
        <v>4284</v>
      </c>
      <c r="G684">
        <v>848.44</v>
      </c>
      <c r="H684">
        <v>2024</v>
      </c>
      <c r="I684" t="s">
        <v>23</v>
      </c>
      <c r="J684" s="4">
        <v>0.198048552754435</v>
      </c>
      <c r="K684" t="s">
        <v>41</v>
      </c>
      <c r="L684" t="s">
        <v>59</v>
      </c>
      <c r="M684">
        <v>4</v>
      </c>
      <c r="N684" t="s">
        <v>62</v>
      </c>
    </row>
    <row r="685" spans="1:14" x14ac:dyDescent="0.3">
      <c r="A685" s="1">
        <v>45399</v>
      </c>
      <c r="B685" t="s">
        <v>28</v>
      </c>
      <c r="C685" t="s">
        <v>11</v>
      </c>
      <c r="D685" t="s">
        <v>19</v>
      </c>
      <c r="E685">
        <v>8</v>
      </c>
      <c r="F685">
        <v>472</v>
      </c>
      <c r="G685">
        <v>116.36</v>
      </c>
      <c r="H685">
        <v>2024</v>
      </c>
      <c r="I685" t="s">
        <v>23</v>
      </c>
      <c r="J685" s="4">
        <v>0.246525423728814</v>
      </c>
      <c r="K685" t="s">
        <v>41</v>
      </c>
      <c r="L685" t="s">
        <v>59</v>
      </c>
      <c r="M685">
        <v>4</v>
      </c>
      <c r="N685" t="s">
        <v>62</v>
      </c>
    </row>
    <row r="686" spans="1:14" x14ac:dyDescent="0.3">
      <c r="A686" s="1">
        <v>45454</v>
      </c>
      <c r="B686" t="s">
        <v>28</v>
      </c>
      <c r="C686" t="s">
        <v>11</v>
      </c>
      <c r="D686" t="s">
        <v>17</v>
      </c>
      <c r="E686">
        <v>4</v>
      </c>
      <c r="F686">
        <v>1264</v>
      </c>
      <c r="G686">
        <v>371.92</v>
      </c>
      <c r="H686">
        <v>2024</v>
      </c>
      <c r="I686" t="s">
        <v>27</v>
      </c>
      <c r="J686" s="4">
        <v>0.29424050632911403</v>
      </c>
      <c r="K686" t="s">
        <v>41</v>
      </c>
      <c r="L686" t="s">
        <v>59</v>
      </c>
      <c r="M686">
        <v>6</v>
      </c>
      <c r="N686" t="s">
        <v>66</v>
      </c>
    </row>
    <row r="687" spans="1:14" x14ac:dyDescent="0.3">
      <c r="A687" s="1">
        <v>45484</v>
      </c>
      <c r="B687" t="s">
        <v>28</v>
      </c>
      <c r="C687" t="s">
        <v>11</v>
      </c>
      <c r="D687" t="s">
        <v>17</v>
      </c>
      <c r="E687">
        <v>7</v>
      </c>
      <c r="F687">
        <v>2919</v>
      </c>
      <c r="G687">
        <v>325.35000000000002</v>
      </c>
      <c r="H687">
        <v>2024</v>
      </c>
      <c r="I687" t="s">
        <v>25</v>
      </c>
      <c r="J687" s="4">
        <v>0.11145940390544699</v>
      </c>
      <c r="K687" t="s">
        <v>41</v>
      </c>
      <c r="L687" t="s">
        <v>60</v>
      </c>
      <c r="M687">
        <v>7</v>
      </c>
      <c r="N687" t="s">
        <v>64</v>
      </c>
    </row>
    <row r="688" spans="1:14" x14ac:dyDescent="0.3">
      <c r="A688" s="1">
        <v>45471</v>
      </c>
      <c r="B688" t="s">
        <v>28</v>
      </c>
      <c r="C688" t="s">
        <v>11</v>
      </c>
      <c r="D688" t="s">
        <v>12</v>
      </c>
      <c r="E688">
        <v>7</v>
      </c>
      <c r="F688">
        <v>3094</v>
      </c>
      <c r="G688">
        <v>463.72</v>
      </c>
      <c r="H688">
        <v>2024</v>
      </c>
      <c r="I688" t="s">
        <v>27</v>
      </c>
      <c r="J688" s="4">
        <v>0.14987718164188801</v>
      </c>
      <c r="K688" t="s">
        <v>41</v>
      </c>
      <c r="L688" t="s">
        <v>59</v>
      </c>
      <c r="M688">
        <v>6</v>
      </c>
      <c r="N688" t="s">
        <v>66</v>
      </c>
    </row>
    <row r="689" spans="1:14" x14ac:dyDescent="0.3">
      <c r="A689" s="1">
        <v>45422</v>
      </c>
      <c r="B689" t="s">
        <v>28</v>
      </c>
      <c r="C689" t="s">
        <v>11</v>
      </c>
      <c r="D689" t="s">
        <v>22</v>
      </c>
      <c r="E689">
        <v>6</v>
      </c>
      <c r="F689">
        <v>3402</v>
      </c>
      <c r="G689">
        <v>857.61</v>
      </c>
      <c r="H689">
        <v>2024</v>
      </c>
      <c r="I689" t="s">
        <v>20</v>
      </c>
      <c r="J689" s="4">
        <v>0.25208994708994698</v>
      </c>
      <c r="K689" t="s">
        <v>41</v>
      </c>
      <c r="L689" t="s">
        <v>59</v>
      </c>
      <c r="M689">
        <v>5</v>
      </c>
      <c r="N689" t="s">
        <v>20</v>
      </c>
    </row>
    <row r="690" spans="1:14" x14ac:dyDescent="0.3">
      <c r="A690" s="1">
        <v>45550</v>
      </c>
      <c r="B690" t="s">
        <v>28</v>
      </c>
      <c r="C690" t="s">
        <v>11</v>
      </c>
      <c r="D690" t="s">
        <v>19</v>
      </c>
      <c r="E690">
        <v>9</v>
      </c>
      <c r="F690">
        <v>3591</v>
      </c>
      <c r="G690">
        <v>423</v>
      </c>
      <c r="H690">
        <v>2024</v>
      </c>
      <c r="I690" t="s">
        <v>21</v>
      </c>
      <c r="J690" s="4">
        <v>0.11779448621553899</v>
      </c>
      <c r="K690" t="s">
        <v>41</v>
      </c>
      <c r="L690" t="s">
        <v>60</v>
      </c>
      <c r="M690">
        <v>9</v>
      </c>
      <c r="N690" t="s">
        <v>61</v>
      </c>
    </row>
    <row r="691" spans="1:14" x14ac:dyDescent="0.3">
      <c r="A691" s="1">
        <v>45614</v>
      </c>
      <c r="B691" t="s">
        <v>28</v>
      </c>
      <c r="C691" t="s">
        <v>11</v>
      </c>
      <c r="D691" t="s">
        <v>19</v>
      </c>
      <c r="E691">
        <v>4</v>
      </c>
      <c r="F691">
        <v>2792</v>
      </c>
      <c r="G691">
        <v>170.96</v>
      </c>
      <c r="H691">
        <v>2024</v>
      </c>
      <c r="I691" t="s">
        <v>18</v>
      </c>
      <c r="J691" s="4">
        <v>6.1232091690544402E-2</v>
      </c>
      <c r="K691" t="s">
        <v>41</v>
      </c>
      <c r="L691" t="s">
        <v>52</v>
      </c>
      <c r="M691">
        <v>11</v>
      </c>
      <c r="N691" t="s">
        <v>58</v>
      </c>
    </row>
    <row r="692" spans="1:14" x14ac:dyDescent="0.3">
      <c r="A692" s="1">
        <v>45504</v>
      </c>
      <c r="B692" t="s">
        <v>28</v>
      </c>
      <c r="C692" t="s">
        <v>11</v>
      </c>
      <c r="D692" t="s">
        <v>17</v>
      </c>
      <c r="E692">
        <v>7</v>
      </c>
      <c r="F692">
        <v>4459</v>
      </c>
      <c r="G692">
        <v>1037.27</v>
      </c>
      <c r="H692">
        <v>2024</v>
      </c>
      <c r="I692" t="s">
        <v>25</v>
      </c>
      <c r="J692" s="4">
        <v>0.23262390670553901</v>
      </c>
      <c r="K692" t="s">
        <v>41</v>
      </c>
      <c r="L692" t="s">
        <v>60</v>
      </c>
      <c r="M692">
        <v>7</v>
      </c>
      <c r="N692" t="s">
        <v>64</v>
      </c>
    </row>
    <row r="693" spans="1:14" x14ac:dyDescent="0.3">
      <c r="A693" s="1">
        <v>45556</v>
      </c>
      <c r="B693" t="s">
        <v>28</v>
      </c>
      <c r="C693" t="s">
        <v>11</v>
      </c>
      <c r="D693" t="s">
        <v>17</v>
      </c>
      <c r="E693">
        <v>6</v>
      </c>
      <c r="F693">
        <v>3012</v>
      </c>
      <c r="G693">
        <v>307.47000000000003</v>
      </c>
      <c r="H693">
        <v>2024</v>
      </c>
      <c r="I693" t="s">
        <v>21</v>
      </c>
      <c r="J693" s="4">
        <v>0.10208167330677299</v>
      </c>
      <c r="K693" t="s">
        <v>41</v>
      </c>
      <c r="L693" t="s">
        <v>60</v>
      </c>
      <c r="M693">
        <v>9</v>
      </c>
      <c r="N693" t="s">
        <v>61</v>
      </c>
    </row>
    <row r="694" spans="1:14" x14ac:dyDescent="0.3">
      <c r="A694" s="1">
        <v>45507</v>
      </c>
      <c r="B694" t="s">
        <v>28</v>
      </c>
      <c r="C694" t="s">
        <v>11</v>
      </c>
      <c r="D694" t="s">
        <v>12</v>
      </c>
      <c r="E694">
        <v>1</v>
      </c>
      <c r="F694">
        <v>952</v>
      </c>
      <c r="G694">
        <v>179.4</v>
      </c>
      <c r="H694">
        <v>2024</v>
      </c>
      <c r="I694" t="s">
        <v>24</v>
      </c>
      <c r="J694" s="4">
        <v>0.18844537815126</v>
      </c>
      <c r="K694" t="s">
        <v>41</v>
      </c>
      <c r="L694" t="s">
        <v>60</v>
      </c>
      <c r="M694">
        <v>8</v>
      </c>
      <c r="N694" t="s">
        <v>63</v>
      </c>
    </row>
    <row r="695" spans="1:14" x14ac:dyDescent="0.3">
      <c r="A695" s="1">
        <v>45335</v>
      </c>
      <c r="B695" t="s">
        <v>28</v>
      </c>
      <c r="C695" t="s">
        <v>11</v>
      </c>
      <c r="D695" t="s">
        <v>19</v>
      </c>
      <c r="E695">
        <v>5</v>
      </c>
      <c r="F695">
        <v>4315</v>
      </c>
      <c r="G695">
        <v>1019.91</v>
      </c>
      <c r="H695">
        <v>2024</v>
      </c>
      <c r="I695" t="s">
        <v>16</v>
      </c>
      <c r="J695" s="4">
        <v>0.23636384704519101</v>
      </c>
      <c r="K695" t="s">
        <v>41</v>
      </c>
      <c r="L695" t="s">
        <v>55</v>
      </c>
      <c r="M695">
        <v>2</v>
      </c>
      <c r="N695" t="s">
        <v>57</v>
      </c>
    </row>
    <row r="696" spans="1:14" x14ac:dyDescent="0.3">
      <c r="A696" s="1">
        <v>45435</v>
      </c>
      <c r="B696" t="s">
        <v>28</v>
      </c>
      <c r="C696" t="s">
        <v>11</v>
      </c>
      <c r="D696" t="s">
        <v>22</v>
      </c>
      <c r="E696">
        <v>1</v>
      </c>
      <c r="F696">
        <v>1140</v>
      </c>
      <c r="G696">
        <v>85.75</v>
      </c>
      <c r="H696">
        <v>2024</v>
      </c>
      <c r="I696" t="s">
        <v>20</v>
      </c>
      <c r="J696" s="4">
        <v>7.5219298245614005E-2</v>
      </c>
      <c r="K696" t="s">
        <v>41</v>
      </c>
      <c r="L696" t="s">
        <v>59</v>
      </c>
      <c r="M696">
        <v>5</v>
      </c>
      <c r="N696" t="s">
        <v>20</v>
      </c>
    </row>
    <row r="697" spans="1:14" x14ac:dyDescent="0.3">
      <c r="A697" s="1">
        <v>45350</v>
      </c>
      <c r="B697" t="s">
        <v>28</v>
      </c>
      <c r="C697" t="s">
        <v>11</v>
      </c>
      <c r="D697" t="s">
        <v>12</v>
      </c>
      <c r="E697">
        <v>4</v>
      </c>
      <c r="F697">
        <v>1872</v>
      </c>
      <c r="G697">
        <v>418.05</v>
      </c>
      <c r="H697">
        <v>2024</v>
      </c>
      <c r="I697" t="s">
        <v>16</v>
      </c>
      <c r="J697" s="4">
        <v>0.22331730769230801</v>
      </c>
      <c r="K697" t="s">
        <v>41</v>
      </c>
      <c r="L697" t="s">
        <v>55</v>
      </c>
      <c r="M697">
        <v>2</v>
      </c>
      <c r="N697" t="s">
        <v>57</v>
      </c>
    </row>
    <row r="698" spans="1:14" x14ac:dyDescent="0.3">
      <c r="A698" s="1">
        <v>45493</v>
      </c>
      <c r="B698" t="s">
        <v>28</v>
      </c>
      <c r="C698" t="s">
        <v>11</v>
      </c>
      <c r="D698" t="s">
        <v>19</v>
      </c>
      <c r="E698">
        <v>8</v>
      </c>
      <c r="F698">
        <v>3272</v>
      </c>
      <c r="G698">
        <v>460.82</v>
      </c>
      <c r="H698">
        <v>2024</v>
      </c>
      <c r="I698" t="s">
        <v>25</v>
      </c>
      <c r="J698" s="4">
        <v>0.14083740831295799</v>
      </c>
      <c r="K698" t="s">
        <v>41</v>
      </c>
      <c r="L698" t="s">
        <v>60</v>
      </c>
      <c r="M698">
        <v>7</v>
      </c>
      <c r="N698" t="s">
        <v>64</v>
      </c>
    </row>
    <row r="699" spans="1:14" x14ac:dyDescent="0.3">
      <c r="A699" s="1">
        <v>45296</v>
      </c>
      <c r="B699" t="s">
        <v>28</v>
      </c>
      <c r="C699" t="s">
        <v>11</v>
      </c>
      <c r="D699" t="s">
        <v>17</v>
      </c>
      <c r="E699">
        <v>2</v>
      </c>
      <c r="F699">
        <v>1578</v>
      </c>
      <c r="G699">
        <v>463.58</v>
      </c>
      <c r="H699">
        <v>2024</v>
      </c>
      <c r="I699" t="s">
        <v>26</v>
      </c>
      <c r="J699" s="4">
        <v>0.29377693282636202</v>
      </c>
      <c r="K699" t="s">
        <v>41</v>
      </c>
      <c r="L699" t="s">
        <v>55</v>
      </c>
      <c r="M699">
        <v>1</v>
      </c>
      <c r="N699" t="s">
        <v>65</v>
      </c>
    </row>
    <row r="700" spans="1:14" x14ac:dyDescent="0.3">
      <c r="A700" s="1">
        <v>45651</v>
      </c>
      <c r="B700" t="s">
        <v>28</v>
      </c>
      <c r="C700" t="s">
        <v>11</v>
      </c>
      <c r="D700" t="s">
        <v>19</v>
      </c>
      <c r="E700">
        <v>9</v>
      </c>
      <c r="F700">
        <v>4950</v>
      </c>
      <c r="G700">
        <v>1402.67</v>
      </c>
      <c r="H700">
        <v>2024</v>
      </c>
      <c r="I700" t="s">
        <v>13</v>
      </c>
      <c r="J700" s="4">
        <v>0.28336767676767699</v>
      </c>
      <c r="K700" t="s">
        <v>41</v>
      </c>
      <c r="L700" t="s">
        <v>52</v>
      </c>
      <c r="M700">
        <v>12</v>
      </c>
      <c r="N700" t="s">
        <v>53</v>
      </c>
    </row>
    <row r="701" spans="1:14" x14ac:dyDescent="0.3">
      <c r="A701" s="1">
        <v>45458</v>
      </c>
      <c r="B701" t="s">
        <v>28</v>
      </c>
      <c r="C701" t="s">
        <v>11</v>
      </c>
      <c r="D701" t="s">
        <v>19</v>
      </c>
      <c r="E701">
        <v>4</v>
      </c>
      <c r="F701">
        <v>3928</v>
      </c>
      <c r="G701">
        <v>325.32</v>
      </c>
      <c r="H701">
        <v>2024</v>
      </c>
      <c r="I701" t="s">
        <v>27</v>
      </c>
      <c r="J701" s="4">
        <v>8.28207739307536E-2</v>
      </c>
      <c r="K701" t="s">
        <v>41</v>
      </c>
      <c r="L701" t="s">
        <v>59</v>
      </c>
      <c r="M701">
        <v>6</v>
      </c>
      <c r="N701" t="s">
        <v>66</v>
      </c>
    </row>
    <row r="702" spans="1:14" x14ac:dyDescent="0.3">
      <c r="A702" s="1">
        <v>45352</v>
      </c>
      <c r="B702" t="s">
        <v>28</v>
      </c>
      <c r="C702" t="s">
        <v>11</v>
      </c>
      <c r="D702" t="s">
        <v>22</v>
      </c>
      <c r="E702">
        <v>1</v>
      </c>
      <c r="F702">
        <v>814</v>
      </c>
      <c r="G702">
        <v>197.91</v>
      </c>
      <c r="H702">
        <v>2024</v>
      </c>
      <c r="I702" t="s">
        <v>15</v>
      </c>
      <c r="J702" s="4">
        <v>0.243132678132678</v>
      </c>
      <c r="K702" t="s">
        <v>41</v>
      </c>
      <c r="L702" t="s">
        <v>55</v>
      </c>
      <c r="M702">
        <v>3</v>
      </c>
      <c r="N702" t="s">
        <v>56</v>
      </c>
    </row>
    <row r="703" spans="1:14" x14ac:dyDescent="0.3">
      <c r="A703" s="1">
        <v>45499</v>
      </c>
      <c r="B703" t="s">
        <v>28</v>
      </c>
      <c r="C703" t="s">
        <v>11</v>
      </c>
      <c r="D703" t="s">
        <v>17</v>
      </c>
      <c r="E703">
        <v>2</v>
      </c>
      <c r="F703">
        <v>300</v>
      </c>
      <c r="G703">
        <v>48.69</v>
      </c>
      <c r="H703">
        <v>2024</v>
      </c>
      <c r="I703" t="s">
        <v>25</v>
      </c>
      <c r="J703" s="4">
        <v>0.1623</v>
      </c>
      <c r="K703" t="s">
        <v>41</v>
      </c>
      <c r="L703" t="s">
        <v>60</v>
      </c>
      <c r="M703">
        <v>7</v>
      </c>
      <c r="N703" t="s">
        <v>64</v>
      </c>
    </row>
    <row r="704" spans="1:14" x14ac:dyDescent="0.3">
      <c r="A704" s="1">
        <v>45315</v>
      </c>
      <c r="B704" t="s">
        <v>28</v>
      </c>
      <c r="C704" t="s">
        <v>11</v>
      </c>
      <c r="D704" t="s">
        <v>19</v>
      </c>
      <c r="E704">
        <v>3</v>
      </c>
      <c r="F704">
        <v>1317</v>
      </c>
      <c r="G704">
        <v>71.02</v>
      </c>
      <c r="H704">
        <v>2024</v>
      </c>
      <c r="I704" t="s">
        <v>26</v>
      </c>
      <c r="J704" s="4">
        <v>5.3925588458618098E-2</v>
      </c>
      <c r="K704" t="s">
        <v>41</v>
      </c>
      <c r="L704" t="s">
        <v>55</v>
      </c>
      <c r="M704">
        <v>1</v>
      </c>
      <c r="N704" t="s">
        <v>65</v>
      </c>
    </row>
    <row r="705" spans="1:14" x14ac:dyDescent="0.3">
      <c r="A705" s="1">
        <v>45372</v>
      </c>
      <c r="B705" t="s">
        <v>28</v>
      </c>
      <c r="C705" t="s">
        <v>11</v>
      </c>
      <c r="D705" t="s">
        <v>12</v>
      </c>
      <c r="E705">
        <v>3</v>
      </c>
      <c r="F705">
        <v>957</v>
      </c>
      <c r="G705">
        <v>120.27</v>
      </c>
      <c r="H705">
        <v>2024</v>
      </c>
      <c r="I705" t="s">
        <v>15</v>
      </c>
      <c r="J705" s="4">
        <v>0.125673981191223</v>
      </c>
      <c r="K705" t="s">
        <v>41</v>
      </c>
      <c r="L705" t="s">
        <v>55</v>
      </c>
      <c r="M705">
        <v>3</v>
      </c>
      <c r="N705" t="s">
        <v>56</v>
      </c>
    </row>
    <row r="706" spans="1:14" x14ac:dyDescent="0.3">
      <c r="A706" s="1">
        <v>45557</v>
      </c>
      <c r="B706" t="s">
        <v>28</v>
      </c>
      <c r="C706" t="s">
        <v>11</v>
      </c>
      <c r="D706" t="s">
        <v>12</v>
      </c>
      <c r="E706">
        <v>4</v>
      </c>
      <c r="F706">
        <v>1932</v>
      </c>
      <c r="G706">
        <v>301.16000000000003</v>
      </c>
      <c r="H706">
        <v>2024</v>
      </c>
      <c r="I706" t="s">
        <v>21</v>
      </c>
      <c r="J706" s="4">
        <v>0.155879917184265</v>
      </c>
      <c r="K706" t="s">
        <v>41</v>
      </c>
      <c r="L706" t="s">
        <v>60</v>
      </c>
      <c r="M706">
        <v>9</v>
      </c>
      <c r="N706" t="s">
        <v>61</v>
      </c>
    </row>
    <row r="707" spans="1:14" x14ac:dyDescent="0.3">
      <c r="A707" s="1">
        <v>45646</v>
      </c>
      <c r="B707" t="s">
        <v>28</v>
      </c>
      <c r="C707" t="s">
        <v>11</v>
      </c>
      <c r="D707" t="s">
        <v>19</v>
      </c>
      <c r="E707">
        <v>5</v>
      </c>
      <c r="F707">
        <v>550</v>
      </c>
      <c r="G707">
        <v>28.72</v>
      </c>
      <c r="H707">
        <v>2024</v>
      </c>
      <c r="I707" t="s">
        <v>13</v>
      </c>
      <c r="J707" s="4">
        <v>5.2218181818181802E-2</v>
      </c>
      <c r="K707" t="s">
        <v>41</v>
      </c>
      <c r="L707" t="s">
        <v>52</v>
      </c>
      <c r="M707">
        <v>12</v>
      </c>
      <c r="N707" t="s">
        <v>53</v>
      </c>
    </row>
    <row r="708" spans="1:14" x14ac:dyDescent="0.3">
      <c r="A708" s="1">
        <v>45505</v>
      </c>
      <c r="B708" t="s">
        <v>28</v>
      </c>
      <c r="C708" t="s">
        <v>11</v>
      </c>
      <c r="D708" t="s">
        <v>19</v>
      </c>
      <c r="E708">
        <v>2</v>
      </c>
      <c r="F708">
        <v>186</v>
      </c>
      <c r="G708">
        <v>32.479999999999997</v>
      </c>
      <c r="H708">
        <v>2024</v>
      </c>
      <c r="I708" t="s">
        <v>24</v>
      </c>
      <c r="J708" s="4">
        <v>0.17462365591397799</v>
      </c>
      <c r="K708" t="s">
        <v>41</v>
      </c>
      <c r="L708" t="s">
        <v>60</v>
      </c>
      <c r="M708">
        <v>8</v>
      </c>
      <c r="N708" t="s">
        <v>63</v>
      </c>
    </row>
    <row r="709" spans="1:14" x14ac:dyDescent="0.3">
      <c r="A709" s="1">
        <v>45358</v>
      </c>
      <c r="B709" t="s">
        <v>28</v>
      </c>
      <c r="C709" t="s">
        <v>11</v>
      </c>
      <c r="D709" t="s">
        <v>12</v>
      </c>
      <c r="E709">
        <v>2</v>
      </c>
      <c r="F709">
        <v>1428</v>
      </c>
      <c r="G709">
        <v>398.24</v>
      </c>
      <c r="H709">
        <v>2024</v>
      </c>
      <c r="I709" t="s">
        <v>15</v>
      </c>
      <c r="J709" s="4">
        <v>0.27887955182072799</v>
      </c>
      <c r="K709" t="s">
        <v>41</v>
      </c>
      <c r="L709" t="s">
        <v>55</v>
      </c>
      <c r="M709">
        <v>3</v>
      </c>
      <c r="N709" t="s">
        <v>56</v>
      </c>
    </row>
    <row r="710" spans="1:14" x14ac:dyDescent="0.3">
      <c r="A710" s="1">
        <v>45444</v>
      </c>
      <c r="B710" t="s">
        <v>28</v>
      </c>
      <c r="C710" t="s">
        <v>11</v>
      </c>
      <c r="D710" t="s">
        <v>17</v>
      </c>
      <c r="E710">
        <v>7</v>
      </c>
      <c r="F710">
        <v>560</v>
      </c>
      <c r="G710">
        <v>163.16</v>
      </c>
      <c r="H710">
        <v>2024</v>
      </c>
      <c r="I710" t="s">
        <v>27</v>
      </c>
      <c r="J710" s="4">
        <v>0.29135714285714298</v>
      </c>
      <c r="K710" t="s">
        <v>41</v>
      </c>
      <c r="L710" t="s">
        <v>59</v>
      </c>
      <c r="M710">
        <v>6</v>
      </c>
      <c r="N710" t="s">
        <v>66</v>
      </c>
    </row>
    <row r="711" spans="1:14" x14ac:dyDescent="0.3">
      <c r="A711" s="1">
        <v>45480</v>
      </c>
      <c r="B711" t="s">
        <v>28</v>
      </c>
      <c r="C711" t="s">
        <v>11</v>
      </c>
      <c r="D711" t="s">
        <v>22</v>
      </c>
      <c r="E711">
        <v>7</v>
      </c>
      <c r="F711">
        <v>2632</v>
      </c>
      <c r="G711">
        <v>738.93</v>
      </c>
      <c r="H711">
        <v>2024</v>
      </c>
      <c r="I711" t="s">
        <v>25</v>
      </c>
      <c r="J711" s="4">
        <v>0.28074848024316101</v>
      </c>
      <c r="K711" t="s">
        <v>41</v>
      </c>
      <c r="L711" t="s">
        <v>60</v>
      </c>
      <c r="M711">
        <v>7</v>
      </c>
      <c r="N711" t="s">
        <v>64</v>
      </c>
    </row>
    <row r="712" spans="1:14" x14ac:dyDescent="0.3">
      <c r="A712" s="1">
        <v>45608</v>
      </c>
      <c r="B712" t="s">
        <v>28</v>
      </c>
      <c r="C712" t="s">
        <v>11</v>
      </c>
      <c r="D712" t="s">
        <v>22</v>
      </c>
      <c r="E712">
        <v>1</v>
      </c>
      <c r="F712">
        <v>281</v>
      </c>
      <c r="G712">
        <v>67.849999999999994</v>
      </c>
      <c r="H712">
        <v>2024</v>
      </c>
      <c r="I712" t="s">
        <v>18</v>
      </c>
      <c r="J712" s="4">
        <v>0.241459074733096</v>
      </c>
      <c r="K712" t="s">
        <v>41</v>
      </c>
      <c r="L712" t="s">
        <v>52</v>
      </c>
      <c r="M712">
        <v>11</v>
      </c>
      <c r="N712" t="s">
        <v>58</v>
      </c>
    </row>
    <row r="713" spans="1:14" x14ac:dyDescent="0.3">
      <c r="A713" s="1">
        <v>45646</v>
      </c>
      <c r="B713" t="s">
        <v>28</v>
      </c>
      <c r="C713" t="s">
        <v>11</v>
      </c>
      <c r="D713" t="s">
        <v>22</v>
      </c>
      <c r="E713">
        <v>4</v>
      </c>
      <c r="F713">
        <v>1832</v>
      </c>
      <c r="G713">
        <v>528.69000000000005</v>
      </c>
      <c r="H713">
        <v>2024</v>
      </c>
      <c r="I713" t="s">
        <v>13</v>
      </c>
      <c r="J713" s="4">
        <v>0.28858624454148502</v>
      </c>
      <c r="K713" t="s">
        <v>41</v>
      </c>
      <c r="L713" t="s">
        <v>52</v>
      </c>
      <c r="M713">
        <v>12</v>
      </c>
      <c r="N713" t="s">
        <v>53</v>
      </c>
    </row>
    <row r="714" spans="1:14" x14ac:dyDescent="0.3">
      <c r="A714" s="1">
        <v>45443</v>
      </c>
      <c r="B714" t="s">
        <v>28</v>
      </c>
      <c r="C714" t="s">
        <v>11</v>
      </c>
      <c r="D714" t="s">
        <v>12</v>
      </c>
      <c r="E714">
        <v>3</v>
      </c>
      <c r="F714">
        <v>3153</v>
      </c>
      <c r="G714">
        <v>224.29</v>
      </c>
      <c r="H714">
        <v>2024</v>
      </c>
      <c r="I714" t="s">
        <v>20</v>
      </c>
      <c r="J714" s="4">
        <v>7.1135426577862398E-2</v>
      </c>
      <c r="K714" t="s">
        <v>41</v>
      </c>
      <c r="L714" t="s">
        <v>59</v>
      </c>
      <c r="M714">
        <v>5</v>
      </c>
      <c r="N714" t="s">
        <v>20</v>
      </c>
    </row>
    <row r="715" spans="1:14" x14ac:dyDescent="0.3">
      <c r="A715" s="1">
        <v>45507</v>
      </c>
      <c r="B715" t="s">
        <v>28</v>
      </c>
      <c r="C715" t="s">
        <v>11</v>
      </c>
      <c r="D715" t="s">
        <v>19</v>
      </c>
      <c r="E715">
        <v>3</v>
      </c>
      <c r="F715">
        <v>318</v>
      </c>
      <c r="G715">
        <v>49.93</v>
      </c>
      <c r="H715">
        <v>2024</v>
      </c>
      <c r="I715" t="s">
        <v>24</v>
      </c>
      <c r="J715" s="4">
        <v>0.15701257861635201</v>
      </c>
      <c r="K715" t="s">
        <v>41</v>
      </c>
      <c r="L715" t="s">
        <v>60</v>
      </c>
      <c r="M715">
        <v>8</v>
      </c>
      <c r="N715" t="s">
        <v>63</v>
      </c>
    </row>
    <row r="716" spans="1:14" x14ac:dyDescent="0.3">
      <c r="A716" s="1">
        <v>45468</v>
      </c>
      <c r="B716" t="s">
        <v>28</v>
      </c>
      <c r="C716" t="s">
        <v>11</v>
      </c>
      <c r="D716" t="s">
        <v>22</v>
      </c>
      <c r="E716">
        <v>5</v>
      </c>
      <c r="F716">
        <v>5125</v>
      </c>
      <c r="G716">
        <v>268.39</v>
      </c>
      <c r="H716">
        <v>2024</v>
      </c>
      <c r="I716" t="s">
        <v>27</v>
      </c>
      <c r="J716" s="4">
        <v>5.2368780487804897E-2</v>
      </c>
      <c r="K716" t="s">
        <v>41</v>
      </c>
      <c r="L716" t="s">
        <v>59</v>
      </c>
      <c r="M716">
        <v>6</v>
      </c>
      <c r="N716" t="s">
        <v>66</v>
      </c>
    </row>
    <row r="717" spans="1:14" x14ac:dyDescent="0.3">
      <c r="A717" s="1">
        <v>45302</v>
      </c>
      <c r="B717" t="s">
        <v>28</v>
      </c>
      <c r="C717" t="s">
        <v>11</v>
      </c>
      <c r="D717" t="s">
        <v>19</v>
      </c>
      <c r="E717">
        <v>7</v>
      </c>
      <c r="F717">
        <v>3948</v>
      </c>
      <c r="G717">
        <v>758.36</v>
      </c>
      <c r="H717">
        <v>2024</v>
      </c>
      <c r="I717" t="s">
        <v>26</v>
      </c>
      <c r="J717" s="4">
        <v>0.19208713272543099</v>
      </c>
      <c r="K717" t="s">
        <v>41</v>
      </c>
      <c r="L717" t="s">
        <v>55</v>
      </c>
      <c r="M717">
        <v>1</v>
      </c>
      <c r="N717" t="s">
        <v>65</v>
      </c>
    </row>
    <row r="718" spans="1:14" x14ac:dyDescent="0.3">
      <c r="A718" s="1">
        <v>45652</v>
      </c>
      <c r="B718" t="s">
        <v>28</v>
      </c>
      <c r="C718" t="s">
        <v>11</v>
      </c>
      <c r="D718" t="s">
        <v>22</v>
      </c>
      <c r="E718">
        <v>8</v>
      </c>
      <c r="F718">
        <v>2888</v>
      </c>
      <c r="G718">
        <v>149.91999999999999</v>
      </c>
      <c r="H718">
        <v>2024</v>
      </c>
      <c r="I718" t="s">
        <v>13</v>
      </c>
      <c r="J718" s="4">
        <v>5.19113573407202E-2</v>
      </c>
      <c r="K718" t="s">
        <v>41</v>
      </c>
      <c r="L718" t="s">
        <v>52</v>
      </c>
      <c r="M718">
        <v>12</v>
      </c>
      <c r="N718" t="s">
        <v>53</v>
      </c>
    </row>
    <row r="719" spans="1:14" x14ac:dyDescent="0.3">
      <c r="A719" s="1">
        <v>45620</v>
      </c>
      <c r="B719" t="s">
        <v>28</v>
      </c>
      <c r="C719" t="s">
        <v>11</v>
      </c>
      <c r="D719" t="s">
        <v>12</v>
      </c>
      <c r="E719">
        <v>8</v>
      </c>
      <c r="F719">
        <v>8560</v>
      </c>
      <c r="G719">
        <v>991.94</v>
      </c>
      <c r="H719">
        <v>2024</v>
      </c>
      <c r="I719" t="s">
        <v>18</v>
      </c>
      <c r="J719" s="4">
        <v>0.11588084112149501</v>
      </c>
      <c r="K719" t="s">
        <v>41</v>
      </c>
      <c r="L719" t="s">
        <v>52</v>
      </c>
      <c r="M719">
        <v>11</v>
      </c>
      <c r="N719" t="s">
        <v>58</v>
      </c>
    </row>
    <row r="720" spans="1:14" x14ac:dyDescent="0.3">
      <c r="A720" s="1">
        <v>45510</v>
      </c>
      <c r="B720" t="s">
        <v>28</v>
      </c>
      <c r="C720" t="s">
        <v>11</v>
      </c>
      <c r="D720" t="s">
        <v>17</v>
      </c>
      <c r="E720">
        <v>5</v>
      </c>
      <c r="F720">
        <v>720</v>
      </c>
      <c r="G720">
        <v>63.84</v>
      </c>
      <c r="H720">
        <v>2024</v>
      </c>
      <c r="I720" t="s">
        <v>24</v>
      </c>
      <c r="J720" s="4">
        <v>8.8666666666666699E-2</v>
      </c>
      <c r="K720" t="s">
        <v>41</v>
      </c>
      <c r="L720" t="s">
        <v>60</v>
      </c>
      <c r="M720">
        <v>8</v>
      </c>
      <c r="N720" t="s">
        <v>63</v>
      </c>
    </row>
    <row r="721" spans="1:14" x14ac:dyDescent="0.3">
      <c r="A721" s="1">
        <v>45328</v>
      </c>
      <c r="B721" t="s">
        <v>28</v>
      </c>
      <c r="C721" t="s">
        <v>11</v>
      </c>
      <c r="D721" t="s">
        <v>19</v>
      </c>
      <c r="E721">
        <v>6</v>
      </c>
      <c r="F721">
        <v>912</v>
      </c>
      <c r="G721">
        <v>256.58</v>
      </c>
      <c r="H721">
        <v>2024</v>
      </c>
      <c r="I721" t="s">
        <v>16</v>
      </c>
      <c r="J721" s="4">
        <v>0.28133771929824603</v>
      </c>
      <c r="K721" t="s">
        <v>41</v>
      </c>
      <c r="L721" t="s">
        <v>55</v>
      </c>
      <c r="M721">
        <v>2</v>
      </c>
      <c r="N721" t="s">
        <v>57</v>
      </c>
    </row>
    <row r="722" spans="1:14" x14ac:dyDescent="0.3">
      <c r="A722" s="1">
        <v>45370</v>
      </c>
      <c r="B722" t="s">
        <v>28</v>
      </c>
      <c r="C722" t="s">
        <v>11</v>
      </c>
      <c r="D722" t="s">
        <v>22</v>
      </c>
      <c r="E722">
        <v>9</v>
      </c>
      <c r="F722">
        <v>5832</v>
      </c>
      <c r="G722">
        <v>1007.54</v>
      </c>
      <c r="H722">
        <v>2024</v>
      </c>
      <c r="I722" t="s">
        <v>15</v>
      </c>
      <c r="J722" s="4">
        <v>0.17276063100137201</v>
      </c>
      <c r="K722" t="s">
        <v>41</v>
      </c>
      <c r="L722" t="s">
        <v>55</v>
      </c>
      <c r="M722">
        <v>3</v>
      </c>
      <c r="N722" t="s">
        <v>56</v>
      </c>
    </row>
    <row r="723" spans="1:14" x14ac:dyDescent="0.3">
      <c r="A723" s="1">
        <v>45417</v>
      </c>
      <c r="B723" t="s">
        <v>28</v>
      </c>
      <c r="C723" t="s">
        <v>11</v>
      </c>
      <c r="D723" t="s">
        <v>19</v>
      </c>
      <c r="E723">
        <v>6</v>
      </c>
      <c r="F723">
        <v>3372</v>
      </c>
      <c r="G723">
        <v>934.42</v>
      </c>
      <c r="H723">
        <v>2024</v>
      </c>
      <c r="I723" t="s">
        <v>20</v>
      </c>
      <c r="J723" s="4">
        <v>0.27711150652431799</v>
      </c>
      <c r="K723" t="s">
        <v>41</v>
      </c>
      <c r="L723" t="s">
        <v>59</v>
      </c>
      <c r="M723">
        <v>5</v>
      </c>
      <c r="N723" t="s">
        <v>20</v>
      </c>
    </row>
    <row r="724" spans="1:14" x14ac:dyDescent="0.3">
      <c r="A724" s="1">
        <v>45520</v>
      </c>
      <c r="B724" t="s">
        <v>28</v>
      </c>
      <c r="C724" t="s">
        <v>11</v>
      </c>
      <c r="D724" t="s">
        <v>17</v>
      </c>
      <c r="E724">
        <v>7</v>
      </c>
      <c r="F724">
        <v>4634</v>
      </c>
      <c r="G724">
        <v>1358.44</v>
      </c>
      <c r="H724">
        <v>2024</v>
      </c>
      <c r="I724" t="s">
        <v>24</v>
      </c>
      <c r="J724" s="4">
        <v>0.29314630988347001</v>
      </c>
      <c r="K724" t="s">
        <v>41</v>
      </c>
      <c r="L724" t="s">
        <v>60</v>
      </c>
      <c r="M724">
        <v>8</v>
      </c>
      <c r="N724" t="s">
        <v>63</v>
      </c>
    </row>
    <row r="725" spans="1:14" x14ac:dyDescent="0.3">
      <c r="A725" s="1">
        <v>45557</v>
      </c>
      <c r="B725" t="s">
        <v>28</v>
      </c>
      <c r="C725" t="s">
        <v>11</v>
      </c>
      <c r="D725" t="s">
        <v>19</v>
      </c>
      <c r="E725">
        <v>6</v>
      </c>
      <c r="F725">
        <v>6462</v>
      </c>
      <c r="G725">
        <v>1466.15</v>
      </c>
      <c r="H725">
        <v>2024</v>
      </c>
      <c r="I725" t="s">
        <v>21</v>
      </c>
      <c r="J725" s="4">
        <v>0.22688796038378201</v>
      </c>
      <c r="K725" t="s">
        <v>41</v>
      </c>
      <c r="L725" t="s">
        <v>60</v>
      </c>
      <c r="M725">
        <v>9</v>
      </c>
      <c r="N725" t="s">
        <v>61</v>
      </c>
    </row>
    <row r="726" spans="1:14" x14ac:dyDescent="0.3">
      <c r="A726" s="1">
        <v>45538</v>
      </c>
      <c r="B726" t="s">
        <v>28</v>
      </c>
      <c r="C726" t="s">
        <v>11</v>
      </c>
      <c r="D726" t="s">
        <v>17</v>
      </c>
      <c r="E726">
        <v>4</v>
      </c>
      <c r="F726">
        <v>1064</v>
      </c>
      <c r="G726">
        <v>263.48</v>
      </c>
      <c r="H726">
        <v>2024</v>
      </c>
      <c r="I726" t="s">
        <v>21</v>
      </c>
      <c r="J726" s="4">
        <v>0.24763157894736801</v>
      </c>
      <c r="K726" t="s">
        <v>41</v>
      </c>
      <c r="L726" t="s">
        <v>60</v>
      </c>
      <c r="M726">
        <v>9</v>
      </c>
      <c r="N726" t="s">
        <v>61</v>
      </c>
    </row>
    <row r="727" spans="1:14" x14ac:dyDescent="0.3">
      <c r="A727" s="1">
        <v>45597</v>
      </c>
      <c r="B727" t="s">
        <v>28</v>
      </c>
      <c r="C727" t="s">
        <v>11</v>
      </c>
      <c r="D727" t="s">
        <v>19</v>
      </c>
      <c r="E727">
        <v>9</v>
      </c>
      <c r="F727">
        <v>10530</v>
      </c>
      <c r="G727">
        <v>1777.32</v>
      </c>
      <c r="H727">
        <v>2024</v>
      </c>
      <c r="I727" t="s">
        <v>18</v>
      </c>
      <c r="J727" s="4">
        <v>0.16878632478632499</v>
      </c>
      <c r="K727" t="s">
        <v>41</v>
      </c>
      <c r="L727" t="s">
        <v>52</v>
      </c>
      <c r="M727">
        <v>11</v>
      </c>
      <c r="N727" t="s">
        <v>58</v>
      </c>
    </row>
    <row r="728" spans="1:14" x14ac:dyDescent="0.3">
      <c r="A728" s="1">
        <v>44692</v>
      </c>
      <c r="B728" t="s">
        <v>29</v>
      </c>
      <c r="C728" t="s">
        <v>11</v>
      </c>
      <c r="D728" t="s">
        <v>22</v>
      </c>
      <c r="E728">
        <v>5</v>
      </c>
      <c r="F728">
        <v>5865</v>
      </c>
      <c r="G728">
        <v>502.73</v>
      </c>
      <c r="H728">
        <v>2022</v>
      </c>
      <c r="I728" t="s">
        <v>20</v>
      </c>
      <c r="J728" s="4">
        <v>8.5716965046888305E-2</v>
      </c>
      <c r="K728" t="s">
        <v>42</v>
      </c>
      <c r="L728" t="s">
        <v>59</v>
      </c>
      <c r="M728">
        <v>5</v>
      </c>
      <c r="N728" t="s">
        <v>20</v>
      </c>
    </row>
    <row r="729" spans="1:14" x14ac:dyDescent="0.3">
      <c r="A729" s="1">
        <v>44639</v>
      </c>
      <c r="B729" t="s">
        <v>29</v>
      </c>
      <c r="C729" t="s">
        <v>11</v>
      </c>
      <c r="D729" t="s">
        <v>12</v>
      </c>
      <c r="E729">
        <v>6</v>
      </c>
      <c r="F729">
        <v>3450</v>
      </c>
      <c r="G729">
        <v>705.74</v>
      </c>
      <c r="H729">
        <v>2022</v>
      </c>
      <c r="I729" t="s">
        <v>15</v>
      </c>
      <c r="J729" s="4">
        <v>0.20456231884057999</v>
      </c>
      <c r="K729" t="s">
        <v>42</v>
      </c>
      <c r="L729" t="s">
        <v>55</v>
      </c>
      <c r="M729">
        <v>3</v>
      </c>
      <c r="N729" t="s">
        <v>56</v>
      </c>
    </row>
    <row r="730" spans="1:14" x14ac:dyDescent="0.3">
      <c r="A730" s="1">
        <v>44691</v>
      </c>
      <c r="B730" t="s">
        <v>29</v>
      </c>
      <c r="C730" t="s">
        <v>11</v>
      </c>
      <c r="D730" t="s">
        <v>19</v>
      </c>
      <c r="E730">
        <v>5</v>
      </c>
      <c r="F730">
        <v>480</v>
      </c>
      <c r="G730">
        <v>73.069999999999993</v>
      </c>
      <c r="H730">
        <v>2022</v>
      </c>
      <c r="I730" t="s">
        <v>20</v>
      </c>
      <c r="J730" s="4">
        <v>0.152229166666667</v>
      </c>
      <c r="K730" t="s">
        <v>42</v>
      </c>
      <c r="L730" t="s">
        <v>59</v>
      </c>
      <c r="M730">
        <v>5</v>
      </c>
      <c r="N730" t="s">
        <v>20</v>
      </c>
    </row>
    <row r="731" spans="1:14" x14ac:dyDescent="0.3">
      <c r="A731" s="1">
        <v>44763</v>
      </c>
      <c r="B731" t="s">
        <v>29</v>
      </c>
      <c r="C731" t="s">
        <v>11</v>
      </c>
      <c r="D731" t="s">
        <v>12</v>
      </c>
      <c r="E731">
        <v>5</v>
      </c>
      <c r="F731">
        <v>5090</v>
      </c>
      <c r="G731">
        <v>1201.56</v>
      </c>
      <c r="H731">
        <v>2022</v>
      </c>
      <c r="I731" t="s">
        <v>25</v>
      </c>
      <c r="J731" s="4">
        <v>0.236062868369352</v>
      </c>
      <c r="K731" t="s">
        <v>42</v>
      </c>
      <c r="L731" t="s">
        <v>60</v>
      </c>
      <c r="M731">
        <v>7</v>
      </c>
      <c r="N731" t="s">
        <v>64</v>
      </c>
    </row>
    <row r="732" spans="1:14" x14ac:dyDescent="0.3">
      <c r="A732" s="1">
        <v>44692</v>
      </c>
      <c r="B732" t="s">
        <v>29</v>
      </c>
      <c r="C732" t="s">
        <v>11</v>
      </c>
      <c r="D732" t="s">
        <v>17</v>
      </c>
      <c r="E732">
        <v>3</v>
      </c>
      <c r="F732">
        <v>2007</v>
      </c>
      <c r="G732">
        <v>160.84</v>
      </c>
      <c r="H732">
        <v>2022</v>
      </c>
      <c r="I732" t="s">
        <v>20</v>
      </c>
      <c r="J732" s="4">
        <v>8.0139511709018396E-2</v>
      </c>
      <c r="K732" t="s">
        <v>42</v>
      </c>
      <c r="L732" t="s">
        <v>59</v>
      </c>
      <c r="M732">
        <v>5</v>
      </c>
      <c r="N732" t="s">
        <v>20</v>
      </c>
    </row>
    <row r="733" spans="1:14" x14ac:dyDescent="0.3">
      <c r="A733" s="1">
        <v>44854</v>
      </c>
      <c r="B733" t="s">
        <v>29</v>
      </c>
      <c r="C733" t="s">
        <v>11</v>
      </c>
      <c r="D733" t="s">
        <v>17</v>
      </c>
      <c r="E733">
        <v>2</v>
      </c>
      <c r="F733">
        <v>746</v>
      </c>
      <c r="G733">
        <v>170.75</v>
      </c>
      <c r="H733">
        <v>2022</v>
      </c>
      <c r="I733" t="s">
        <v>14</v>
      </c>
      <c r="J733" s="4">
        <v>0.22888739946380701</v>
      </c>
      <c r="K733" t="s">
        <v>42</v>
      </c>
      <c r="L733" t="s">
        <v>52</v>
      </c>
      <c r="M733">
        <v>10</v>
      </c>
      <c r="N733" t="s">
        <v>54</v>
      </c>
    </row>
    <row r="734" spans="1:14" x14ac:dyDescent="0.3">
      <c r="A734" s="1">
        <v>44787</v>
      </c>
      <c r="B734" t="s">
        <v>29</v>
      </c>
      <c r="C734" t="s">
        <v>11</v>
      </c>
      <c r="D734" t="s">
        <v>17</v>
      </c>
      <c r="E734">
        <v>8</v>
      </c>
      <c r="F734">
        <v>480</v>
      </c>
      <c r="G734">
        <v>132.44999999999999</v>
      </c>
      <c r="H734">
        <v>2022</v>
      </c>
      <c r="I734" t="s">
        <v>24</v>
      </c>
      <c r="J734" s="4">
        <v>0.2759375</v>
      </c>
      <c r="K734" t="s">
        <v>42</v>
      </c>
      <c r="L734" t="s">
        <v>60</v>
      </c>
      <c r="M734">
        <v>8</v>
      </c>
      <c r="N734" t="s">
        <v>63</v>
      </c>
    </row>
    <row r="735" spans="1:14" x14ac:dyDescent="0.3">
      <c r="A735" s="1">
        <v>44645</v>
      </c>
      <c r="B735" t="s">
        <v>29</v>
      </c>
      <c r="C735" t="s">
        <v>11</v>
      </c>
      <c r="D735" t="s">
        <v>22</v>
      </c>
      <c r="E735">
        <v>5</v>
      </c>
      <c r="F735">
        <v>1760</v>
      </c>
      <c r="G735">
        <v>272.68</v>
      </c>
      <c r="H735">
        <v>2022</v>
      </c>
      <c r="I735" t="s">
        <v>15</v>
      </c>
      <c r="J735" s="4">
        <v>0.154931818181818</v>
      </c>
      <c r="K735" t="s">
        <v>42</v>
      </c>
      <c r="L735" t="s">
        <v>55</v>
      </c>
      <c r="M735">
        <v>3</v>
      </c>
      <c r="N735" t="s">
        <v>56</v>
      </c>
    </row>
    <row r="736" spans="1:14" x14ac:dyDescent="0.3">
      <c r="A736" s="1">
        <v>44812</v>
      </c>
      <c r="B736" t="s">
        <v>29</v>
      </c>
      <c r="C736" t="s">
        <v>11</v>
      </c>
      <c r="D736" t="s">
        <v>19</v>
      </c>
      <c r="E736">
        <v>2</v>
      </c>
      <c r="F736">
        <v>2314</v>
      </c>
      <c r="G736">
        <v>312.07</v>
      </c>
      <c r="H736">
        <v>2022</v>
      </c>
      <c r="I736" t="s">
        <v>21</v>
      </c>
      <c r="J736" s="4">
        <v>0.134861711322385</v>
      </c>
      <c r="K736" t="s">
        <v>42</v>
      </c>
      <c r="L736" t="s">
        <v>60</v>
      </c>
      <c r="M736">
        <v>9</v>
      </c>
      <c r="N736" t="s">
        <v>61</v>
      </c>
    </row>
    <row r="737" spans="1:14" x14ac:dyDescent="0.3">
      <c r="A737" s="1">
        <v>44868</v>
      </c>
      <c r="B737" t="s">
        <v>29</v>
      </c>
      <c r="C737" t="s">
        <v>11</v>
      </c>
      <c r="D737" t="s">
        <v>12</v>
      </c>
      <c r="E737">
        <v>7</v>
      </c>
      <c r="F737">
        <v>2506</v>
      </c>
      <c r="G737">
        <v>537.98</v>
      </c>
      <c r="H737">
        <v>2022</v>
      </c>
      <c r="I737" t="s">
        <v>18</v>
      </c>
      <c r="J737" s="4">
        <v>0.21467677573822799</v>
      </c>
      <c r="K737" t="s">
        <v>42</v>
      </c>
      <c r="L737" t="s">
        <v>52</v>
      </c>
      <c r="M737">
        <v>11</v>
      </c>
      <c r="N737" t="s">
        <v>58</v>
      </c>
    </row>
    <row r="738" spans="1:14" x14ac:dyDescent="0.3">
      <c r="A738" s="1">
        <v>44872</v>
      </c>
      <c r="B738" t="s">
        <v>29</v>
      </c>
      <c r="C738" t="s">
        <v>11</v>
      </c>
      <c r="D738" t="s">
        <v>19</v>
      </c>
      <c r="E738">
        <v>6</v>
      </c>
      <c r="F738">
        <v>3396</v>
      </c>
      <c r="G738">
        <v>987.68</v>
      </c>
      <c r="H738">
        <v>2022</v>
      </c>
      <c r="I738" t="s">
        <v>18</v>
      </c>
      <c r="J738" s="4">
        <v>0.29083627797408701</v>
      </c>
      <c r="K738" t="s">
        <v>42</v>
      </c>
      <c r="L738" t="s">
        <v>52</v>
      </c>
      <c r="M738">
        <v>11</v>
      </c>
      <c r="N738" t="s">
        <v>58</v>
      </c>
    </row>
    <row r="739" spans="1:14" x14ac:dyDescent="0.3">
      <c r="A739" s="1">
        <v>44611</v>
      </c>
      <c r="B739" t="s">
        <v>29</v>
      </c>
      <c r="C739" t="s">
        <v>11</v>
      </c>
      <c r="D739" t="s">
        <v>12</v>
      </c>
      <c r="E739">
        <v>1</v>
      </c>
      <c r="F739">
        <v>908</v>
      </c>
      <c r="G739">
        <v>222.58</v>
      </c>
      <c r="H739">
        <v>2022</v>
      </c>
      <c r="I739" t="s">
        <v>16</v>
      </c>
      <c r="J739" s="4">
        <v>0.24513215859030801</v>
      </c>
      <c r="K739" t="s">
        <v>42</v>
      </c>
      <c r="L739" t="s">
        <v>55</v>
      </c>
      <c r="M739">
        <v>2</v>
      </c>
      <c r="N739" t="s">
        <v>57</v>
      </c>
    </row>
    <row r="740" spans="1:14" x14ac:dyDescent="0.3">
      <c r="A740" s="1">
        <v>44721</v>
      </c>
      <c r="B740" t="s">
        <v>29</v>
      </c>
      <c r="C740" t="s">
        <v>11</v>
      </c>
      <c r="D740" t="s">
        <v>19</v>
      </c>
      <c r="E740">
        <v>2</v>
      </c>
      <c r="F740">
        <v>846</v>
      </c>
      <c r="G740">
        <v>145.09</v>
      </c>
      <c r="H740">
        <v>2022</v>
      </c>
      <c r="I740" t="s">
        <v>27</v>
      </c>
      <c r="J740" s="4">
        <v>0.171501182033097</v>
      </c>
      <c r="K740" t="s">
        <v>42</v>
      </c>
      <c r="L740" t="s">
        <v>59</v>
      </c>
      <c r="M740">
        <v>6</v>
      </c>
      <c r="N740" t="s">
        <v>66</v>
      </c>
    </row>
    <row r="741" spans="1:14" x14ac:dyDescent="0.3">
      <c r="A741" s="1">
        <v>44600</v>
      </c>
      <c r="B741" t="s">
        <v>29</v>
      </c>
      <c r="C741" t="s">
        <v>11</v>
      </c>
      <c r="D741" t="s">
        <v>17</v>
      </c>
      <c r="E741">
        <v>5</v>
      </c>
      <c r="F741">
        <v>855</v>
      </c>
      <c r="G741">
        <v>217.16</v>
      </c>
      <c r="H741">
        <v>2022</v>
      </c>
      <c r="I741" t="s">
        <v>16</v>
      </c>
      <c r="J741" s="4">
        <v>0.25398830409356699</v>
      </c>
      <c r="K741" t="s">
        <v>42</v>
      </c>
      <c r="L741" t="s">
        <v>55</v>
      </c>
      <c r="M741">
        <v>2</v>
      </c>
      <c r="N741" t="s">
        <v>57</v>
      </c>
    </row>
    <row r="742" spans="1:14" x14ac:dyDescent="0.3">
      <c r="A742" s="1">
        <v>44797</v>
      </c>
      <c r="B742" t="s">
        <v>29</v>
      </c>
      <c r="C742" t="s">
        <v>11</v>
      </c>
      <c r="D742" t="s">
        <v>12</v>
      </c>
      <c r="E742">
        <v>8</v>
      </c>
      <c r="F742">
        <v>2296</v>
      </c>
      <c r="G742">
        <v>560.48</v>
      </c>
      <c r="H742">
        <v>2022</v>
      </c>
      <c r="I742" t="s">
        <v>24</v>
      </c>
      <c r="J742" s="4">
        <v>0.24411149825784001</v>
      </c>
      <c r="K742" t="s">
        <v>42</v>
      </c>
      <c r="L742" t="s">
        <v>60</v>
      </c>
      <c r="M742">
        <v>8</v>
      </c>
      <c r="N742" t="s">
        <v>63</v>
      </c>
    </row>
    <row r="743" spans="1:14" x14ac:dyDescent="0.3">
      <c r="A743" s="1">
        <v>44720</v>
      </c>
      <c r="B743" t="s">
        <v>29</v>
      </c>
      <c r="C743" t="s">
        <v>11</v>
      </c>
      <c r="D743" t="s">
        <v>12</v>
      </c>
      <c r="E743">
        <v>8</v>
      </c>
      <c r="F743">
        <v>1688</v>
      </c>
      <c r="G743">
        <v>337.33</v>
      </c>
      <c r="H743">
        <v>2022</v>
      </c>
      <c r="I743" t="s">
        <v>27</v>
      </c>
      <c r="J743" s="4">
        <v>0.199840047393365</v>
      </c>
      <c r="K743" t="s">
        <v>42</v>
      </c>
      <c r="L743" t="s">
        <v>59</v>
      </c>
      <c r="M743">
        <v>6</v>
      </c>
      <c r="N743" t="s">
        <v>66</v>
      </c>
    </row>
    <row r="744" spans="1:14" x14ac:dyDescent="0.3">
      <c r="A744" s="1">
        <v>44654</v>
      </c>
      <c r="B744" t="s">
        <v>29</v>
      </c>
      <c r="C744" t="s">
        <v>11</v>
      </c>
      <c r="D744" t="s">
        <v>17</v>
      </c>
      <c r="E744">
        <v>3</v>
      </c>
      <c r="F744">
        <v>1233</v>
      </c>
      <c r="G744">
        <v>361.12</v>
      </c>
      <c r="H744">
        <v>2022</v>
      </c>
      <c r="I744" t="s">
        <v>23</v>
      </c>
      <c r="J744" s="4">
        <v>0.29287915652879198</v>
      </c>
      <c r="K744" t="s">
        <v>42</v>
      </c>
      <c r="L744" t="s">
        <v>59</v>
      </c>
      <c r="M744">
        <v>4</v>
      </c>
      <c r="N744" t="s">
        <v>62</v>
      </c>
    </row>
    <row r="745" spans="1:14" x14ac:dyDescent="0.3">
      <c r="A745" s="1">
        <v>44610</v>
      </c>
      <c r="B745" t="s">
        <v>29</v>
      </c>
      <c r="C745" t="s">
        <v>11</v>
      </c>
      <c r="D745" t="s">
        <v>22</v>
      </c>
      <c r="E745">
        <v>1</v>
      </c>
      <c r="F745">
        <v>702</v>
      </c>
      <c r="G745">
        <v>129.34</v>
      </c>
      <c r="H745">
        <v>2022</v>
      </c>
      <c r="I745" t="s">
        <v>16</v>
      </c>
      <c r="J745" s="4">
        <v>0.18424501424501399</v>
      </c>
      <c r="K745" t="s">
        <v>42</v>
      </c>
      <c r="L745" t="s">
        <v>55</v>
      </c>
      <c r="M745">
        <v>2</v>
      </c>
      <c r="N745" t="s">
        <v>57</v>
      </c>
    </row>
    <row r="746" spans="1:14" x14ac:dyDescent="0.3">
      <c r="A746" s="1">
        <v>44625</v>
      </c>
      <c r="B746" t="s">
        <v>29</v>
      </c>
      <c r="C746" t="s">
        <v>11</v>
      </c>
      <c r="D746" t="s">
        <v>19</v>
      </c>
      <c r="E746">
        <v>5</v>
      </c>
      <c r="F746">
        <v>3530</v>
      </c>
      <c r="G746">
        <v>803.86</v>
      </c>
      <c r="H746">
        <v>2022</v>
      </c>
      <c r="I746" t="s">
        <v>15</v>
      </c>
      <c r="J746" s="4">
        <v>0.227722379603399</v>
      </c>
      <c r="K746" t="s">
        <v>42</v>
      </c>
      <c r="L746" t="s">
        <v>55</v>
      </c>
      <c r="M746">
        <v>3</v>
      </c>
      <c r="N746" t="s">
        <v>56</v>
      </c>
    </row>
    <row r="747" spans="1:14" x14ac:dyDescent="0.3">
      <c r="A747" s="1">
        <v>44818</v>
      </c>
      <c r="B747" t="s">
        <v>29</v>
      </c>
      <c r="C747" t="s">
        <v>11</v>
      </c>
      <c r="D747" t="s">
        <v>12</v>
      </c>
      <c r="E747">
        <v>5</v>
      </c>
      <c r="F747">
        <v>1185</v>
      </c>
      <c r="G747">
        <v>254.34</v>
      </c>
      <c r="H747">
        <v>2022</v>
      </c>
      <c r="I747" t="s">
        <v>21</v>
      </c>
      <c r="J747" s="4">
        <v>0.21463291139240501</v>
      </c>
      <c r="K747" t="s">
        <v>42</v>
      </c>
      <c r="L747" t="s">
        <v>60</v>
      </c>
      <c r="M747">
        <v>9</v>
      </c>
      <c r="N747" t="s">
        <v>61</v>
      </c>
    </row>
    <row r="748" spans="1:14" x14ac:dyDescent="0.3">
      <c r="A748" s="1">
        <v>44613</v>
      </c>
      <c r="B748" t="s">
        <v>29</v>
      </c>
      <c r="C748" t="s">
        <v>11</v>
      </c>
      <c r="D748" t="s">
        <v>12</v>
      </c>
      <c r="E748">
        <v>7</v>
      </c>
      <c r="F748">
        <v>2282</v>
      </c>
      <c r="G748">
        <v>537.71</v>
      </c>
      <c r="H748">
        <v>2022</v>
      </c>
      <c r="I748" t="s">
        <v>16</v>
      </c>
      <c r="J748" s="4">
        <v>0.23563102541630199</v>
      </c>
      <c r="K748" t="s">
        <v>42</v>
      </c>
      <c r="L748" t="s">
        <v>55</v>
      </c>
      <c r="M748">
        <v>2</v>
      </c>
      <c r="N748" t="s">
        <v>57</v>
      </c>
    </row>
    <row r="749" spans="1:14" x14ac:dyDescent="0.3">
      <c r="A749" s="1">
        <v>44866</v>
      </c>
      <c r="B749" t="s">
        <v>29</v>
      </c>
      <c r="C749" t="s">
        <v>11</v>
      </c>
      <c r="D749" t="s">
        <v>19</v>
      </c>
      <c r="E749">
        <v>1</v>
      </c>
      <c r="F749">
        <v>120</v>
      </c>
      <c r="G749">
        <v>9.43</v>
      </c>
      <c r="H749">
        <v>2022</v>
      </c>
      <c r="I749" t="s">
        <v>18</v>
      </c>
      <c r="J749" s="4">
        <v>7.8583333333333297E-2</v>
      </c>
      <c r="K749" t="s">
        <v>42</v>
      </c>
      <c r="L749" t="s">
        <v>52</v>
      </c>
      <c r="M749">
        <v>11</v>
      </c>
      <c r="N749" t="s">
        <v>58</v>
      </c>
    </row>
    <row r="750" spans="1:14" x14ac:dyDescent="0.3">
      <c r="A750" s="1">
        <v>44746</v>
      </c>
      <c r="B750" t="s">
        <v>29</v>
      </c>
      <c r="C750" t="s">
        <v>11</v>
      </c>
      <c r="D750" t="s">
        <v>12</v>
      </c>
      <c r="E750">
        <v>6</v>
      </c>
      <c r="F750">
        <v>3402</v>
      </c>
      <c r="G750">
        <v>501.29</v>
      </c>
      <c r="H750">
        <v>2022</v>
      </c>
      <c r="I750" t="s">
        <v>25</v>
      </c>
      <c r="J750" s="4">
        <v>0.14735155790711299</v>
      </c>
      <c r="K750" t="s">
        <v>42</v>
      </c>
      <c r="L750" t="s">
        <v>60</v>
      </c>
      <c r="M750">
        <v>7</v>
      </c>
      <c r="N750" t="s">
        <v>64</v>
      </c>
    </row>
    <row r="751" spans="1:14" x14ac:dyDescent="0.3">
      <c r="A751" s="1">
        <v>44762</v>
      </c>
      <c r="B751" t="s">
        <v>29</v>
      </c>
      <c r="C751" t="s">
        <v>11</v>
      </c>
      <c r="D751" t="s">
        <v>19</v>
      </c>
      <c r="E751">
        <v>4</v>
      </c>
      <c r="F751">
        <v>4120</v>
      </c>
      <c r="G751">
        <v>710.07</v>
      </c>
      <c r="H751">
        <v>2022</v>
      </c>
      <c r="I751" t="s">
        <v>25</v>
      </c>
      <c r="J751" s="4">
        <v>0.17234708737864099</v>
      </c>
      <c r="K751" t="s">
        <v>42</v>
      </c>
      <c r="L751" t="s">
        <v>60</v>
      </c>
      <c r="M751">
        <v>7</v>
      </c>
      <c r="N751" t="s">
        <v>64</v>
      </c>
    </row>
    <row r="752" spans="1:14" x14ac:dyDescent="0.3">
      <c r="A752" s="1">
        <v>44887</v>
      </c>
      <c r="B752" t="s">
        <v>29</v>
      </c>
      <c r="C752" t="s">
        <v>11</v>
      </c>
      <c r="D752" t="s">
        <v>19</v>
      </c>
      <c r="E752">
        <v>4</v>
      </c>
      <c r="F752">
        <v>1360</v>
      </c>
      <c r="G752">
        <v>373.59</v>
      </c>
      <c r="H752">
        <v>2022</v>
      </c>
      <c r="I752" t="s">
        <v>18</v>
      </c>
      <c r="J752" s="4">
        <v>0.27469852941176498</v>
      </c>
      <c r="K752" t="s">
        <v>42</v>
      </c>
      <c r="L752" t="s">
        <v>52</v>
      </c>
      <c r="M752">
        <v>11</v>
      </c>
      <c r="N752" t="s">
        <v>58</v>
      </c>
    </row>
    <row r="753" spans="1:14" x14ac:dyDescent="0.3">
      <c r="A753" s="1">
        <v>44677</v>
      </c>
      <c r="B753" t="s">
        <v>29</v>
      </c>
      <c r="C753" t="s">
        <v>11</v>
      </c>
      <c r="D753" t="s">
        <v>22</v>
      </c>
      <c r="E753">
        <v>9</v>
      </c>
      <c r="F753">
        <v>5850</v>
      </c>
      <c r="G753">
        <v>1511.06</v>
      </c>
      <c r="H753">
        <v>2022</v>
      </c>
      <c r="I753" t="s">
        <v>23</v>
      </c>
      <c r="J753" s="4">
        <v>0.25830085470085501</v>
      </c>
      <c r="K753" t="s">
        <v>42</v>
      </c>
      <c r="L753" t="s">
        <v>59</v>
      </c>
      <c r="M753">
        <v>4</v>
      </c>
      <c r="N753" t="s">
        <v>62</v>
      </c>
    </row>
    <row r="754" spans="1:14" x14ac:dyDescent="0.3">
      <c r="A754" s="1">
        <v>44570</v>
      </c>
      <c r="B754" t="s">
        <v>29</v>
      </c>
      <c r="C754" t="s">
        <v>11</v>
      </c>
      <c r="D754" t="s">
        <v>12</v>
      </c>
      <c r="E754">
        <v>7</v>
      </c>
      <c r="F754">
        <v>7623</v>
      </c>
      <c r="G754">
        <v>1459.84</v>
      </c>
      <c r="H754">
        <v>2022</v>
      </c>
      <c r="I754" t="s">
        <v>26</v>
      </c>
      <c r="J754" s="4">
        <v>0.19150465695920199</v>
      </c>
      <c r="K754" t="s">
        <v>42</v>
      </c>
      <c r="L754" t="s">
        <v>55</v>
      </c>
      <c r="M754">
        <v>1</v>
      </c>
      <c r="N754" t="s">
        <v>65</v>
      </c>
    </row>
    <row r="755" spans="1:14" x14ac:dyDescent="0.3">
      <c r="A755" s="1">
        <v>44646</v>
      </c>
      <c r="B755" t="s">
        <v>29</v>
      </c>
      <c r="C755" t="s">
        <v>11</v>
      </c>
      <c r="D755" t="s">
        <v>17</v>
      </c>
      <c r="E755">
        <v>7</v>
      </c>
      <c r="F755">
        <v>1841</v>
      </c>
      <c r="G755">
        <v>496.89</v>
      </c>
      <c r="H755">
        <v>2022</v>
      </c>
      <c r="I755" t="s">
        <v>15</v>
      </c>
      <c r="J755" s="4">
        <v>0.26990222705051597</v>
      </c>
      <c r="K755" t="s">
        <v>42</v>
      </c>
      <c r="L755" t="s">
        <v>55</v>
      </c>
      <c r="M755">
        <v>3</v>
      </c>
      <c r="N755" t="s">
        <v>56</v>
      </c>
    </row>
    <row r="756" spans="1:14" x14ac:dyDescent="0.3">
      <c r="A756" s="1">
        <v>44582</v>
      </c>
      <c r="B756" t="s">
        <v>29</v>
      </c>
      <c r="C756" t="s">
        <v>11</v>
      </c>
      <c r="D756" t="s">
        <v>22</v>
      </c>
      <c r="E756">
        <v>7</v>
      </c>
      <c r="F756">
        <v>2758</v>
      </c>
      <c r="G756">
        <v>520.66</v>
      </c>
      <c r="H756">
        <v>2022</v>
      </c>
      <c r="I756" t="s">
        <v>26</v>
      </c>
      <c r="J756" s="4">
        <v>0.18878172588832501</v>
      </c>
      <c r="K756" t="s">
        <v>42</v>
      </c>
      <c r="L756" t="s">
        <v>55</v>
      </c>
      <c r="M756">
        <v>1</v>
      </c>
      <c r="N756" t="s">
        <v>65</v>
      </c>
    </row>
    <row r="757" spans="1:14" x14ac:dyDescent="0.3">
      <c r="A757" s="1">
        <v>44790</v>
      </c>
      <c r="B757" t="s">
        <v>29</v>
      </c>
      <c r="C757" t="s">
        <v>11</v>
      </c>
      <c r="D757" t="s">
        <v>19</v>
      </c>
      <c r="E757">
        <v>2</v>
      </c>
      <c r="F757">
        <v>1486</v>
      </c>
      <c r="G757">
        <v>201.07</v>
      </c>
      <c r="H757">
        <v>2022</v>
      </c>
      <c r="I757" t="s">
        <v>24</v>
      </c>
      <c r="J757" s="4">
        <v>0.13530955585464299</v>
      </c>
      <c r="K757" t="s">
        <v>42</v>
      </c>
      <c r="L757" t="s">
        <v>60</v>
      </c>
      <c r="M757">
        <v>8</v>
      </c>
      <c r="N757" t="s">
        <v>63</v>
      </c>
    </row>
    <row r="758" spans="1:14" x14ac:dyDescent="0.3">
      <c r="A758" s="1">
        <v>44814</v>
      </c>
      <c r="B758" t="s">
        <v>29</v>
      </c>
      <c r="C758" t="s">
        <v>11</v>
      </c>
      <c r="D758" t="s">
        <v>22</v>
      </c>
      <c r="E758">
        <v>4</v>
      </c>
      <c r="F758">
        <v>2104</v>
      </c>
      <c r="G758">
        <v>308</v>
      </c>
      <c r="H758">
        <v>2022</v>
      </c>
      <c r="I758" t="s">
        <v>21</v>
      </c>
      <c r="J758" s="4">
        <v>0.14638783269962</v>
      </c>
      <c r="K758" t="s">
        <v>42</v>
      </c>
      <c r="L758" t="s">
        <v>60</v>
      </c>
      <c r="M758">
        <v>9</v>
      </c>
      <c r="N758" t="s">
        <v>61</v>
      </c>
    </row>
    <row r="759" spans="1:14" x14ac:dyDescent="0.3">
      <c r="A759" s="1">
        <v>44600</v>
      </c>
      <c r="B759" t="s">
        <v>29</v>
      </c>
      <c r="C759" t="s">
        <v>11</v>
      </c>
      <c r="D759" t="s">
        <v>12</v>
      </c>
      <c r="E759">
        <v>5</v>
      </c>
      <c r="F759">
        <v>595</v>
      </c>
      <c r="G759">
        <v>121.11</v>
      </c>
      <c r="H759">
        <v>2022</v>
      </c>
      <c r="I759" t="s">
        <v>16</v>
      </c>
      <c r="J759" s="4">
        <v>0.20354621848739499</v>
      </c>
      <c r="K759" t="s">
        <v>42</v>
      </c>
      <c r="L759" t="s">
        <v>55</v>
      </c>
      <c r="M759">
        <v>2</v>
      </c>
      <c r="N759" t="s">
        <v>57</v>
      </c>
    </row>
    <row r="760" spans="1:14" x14ac:dyDescent="0.3">
      <c r="A760" s="1">
        <v>44618</v>
      </c>
      <c r="B760" t="s">
        <v>29</v>
      </c>
      <c r="C760" t="s">
        <v>11</v>
      </c>
      <c r="D760" t="s">
        <v>12</v>
      </c>
      <c r="E760">
        <v>2</v>
      </c>
      <c r="F760">
        <v>2132</v>
      </c>
      <c r="G760">
        <v>365.44</v>
      </c>
      <c r="H760">
        <v>2022</v>
      </c>
      <c r="I760" t="s">
        <v>16</v>
      </c>
      <c r="J760" s="4">
        <v>0.17140712945591</v>
      </c>
      <c r="K760" t="s">
        <v>42</v>
      </c>
      <c r="L760" t="s">
        <v>55</v>
      </c>
      <c r="M760">
        <v>2</v>
      </c>
      <c r="N760" t="s">
        <v>57</v>
      </c>
    </row>
    <row r="761" spans="1:14" x14ac:dyDescent="0.3">
      <c r="A761" s="1">
        <v>44603</v>
      </c>
      <c r="B761" t="s">
        <v>29</v>
      </c>
      <c r="C761" t="s">
        <v>11</v>
      </c>
      <c r="D761" t="s">
        <v>19</v>
      </c>
      <c r="E761">
        <v>7</v>
      </c>
      <c r="F761">
        <v>8337</v>
      </c>
      <c r="G761">
        <v>753.35</v>
      </c>
      <c r="H761">
        <v>2022</v>
      </c>
      <c r="I761" t="s">
        <v>16</v>
      </c>
      <c r="J761" s="4">
        <v>9.0362240614129799E-2</v>
      </c>
      <c r="K761" t="s">
        <v>42</v>
      </c>
      <c r="L761" t="s">
        <v>55</v>
      </c>
      <c r="M761">
        <v>2</v>
      </c>
      <c r="N761" t="s">
        <v>57</v>
      </c>
    </row>
    <row r="762" spans="1:14" x14ac:dyDescent="0.3">
      <c r="A762" s="1">
        <v>44575</v>
      </c>
      <c r="B762" t="s">
        <v>29</v>
      </c>
      <c r="C762" t="s">
        <v>11</v>
      </c>
      <c r="D762" t="s">
        <v>17</v>
      </c>
      <c r="E762">
        <v>9</v>
      </c>
      <c r="F762">
        <v>2205</v>
      </c>
      <c r="G762">
        <v>410.01</v>
      </c>
      <c r="H762">
        <v>2022</v>
      </c>
      <c r="I762" t="s">
        <v>26</v>
      </c>
      <c r="J762" s="4">
        <v>0.18594557823129201</v>
      </c>
      <c r="K762" t="s">
        <v>42</v>
      </c>
      <c r="L762" t="s">
        <v>55</v>
      </c>
      <c r="M762">
        <v>1</v>
      </c>
      <c r="N762" t="s">
        <v>65</v>
      </c>
    </row>
    <row r="763" spans="1:14" x14ac:dyDescent="0.3">
      <c r="A763" s="1">
        <v>44813</v>
      </c>
      <c r="B763" t="s">
        <v>29</v>
      </c>
      <c r="C763" t="s">
        <v>11</v>
      </c>
      <c r="D763" t="s">
        <v>17</v>
      </c>
      <c r="E763">
        <v>3</v>
      </c>
      <c r="F763">
        <v>774</v>
      </c>
      <c r="G763">
        <v>212.02</v>
      </c>
      <c r="H763">
        <v>2022</v>
      </c>
      <c r="I763" t="s">
        <v>21</v>
      </c>
      <c r="J763" s="4">
        <v>0.27392764857881102</v>
      </c>
      <c r="K763" t="s">
        <v>42</v>
      </c>
      <c r="L763" t="s">
        <v>60</v>
      </c>
      <c r="M763">
        <v>9</v>
      </c>
      <c r="N763" t="s">
        <v>61</v>
      </c>
    </row>
    <row r="764" spans="1:14" x14ac:dyDescent="0.3">
      <c r="A764" s="1">
        <v>44592</v>
      </c>
      <c r="B764" t="s">
        <v>29</v>
      </c>
      <c r="C764" t="s">
        <v>11</v>
      </c>
      <c r="D764" t="s">
        <v>22</v>
      </c>
      <c r="E764">
        <v>4</v>
      </c>
      <c r="F764">
        <v>1252</v>
      </c>
      <c r="G764">
        <v>326.69</v>
      </c>
      <c r="H764">
        <v>2022</v>
      </c>
      <c r="I764" t="s">
        <v>26</v>
      </c>
      <c r="J764" s="4">
        <v>0.26093450479233199</v>
      </c>
      <c r="K764" t="s">
        <v>42</v>
      </c>
      <c r="L764" t="s">
        <v>55</v>
      </c>
      <c r="M764">
        <v>1</v>
      </c>
      <c r="N764" t="s">
        <v>65</v>
      </c>
    </row>
    <row r="765" spans="1:14" x14ac:dyDescent="0.3">
      <c r="A765" s="1">
        <v>44577</v>
      </c>
      <c r="B765" t="s">
        <v>29</v>
      </c>
      <c r="C765" t="s">
        <v>11</v>
      </c>
      <c r="D765" t="s">
        <v>19</v>
      </c>
      <c r="E765">
        <v>3</v>
      </c>
      <c r="F765">
        <v>1767</v>
      </c>
      <c r="G765">
        <v>186.54</v>
      </c>
      <c r="H765">
        <v>2022</v>
      </c>
      <c r="I765" t="s">
        <v>26</v>
      </c>
      <c r="J765" s="4">
        <v>0.105568760611205</v>
      </c>
      <c r="K765" t="s">
        <v>42</v>
      </c>
      <c r="L765" t="s">
        <v>55</v>
      </c>
      <c r="M765">
        <v>1</v>
      </c>
      <c r="N765" t="s">
        <v>65</v>
      </c>
    </row>
    <row r="766" spans="1:14" x14ac:dyDescent="0.3">
      <c r="A766" s="1">
        <v>44842</v>
      </c>
      <c r="B766" t="s">
        <v>29</v>
      </c>
      <c r="C766" t="s">
        <v>11</v>
      </c>
      <c r="D766" t="s">
        <v>19</v>
      </c>
      <c r="E766">
        <v>2</v>
      </c>
      <c r="F766">
        <v>1748</v>
      </c>
      <c r="G766">
        <v>506.52</v>
      </c>
      <c r="H766">
        <v>2022</v>
      </c>
      <c r="I766" t="s">
        <v>14</v>
      </c>
      <c r="J766" s="4">
        <v>0.289771167048055</v>
      </c>
      <c r="K766" t="s">
        <v>42</v>
      </c>
      <c r="L766" t="s">
        <v>52</v>
      </c>
      <c r="M766">
        <v>10</v>
      </c>
      <c r="N766" t="s">
        <v>54</v>
      </c>
    </row>
    <row r="767" spans="1:14" x14ac:dyDescent="0.3">
      <c r="A767" s="1">
        <v>44794</v>
      </c>
      <c r="B767" t="s">
        <v>29</v>
      </c>
      <c r="C767" t="s">
        <v>11</v>
      </c>
      <c r="D767" t="s">
        <v>22</v>
      </c>
      <c r="E767">
        <v>2</v>
      </c>
      <c r="F767">
        <v>1300</v>
      </c>
      <c r="G767">
        <v>267.45999999999998</v>
      </c>
      <c r="H767">
        <v>2022</v>
      </c>
      <c r="I767" t="s">
        <v>24</v>
      </c>
      <c r="J767" s="4">
        <v>0.20573846153846201</v>
      </c>
      <c r="K767" t="s">
        <v>42</v>
      </c>
      <c r="L767" t="s">
        <v>60</v>
      </c>
      <c r="M767">
        <v>8</v>
      </c>
      <c r="N767" t="s">
        <v>63</v>
      </c>
    </row>
    <row r="768" spans="1:14" x14ac:dyDescent="0.3">
      <c r="A768" s="1">
        <v>44773</v>
      </c>
      <c r="B768" t="s">
        <v>29</v>
      </c>
      <c r="C768" t="s">
        <v>11</v>
      </c>
      <c r="D768" t="s">
        <v>12</v>
      </c>
      <c r="E768">
        <v>6</v>
      </c>
      <c r="F768">
        <v>1494</v>
      </c>
      <c r="G768">
        <v>269.25</v>
      </c>
      <c r="H768">
        <v>2022</v>
      </c>
      <c r="I768" t="s">
        <v>25</v>
      </c>
      <c r="J768" s="4">
        <v>0.18022088353413701</v>
      </c>
      <c r="K768" t="s">
        <v>42</v>
      </c>
      <c r="L768" t="s">
        <v>60</v>
      </c>
      <c r="M768">
        <v>7</v>
      </c>
      <c r="N768" t="s">
        <v>64</v>
      </c>
    </row>
    <row r="769" spans="1:14" x14ac:dyDescent="0.3">
      <c r="A769" s="1">
        <v>44845</v>
      </c>
      <c r="B769" t="s">
        <v>29</v>
      </c>
      <c r="C769" t="s">
        <v>11</v>
      </c>
      <c r="D769" t="s">
        <v>17</v>
      </c>
      <c r="E769">
        <v>4</v>
      </c>
      <c r="F769">
        <v>4240</v>
      </c>
      <c r="G769">
        <v>251.46</v>
      </c>
      <c r="H769">
        <v>2022</v>
      </c>
      <c r="I769" t="s">
        <v>14</v>
      </c>
      <c r="J769" s="4">
        <v>5.9306603773584897E-2</v>
      </c>
      <c r="K769" t="s">
        <v>42</v>
      </c>
      <c r="L769" t="s">
        <v>52</v>
      </c>
      <c r="M769">
        <v>10</v>
      </c>
      <c r="N769" t="s">
        <v>54</v>
      </c>
    </row>
    <row r="770" spans="1:14" x14ac:dyDescent="0.3">
      <c r="A770" s="1">
        <v>44859</v>
      </c>
      <c r="B770" t="s">
        <v>29</v>
      </c>
      <c r="C770" t="s">
        <v>11</v>
      </c>
      <c r="D770" t="s">
        <v>22</v>
      </c>
      <c r="E770">
        <v>5</v>
      </c>
      <c r="F770">
        <v>4170</v>
      </c>
      <c r="G770">
        <v>658.98</v>
      </c>
      <c r="H770">
        <v>2022</v>
      </c>
      <c r="I770" t="s">
        <v>14</v>
      </c>
      <c r="J770" s="4">
        <v>0.158028776978417</v>
      </c>
      <c r="K770" t="s">
        <v>42</v>
      </c>
      <c r="L770" t="s">
        <v>52</v>
      </c>
      <c r="M770">
        <v>10</v>
      </c>
      <c r="N770" t="s">
        <v>54</v>
      </c>
    </row>
    <row r="771" spans="1:14" x14ac:dyDescent="0.3">
      <c r="A771" s="1">
        <v>44795</v>
      </c>
      <c r="B771" t="s">
        <v>29</v>
      </c>
      <c r="C771" t="s">
        <v>11</v>
      </c>
      <c r="D771" t="s">
        <v>17</v>
      </c>
      <c r="E771">
        <v>7</v>
      </c>
      <c r="F771">
        <v>4102</v>
      </c>
      <c r="G771">
        <v>354.03</v>
      </c>
      <c r="H771">
        <v>2022</v>
      </c>
      <c r="I771" t="s">
        <v>24</v>
      </c>
      <c r="J771" s="4">
        <v>8.63066796684544E-2</v>
      </c>
      <c r="K771" t="s">
        <v>42</v>
      </c>
      <c r="L771" t="s">
        <v>60</v>
      </c>
      <c r="M771">
        <v>8</v>
      </c>
      <c r="N771" t="s">
        <v>63</v>
      </c>
    </row>
    <row r="772" spans="1:14" x14ac:dyDescent="0.3">
      <c r="A772" s="1">
        <v>44914</v>
      </c>
      <c r="B772" t="s">
        <v>29</v>
      </c>
      <c r="C772" t="s">
        <v>11</v>
      </c>
      <c r="D772" t="s">
        <v>22</v>
      </c>
      <c r="E772">
        <v>8</v>
      </c>
      <c r="F772">
        <v>3488</v>
      </c>
      <c r="G772">
        <v>943.25</v>
      </c>
      <c r="H772">
        <v>2022</v>
      </c>
      <c r="I772" t="s">
        <v>13</v>
      </c>
      <c r="J772" s="4">
        <v>0.27042717889908302</v>
      </c>
      <c r="K772" t="s">
        <v>42</v>
      </c>
      <c r="L772" t="s">
        <v>52</v>
      </c>
      <c r="M772">
        <v>12</v>
      </c>
      <c r="N772" t="s">
        <v>53</v>
      </c>
    </row>
    <row r="773" spans="1:14" x14ac:dyDescent="0.3">
      <c r="A773" s="1">
        <v>44635</v>
      </c>
      <c r="B773" t="s">
        <v>29</v>
      </c>
      <c r="C773" t="s">
        <v>11</v>
      </c>
      <c r="D773" t="s">
        <v>19</v>
      </c>
      <c r="E773">
        <v>7</v>
      </c>
      <c r="F773">
        <v>847</v>
      </c>
      <c r="G773">
        <v>147.71</v>
      </c>
      <c r="H773">
        <v>2022</v>
      </c>
      <c r="I773" t="s">
        <v>15</v>
      </c>
      <c r="J773" s="4">
        <v>0.174391971664699</v>
      </c>
      <c r="K773" t="s">
        <v>42</v>
      </c>
      <c r="L773" t="s">
        <v>55</v>
      </c>
      <c r="M773">
        <v>3</v>
      </c>
      <c r="N773" t="s">
        <v>56</v>
      </c>
    </row>
    <row r="774" spans="1:14" x14ac:dyDescent="0.3">
      <c r="A774" s="1">
        <v>44683</v>
      </c>
      <c r="B774" t="s">
        <v>29</v>
      </c>
      <c r="C774" t="s">
        <v>11</v>
      </c>
      <c r="D774" t="s">
        <v>19</v>
      </c>
      <c r="E774">
        <v>3</v>
      </c>
      <c r="F774">
        <v>2508</v>
      </c>
      <c r="G774">
        <v>631.85</v>
      </c>
      <c r="H774">
        <v>2022</v>
      </c>
      <c r="I774" t="s">
        <v>20</v>
      </c>
      <c r="J774" s="4">
        <v>0.25193381180223301</v>
      </c>
      <c r="K774" t="s">
        <v>42</v>
      </c>
      <c r="L774" t="s">
        <v>59</v>
      </c>
      <c r="M774">
        <v>5</v>
      </c>
      <c r="N774" t="s">
        <v>20</v>
      </c>
    </row>
    <row r="775" spans="1:14" x14ac:dyDescent="0.3">
      <c r="A775" s="1">
        <v>44630</v>
      </c>
      <c r="B775" t="s">
        <v>29</v>
      </c>
      <c r="C775" t="s">
        <v>11</v>
      </c>
      <c r="D775" t="s">
        <v>12</v>
      </c>
      <c r="E775">
        <v>1</v>
      </c>
      <c r="F775">
        <v>105</v>
      </c>
      <c r="G775">
        <v>27.36</v>
      </c>
      <c r="H775">
        <v>2022</v>
      </c>
      <c r="I775" t="s">
        <v>15</v>
      </c>
      <c r="J775" s="4">
        <v>0.26057142857142901</v>
      </c>
      <c r="K775" t="s">
        <v>42</v>
      </c>
      <c r="L775" t="s">
        <v>55</v>
      </c>
      <c r="M775">
        <v>3</v>
      </c>
      <c r="N775" t="s">
        <v>56</v>
      </c>
    </row>
    <row r="776" spans="1:14" x14ac:dyDescent="0.3">
      <c r="A776" s="1">
        <v>44568</v>
      </c>
      <c r="B776" t="s">
        <v>29</v>
      </c>
      <c r="C776" t="s">
        <v>11</v>
      </c>
      <c r="D776" t="s">
        <v>17</v>
      </c>
      <c r="E776">
        <v>3</v>
      </c>
      <c r="F776">
        <v>3183</v>
      </c>
      <c r="G776">
        <v>358.87</v>
      </c>
      <c r="H776">
        <v>2022</v>
      </c>
      <c r="I776" t="s">
        <v>26</v>
      </c>
      <c r="J776" s="4">
        <v>0.112745837260446</v>
      </c>
      <c r="K776" t="s">
        <v>42</v>
      </c>
      <c r="L776" t="s">
        <v>55</v>
      </c>
      <c r="M776">
        <v>1</v>
      </c>
      <c r="N776" t="s">
        <v>65</v>
      </c>
    </row>
    <row r="777" spans="1:14" x14ac:dyDescent="0.3">
      <c r="A777" s="1">
        <v>44765</v>
      </c>
      <c r="B777" t="s">
        <v>29</v>
      </c>
      <c r="C777" t="s">
        <v>11</v>
      </c>
      <c r="D777" t="s">
        <v>22</v>
      </c>
      <c r="E777">
        <v>2</v>
      </c>
      <c r="F777">
        <v>2392</v>
      </c>
      <c r="G777">
        <v>483.39</v>
      </c>
      <c r="H777">
        <v>2022</v>
      </c>
      <c r="I777" t="s">
        <v>25</v>
      </c>
      <c r="J777" s="4">
        <v>0.202086120401338</v>
      </c>
      <c r="K777" t="s">
        <v>42</v>
      </c>
      <c r="L777" t="s">
        <v>60</v>
      </c>
      <c r="M777">
        <v>7</v>
      </c>
      <c r="N777" t="s">
        <v>64</v>
      </c>
    </row>
    <row r="778" spans="1:14" x14ac:dyDescent="0.3">
      <c r="A778" s="1">
        <v>44740</v>
      </c>
      <c r="B778" t="s">
        <v>29</v>
      </c>
      <c r="C778" t="s">
        <v>11</v>
      </c>
      <c r="D778" t="s">
        <v>12</v>
      </c>
      <c r="E778">
        <v>5</v>
      </c>
      <c r="F778">
        <v>5645</v>
      </c>
      <c r="G778">
        <v>1320.86</v>
      </c>
      <c r="H778">
        <v>2022</v>
      </c>
      <c r="I778" t="s">
        <v>27</v>
      </c>
      <c r="J778" s="4">
        <v>0.23398759964570401</v>
      </c>
      <c r="K778" t="s">
        <v>42</v>
      </c>
      <c r="L778" t="s">
        <v>59</v>
      </c>
      <c r="M778">
        <v>6</v>
      </c>
      <c r="N778" t="s">
        <v>66</v>
      </c>
    </row>
    <row r="779" spans="1:14" x14ac:dyDescent="0.3">
      <c r="A779" s="1">
        <v>44688</v>
      </c>
      <c r="B779" t="s">
        <v>29</v>
      </c>
      <c r="C779" t="s">
        <v>11</v>
      </c>
      <c r="D779" t="s">
        <v>17</v>
      </c>
      <c r="E779">
        <v>6</v>
      </c>
      <c r="F779">
        <v>4332</v>
      </c>
      <c r="G779">
        <v>348.61</v>
      </c>
      <c r="H779">
        <v>2022</v>
      </c>
      <c r="I779" t="s">
        <v>20</v>
      </c>
      <c r="J779" s="4">
        <v>8.04732225300092E-2</v>
      </c>
      <c r="K779" t="s">
        <v>42</v>
      </c>
      <c r="L779" t="s">
        <v>59</v>
      </c>
      <c r="M779">
        <v>5</v>
      </c>
      <c r="N779" t="s">
        <v>20</v>
      </c>
    </row>
    <row r="780" spans="1:14" x14ac:dyDescent="0.3">
      <c r="A780" s="1">
        <v>44769</v>
      </c>
      <c r="B780" t="s">
        <v>29</v>
      </c>
      <c r="C780" t="s">
        <v>11</v>
      </c>
      <c r="D780" t="s">
        <v>22</v>
      </c>
      <c r="E780">
        <v>6</v>
      </c>
      <c r="F780">
        <v>4152</v>
      </c>
      <c r="G780">
        <v>1065.46</v>
      </c>
      <c r="H780">
        <v>2022</v>
      </c>
      <c r="I780" t="s">
        <v>25</v>
      </c>
      <c r="J780" s="4">
        <v>0.25661368015414299</v>
      </c>
      <c r="K780" t="s">
        <v>42</v>
      </c>
      <c r="L780" t="s">
        <v>60</v>
      </c>
      <c r="M780">
        <v>7</v>
      </c>
      <c r="N780" t="s">
        <v>64</v>
      </c>
    </row>
    <row r="781" spans="1:14" x14ac:dyDescent="0.3">
      <c r="A781" s="1">
        <v>44815</v>
      </c>
      <c r="B781" t="s">
        <v>29</v>
      </c>
      <c r="C781" t="s">
        <v>11</v>
      </c>
      <c r="D781" t="s">
        <v>19</v>
      </c>
      <c r="E781">
        <v>3</v>
      </c>
      <c r="F781">
        <v>369</v>
      </c>
      <c r="G781">
        <v>36.07</v>
      </c>
      <c r="H781">
        <v>2022</v>
      </c>
      <c r="I781" t="s">
        <v>21</v>
      </c>
      <c r="J781" s="4">
        <v>9.7750677506775102E-2</v>
      </c>
      <c r="K781" t="s">
        <v>42</v>
      </c>
      <c r="L781" t="s">
        <v>60</v>
      </c>
      <c r="M781">
        <v>9</v>
      </c>
      <c r="N781" t="s">
        <v>61</v>
      </c>
    </row>
    <row r="782" spans="1:14" x14ac:dyDescent="0.3">
      <c r="A782" s="1">
        <v>44579</v>
      </c>
      <c r="B782" t="s">
        <v>29</v>
      </c>
      <c r="C782" t="s">
        <v>11</v>
      </c>
      <c r="D782" t="s">
        <v>17</v>
      </c>
      <c r="E782">
        <v>6</v>
      </c>
      <c r="F782">
        <v>5640</v>
      </c>
      <c r="G782">
        <v>856.44</v>
      </c>
      <c r="H782">
        <v>2022</v>
      </c>
      <c r="I782" t="s">
        <v>26</v>
      </c>
      <c r="J782" s="4">
        <v>0.151851063829787</v>
      </c>
      <c r="K782" t="s">
        <v>42</v>
      </c>
      <c r="L782" t="s">
        <v>55</v>
      </c>
      <c r="M782">
        <v>1</v>
      </c>
      <c r="N782" t="s">
        <v>65</v>
      </c>
    </row>
    <row r="783" spans="1:14" x14ac:dyDescent="0.3">
      <c r="A783" s="1">
        <v>44902</v>
      </c>
      <c r="B783" t="s">
        <v>29</v>
      </c>
      <c r="C783" t="s">
        <v>11</v>
      </c>
      <c r="D783" t="s">
        <v>17</v>
      </c>
      <c r="E783">
        <v>8</v>
      </c>
      <c r="F783">
        <v>4064</v>
      </c>
      <c r="G783">
        <v>543.9</v>
      </c>
      <c r="H783">
        <v>2022</v>
      </c>
      <c r="I783" t="s">
        <v>13</v>
      </c>
      <c r="J783" s="4">
        <v>0.133833661417323</v>
      </c>
      <c r="K783" t="s">
        <v>42</v>
      </c>
      <c r="L783" t="s">
        <v>52</v>
      </c>
      <c r="M783">
        <v>12</v>
      </c>
      <c r="N783" t="s">
        <v>53</v>
      </c>
    </row>
    <row r="784" spans="1:14" x14ac:dyDescent="0.3">
      <c r="A784" s="1">
        <v>44653</v>
      </c>
      <c r="B784" t="s">
        <v>29</v>
      </c>
      <c r="C784" t="s">
        <v>11</v>
      </c>
      <c r="D784" t="s">
        <v>22</v>
      </c>
      <c r="E784">
        <v>3</v>
      </c>
      <c r="F784">
        <v>2103</v>
      </c>
      <c r="G784">
        <v>541.35</v>
      </c>
      <c r="H784">
        <v>2022</v>
      </c>
      <c r="I784" t="s">
        <v>23</v>
      </c>
      <c r="J784" s="4">
        <v>0.25741797432239699</v>
      </c>
      <c r="K784" t="s">
        <v>42</v>
      </c>
      <c r="L784" t="s">
        <v>59</v>
      </c>
      <c r="M784">
        <v>4</v>
      </c>
      <c r="N784" t="s">
        <v>62</v>
      </c>
    </row>
    <row r="785" spans="1:14" x14ac:dyDescent="0.3">
      <c r="A785" s="1">
        <v>44768</v>
      </c>
      <c r="B785" t="s">
        <v>29</v>
      </c>
      <c r="C785" t="s">
        <v>11</v>
      </c>
      <c r="D785" t="s">
        <v>22</v>
      </c>
      <c r="E785">
        <v>3</v>
      </c>
      <c r="F785">
        <v>2067</v>
      </c>
      <c r="G785">
        <v>479.39</v>
      </c>
      <c r="H785">
        <v>2022</v>
      </c>
      <c r="I785" t="s">
        <v>25</v>
      </c>
      <c r="J785" s="4">
        <v>0.23192549588776001</v>
      </c>
      <c r="K785" t="s">
        <v>42</v>
      </c>
      <c r="L785" t="s">
        <v>60</v>
      </c>
      <c r="M785">
        <v>7</v>
      </c>
      <c r="N785" t="s">
        <v>64</v>
      </c>
    </row>
    <row r="786" spans="1:14" x14ac:dyDescent="0.3">
      <c r="A786" s="1">
        <v>44806</v>
      </c>
      <c r="B786" t="s">
        <v>29</v>
      </c>
      <c r="C786" t="s">
        <v>11</v>
      </c>
      <c r="D786" t="s">
        <v>22</v>
      </c>
      <c r="E786">
        <v>1</v>
      </c>
      <c r="F786">
        <v>552</v>
      </c>
      <c r="G786">
        <v>115.74</v>
      </c>
      <c r="H786">
        <v>2022</v>
      </c>
      <c r="I786" t="s">
        <v>21</v>
      </c>
      <c r="J786" s="4">
        <v>0.20967391304347799</v>
      </c>
      <c r="K786" t="s">
        <v>42</v>
      </c>
      <c r="L786" t="s">
        <v>60</v>
      </c>
      <c r="M786">
        <v>9</v>
      </c>
      <c r="N786" t="s">
        <v>61</v>
      </c>
    </row>
    <row r="787" spans="1:14" x14ac:dyDescent="0.3">
      <c r="A787" s="1">
        <v>44864</v>
      </c>
      <c r="B787" t="s">
        <v>29</v>
      </c>
      <c r="C787" t="s">
        <v>11</v>
      </c>
      <c r="D787" t="s">
        <v>17</v>
      </c>
      <c r="E787">
        <v>6</v>
      </c>
      <c r="F787">
        <v>6402</v>
      </c>
      <c r="G787">
        <v>1366.28</v>
      </c>
      <c r="H787">
        <v>2022</v>
      </c>
      <c r="I787" t="s">
        <v>14</v>
      </c>
      <c r="J787" s="4">
        <v>0.21341455795063999</v>
      </c>
      <c r="K787" t="s">
        <v>42</v>
      </c>
      <c r="L787" t="s">
        <v>52</v>
      </c>
      <c r="M787">
        <v>10</v>
      </c>
      <c r="N787" t="s">
        <v>54</v>
      </c>
    </row>
    <row r="788" spans="1:14" x14ac:dyDescent="0.3">
      <c r="A788" s="1">
        <v>44666</v>
      </c>
      <c r="B788" t="s">
        <v>29</v>
      </c>
      <c r="C788" t="s">
        <v>11</v>
      </c>
      <c r="D788" t="s">
        <v>12</v>
      </c>
      <c r="E788">
        <v>9</v>
      </c>
      <c r="F788">
        <v>3321</v>
      </c>
      <c r="G788">
        <v>689.64</v>
      </c>
      <c r="H788">
        <v>2022</v>
      </c>
      <c r="I788" t="s">
        <v>23</v>
      </c>
      <c r="J788" s="4">
        <v>0.207660343270099</v>
      </c>
      <c r="K788" t="s">
        <v>42</v>
      </c>
      <c r="L788" t="s">
        <v>59</v>
      </c>
      <c r="M788">
        <v>4</v>
      </c>
      <c r="N788" t="s">
        <v>62</v>
      </c>
    </row>
    <row r="789" spans="1:14" x14ac:dyDescent="0.3">
      <c r="A789" s="1">
        <v>44870</v>
      </c>
      <c r="B789" t="s">
        <v>29</v>
      </c>
      <c r="C789" t="s">
        <v>11</v>
      </c>
      <c r="D789" t="s">
        <v>19</v>
      </c>
      <c r="E789">
        <v>7</v>
      </c>
      <c r="F789">
        <v>4669</v>
      </c>
      <c r="G789">
        <v>1088.1500000000001</v>
      </c>
      <c r="H789">
        <v>2022</v>
      </c>
      <c r="I789" t="s">
        <v>18</v>
      </c>
      <c r="J789" s="4">
        <v>0.233058470764618</v>
      </c>
      <c r="K789" t="s">
        <v>42</v>
      </c>
      <c r="L789" t="s">
        <v>52</v>
      </c>
      <c r="M789">
        <v>11</v>
      </c>
      <c r="N789" t="s">
        <v>58</v>
      </c>
    </row>
    <row r="790" spans="1:14" x14ac:dyDescent="0.3">
      <c r="A790" s="1">
        <v>44912</v>
      </c>
      <c r="B790" t="s">
        <v>29</v>
      </c>
      <c r="C790" t="s">
        <v>11</v>
      </c>
      <c r="D790" t="s">
        <v>19</v>
      </c>
      <c r="E790">
        <v>4</v>
      </c>
      <c r="F790">
        <v>2940</v>
      </c>
      <c r="G790">
        <v>566.36</v>
      </c>
      <c r="H790">
        <v>2022</v>
      </c>
      <c r="I790" t="s">
        <v>13</v>
      </c>
      <c r="J790" s="4">
        <v>0.19263945578231301</v>
      </c>
      <c r="K790" t="s">
        <v>42</v>
      </c>
      <c r="L790" t="s">
        <v>52</v>
      </c>
      <c r="M790">
        <v>12</v>
      </c>
      <c r="N790" t="s">
        <v>53</v>
      </c>
    </row>
    <row r="791" spans="1:14" x14ac:dyDescent="0.3">
      <c r="A791" s="1">
        <v>44843</v>
      </c>
      <c r="B791" t="s">
        <v>29</v>
      </c>
      <c r="C791" t="s">
        <v>11</v>
      </c>
      <c r="D791" t="s">
        <v>22</v>
      </c>
      <c r="E791">
        <v>8</v>
      </c>
      <c r="F791">
        <v>9392</v>
      </c>
      <c r="G791">
        <v>891.07</v>
      </c>
      <c r="H791">
        <v>2022</v>
      </c>
      <c r="I791" t="s">
        <v>14</v>
      </c>
      <c r="J791" s="4">
        <v>9.4875425894378196E-2</v>
      </c>
      <c r="K791" t="s">
        <v>42</v>
      </c>
      <c r="L791" t="s">
        <v>52</v>
      </c>
      <c r="M791">
        <v>10</v>
      </c>
      <c r="N791" t="s">
        <v>54</v>
      </c>
    </row>
    <row r="792" spans="1:14" x14ac:dyDescent="0.3">
      <c r="A792" s="1">
        <v>44850</v>
      </c>
      <c r="B792" t="s">
        <v>29</v>
      </c>
      <c r="C792" t="s">
        <v>11</v>
      </c>
      <c r="D792" t="s">
        <v>19</v>
      </c>
      <c r="E792">
        <v>9</v>
      </c>
      <c r="F792">
        <v>720</v>
      </c>
      <c r="G792">
        <v>192.83</v>
      </c>
      <c r="H792">
        <v>2022</v>
      </c>
      <c r="I792" t="s">
        <v>14</v>
      </c>
      <c r="J792" s="4">
        <v>0.267819444444444</v>
      </c>
      <c r="K792" t="s">
        <v>42</v>
      </c>
      <c r="L792" t="s">
        <v>52</v>
      </c>
      <c r="M792">
        <v>10</v>
      </c>
      <c r="N792" t="s">
        <v>54</v>
      </c>
    </row>
    <row r="793" spans="1:14" x14ac:dyDescent="0.3">
      <c r="A793" s="1">
        <v>44858</v>
      </c>
      <c r="B793" t="s">
        <v>29</v>
      </c>
      <c r="C793" t="s">
        <v>11</v>
      </c>
      <c r="D793" t="s">
        <v>12</v>
      </c>
      <c r="E793">
        <v>4</v>
      </c>
      <c r="F793">
        <v>1004</v>
      </c>
      <c r="G793">
        <v>240.13</v>
      </c>
      <c r="H793">
        <v>2022</v>
      </c>
      <c r="I793" t="s">
        <v>14</v>
      </c>
      <c r="J793" s="4">
        <v>0.23917330677290799</v>
      </c>
      <c r="K793" t="s">
        <v>42</v>
      </c>
      <c r="L793" t="s">
        <v>52</v>
      </c>
      <c r="M793">
        <v>10</v>
      </c>
      <c r="N793" t="s">
        <v>54</v>
      </c>
    </row>
    <row r="794" spans="1:14" x14ac:dyDescent="0.3">
      <c r="A794" s="1">
        <v>44582</v>
      </c>
      <c r="B794" t="s">
        <v>29</v>
      </c>
      <c r="C794" t="s">
        <v>11</v>
      </c>
      <c r="D794" t="s">
        <v>22</v>
      </c>
      <c r="E794">
        <v>6</v>
      </c>
      <c r="F794">
        <v>3702</v>
      </c>
      <c r="G794">
        <v>407.34</v>
      </c>
      <c r="H794">
        <v>2022</v>
      </c>
      <c r="I794" t="s">
        <v>26</v>
      </c>
      <c r="J794" s="4">
        <v>0.11003241491085899</v>
      </c>
      <c r="K794" t="s">
        <v>42</v>
      </c>
      <c r="L794" t="s">
        <v>55</v>
      </c>
      <c r="M794">
        <v>1</v>
      </c>
      <c r="N794" t="s">
        <v>65</v>
      </c>
    </row>
    <row r="795" spans="1:14" x14ac:dyDescent="0.3">
      <c r="A795" s="1">
        <v>44835</v>
      </c>
      <c r="B795" t="s">
        <v>29</v>
      </c>
      <c r="C795" t="s">
        <v>11</v>
      </c>
      <c r="D795" t="s">
        <v>12</v>
      </c>
      <c r="E795">
        <v>6</v>
      </c>
      <c r="F795">
        <v>5706</v>
      </c>
      <c r="G795">
        <v>1306.92</v>
      </c>
      <c r="H795">
        <v>2022</v>
      </c>
      <c r="I795" t="s">
        <v>14</v>
      </c>
      <c r="J795" s="4">
        <v>0.22904311251314399</v>
      </c>
      <c r="K795" t="s">
        <v>42</v>
      </c>
      <c r="L795" t="s">
        <v>52</v>
      </c>
      <c r="M795">
        <v>10</v>
      </c>
      <c r="N795" t="s">
        <v>54</v>
      </c>
    </row>
    <row r="796" spans="1:14" x14ac:dyDescent="0.3">
      <c r="A796" s="1">
        <v>44594</v>
      </c>
      <c r="B796" t="s">
        <v>29</v>
      </c>
      <c r="C796" t="s">
        <v>11</v>
      </c>
      <c r="D796" t="s">
        <v>19</v>
      </c>
      <c r="E796">
        <v>8</v>
      </c>
      <c r="F796">
        <v>6728</v>
      </c>
      <c r="G796">
        <v>1140.19</v>
      </c>
      <c r="H796">
        <v>2022</v>
      </c>
      <c r="I796" t="s">
        <v>16</v>
      </c>
      <c r="J796" s="4">
        <v>0.16946938168846601</v>
      </c>
      <c r="K796" t="s">
        <v>42</v>
      </c>
      <c r="L796" t="s">
        <v>55</v>
      </c>
      <c r="M796">
        <v>2</v>
      </c>
      <c r="N796" t="s">
        <v>57</v>
      </c>
    </row>
    <row r="797" spans="1:14" x14ac:dyDescent="0.3">
      <c r="A797" s="1">
        <v>44717</v>
      </c>
      <c r="B797" t="s">
        <v>29</v>
      </c>
      <c r="C797" t="s">
        <v>11</v>
      </c>
      <c r="D797" t="s">
        <v>19</v>
      </c>
      <c r="E797">
        <v>9</v>
      </c>
      <c r="F797">
        <v>5031</v>
      </c>
      <c r="G797">
        <v>1149.48</v>
      </c>
      <c r="H797">
        <v>2022</v>
      </c>
      <c r="I797" t="s">
        <v>27</v>
      </c>
      <c r="J797" s="4">
        <v>0.22847942754919501</v>
      </c>
      <c r="K797" t="s">
        <v>42</v>
      </c>
      <c r="L797" t="s">
        <v>59</v>
      </c>
      <c r="M797">
        <v>6</v>
      </c>
      <c r="N797" t="s">
        <v>66</v>
      </c>
    </row>
    <row r="798" spans="1:14" x14ac:dyDescent="0.3">
      <c r="A798" s="1">
        <v>44607</v>
      </c>
      <c r="B798" t="s">
        <v>29</v>
      </c>
      <c r="C798" t="s">
        <v>11</v>
      </c>
      <c r="D798" t="s">
        <v>12</v>
      </c>
      <c r="E798">
        <v>4</v>
      </c>
      <c r="F798">
        <v>3452</v>
      </c>
      <c r="G798">
        <v>560.30999999999995</v>
      </c>
      <c r="H798">
        <v>2022</v>
      </c>
      <c r="I798" t="s">
        <v>16</v>
      </c>
      <c r="J798" s="4">
        <v>0.16231460023175001</v>
      </c>
      <c r="K798" t="s">
        <v>42</v>
      </c>
      <c r="L798" t="s">
        <v>55</v>
      </c>
      <c r="M798">
        <v>2</v>
      </c>
      <c r="N798" t="s">
        <v>57</v>
      </c>
    </row>
    <row r="799" spans="1:14" x14ac:dyDescent="0.3">
      <c r="A799" s="1">
        <v>44791</v>
      </c>
      <c r="B799" t="s">
        <v>29</v>
      </c>
      <c r="C799" t="s">
        <v>11</v>
      </c>
      <c r="D799" t="s">
        <v>22</v>
      </c>
      <c r="E799">
        <v>2</v>
      </c>
      <c r="F799">
        <v>960</v>
      </c>
      <c r="G799">
        <v>124.02</v>
      </c>
      <c r="H799">
        <v>2022</v>
      </c>
      <c r="I799" t="s">
        <v>24</v>
      </c>
      <c r="J799" s="4">
        <v>0.12918750000000001</v>
      </c>
      <c r="K799" t="s">
        <v>42</v>
      </c>
      <c r="L799" t="s">
        <v>60</v>
      </c>
      <c r="M799">
        <v>8</v>
      </c>
      <c r="N799" t="s">
        <v>63</v>
      </c>
    </row>
    <row r="800" spans="1:14" x14ac:dyDescent="0.3">
      <c r="A800" s="1">
        <v>44879</v>
      </c>
      <c r="B800" t="s">
        <v>29</v>
      </c>
      <c r="C800" t="s">
        <v>11</v>
      </c>
      <c r="D800" t="s">
        <v>22</v>
      </c>
      <c r="E800">
        <v>1</v>
      </c>
      <c r="F800">
        <v>1179</v>
      </c>
      <c r="G800">
        <v>159.41999999999999</v>
      </c>
      <c r="H800">
        <v>2022</v>
      </c>
      <c r="I800" t="s">
        <v>18</v>
      </c>
      <c r="J800" s="4">
        <v>0.135216284987277</v>
      </c>
      <c r="K800" t="s">
        <v>42</v>
      </c>
      <c r="L800" t="s">
        <v>52</v>
      </c>
      <c r="M800">
        <v>11</v>
      </c>
      <c r="N800" t="s">
        <v>58</v>
      </c>
    </row>
    <row r="801" spans="1:14" x14ac:dyDescent="0.3">
      <c r="A801" s="1">
        <v>44654</v>
      </c>
      <c r="B801" t="s">
        <v>29</v>
      </c>
      <c r="C801" t="s">
        <v>11</v>
      </c>
      <c r="D801" t="s">
        <v>19</v>
      </c>
      <c r="E801">
        <v>8</v>
      </c>
      <c r="F801">
        <v>2912</v>
      </c>
      <c r="G801">
        <v>451.97</v>
      </c>
      <c r="H801">
        <v>2022</v>
      </c>
      <c r="I801" t="s">
        <v>23</v>
      </c>
      <c r="J801" s="4">
        <v>0.15520947802197799</v>
      </c>
      <c r="K801" t="s">
        <v>42</v>
      </c>
      <c r="L801" t="s">
        <v>59</v>
      </c>
      <c r="M801">
        <v>4</v>
      </c>
      <c r="N801" t="s">
        <v>62</v>
      </c>
    </row>
    <row r="802" spans="1:14" x14ac:dyDescent="0.3">
      <c r="A802" s="1">
        <v>44909</v>
      </c>
      <c r="B802" t="s">
        <v>29</v>
      </c>
      <c r="C802" t="s">
        <v>11</v>
      </c>
      <c r="D802" t="s">
        <v>22</v>
      </c>
      <c r="E802">
        <v>1</v>
      </c>
      <c r="F802">
        <v>400</v>
      </c>
      <c r="G802">
        <v>45.16</v>
      </c>
      <c r="H802">
        <v>2022</v>
      </c>
      <c r="I802" t="s">
        <v>13</v>
      </c>
      <c r="J802" s="4">
        <v>0.1129</v>
      </c>
      <c r="K802" t="s">
        <v>42</v>
      </c>
      <c r="L802" t="s">
        <v>52</v>
      </c>
      <c r="M802">
        <v>12</v>
      </c>
      <c r="N802" t="s">
        <v>53</v>
      </c>
    </row>
    <row r="803" spans="1:14" x14ac:dyDescent="0.3">
      <c r="A803" s="1">
        <v>44710</v>
      </c>
      <c r="B803" t="s">
        <v>29</v>
      </c>
      <c r="C803" t="s">
        <v>11</v>
      </c>
      <c r="D803" t="s">
        <v>19</v>
      </c>
      <c r="E803">
        <v>9</v>
      </c>
      <c r="F803">
        <v>4041</v>
      </c>
      <c r="G803">
        <v>963.58</v>
      </c>
      <c r="H803">
        <v>2022</v>
      </c>
      <c r="I803" t="s">
        <v>20</v>
      </c>
      <c r="J803" s="4">
        <v>0.23845087849542199</v>
      </c>
      <c r="K803" t="s">
        <v>42</v>
      </c>
      <c r="L803" t="s">
        <v>59</v>
      </c>
      <c r="M803">
        <v>5</v>
      </c>
      <c r="N803" t="s">
        <v>20</v>
      </c>
    </row>
    <row r="804" spans="1:14" x14ac:dyDescent="0.3">
      <c r="A804" s="1">
        <v>44647</v>
      </c>
      <c r="B804" t="s">
        <v>29</v>
      </c>
      <c r="C804" t="s">
        <v>11</v>
      </c>
      <c r="D804" t="s">
        <v>19</v>
      </c>
      <c r="E804">
        <v>8</v>
      </c>
      <c r="F804">
        <v>2080</v>
      </c>
      <c r="G804">
        <v>151.13999999999999</v>
      </c>
      <c r="H804">
        <v>2022</v>
      </c>
      <c r="I804" t="s">
        <v>15</v>
      </c>
      <c r="J804" s="4">
        <v>7.2663461538461496E-2</v>
      </c>
      <c r="K804" t="s">
        <v>42</v>
      </c>
      <c r="L804" t="s">
        <v>55</v>
      </c>
      <c r="M804">
        <v>3</v>
      </c>
      <c r="N804" t="s">
        <v>56</v>
      </c>
    </row>
    <row r="805" spans="1:14" x14ac:dyDescent="0.3">
      <c r="A805" s="1">
        <v>44844</v>
      </c>
      <c r="B805" t="s">
        <v>29</v>
      </c>
      <c r="C805" t="s">
        <v>11</v>
      </c>
      <c r="D805" t="s">
        <v>12</v>
      </c>
      <c r="E805">
        <v>5</v>
      </c>
      <c r="F805">
        <v>325</v>
      </c>
      <c r="G805">
        <v>21.01</v>
      </c>
      <c r="H805">
        <v>2022</v>
      </c>
      <c r="I805" t="s">
        <v>14</v>
      </c>
      <c r="J805" s="4">
        <v>6.4646153846153798E-2</v>
      </c>
      <c r="K805" t="s">
        <v>42</v>
      </c>
      <c r="L805" t="s">
        <v>52</v>
      </c>
      <c r="M805">
        <v>10</v>
      </c>
      <c r="N805" t="s">
        <v>54</v>
      </c>
    </row>
    <row r="806" spans="1:14" x14ac:dyDescent="0.3">
      <c r="A806" s="1">
        <v>44664</v>
      </c>
      <c r="B806" t="s">
        <v>29</v>
      </c>
      <c r="C806" t="s">
        <v>11</v>
      </c>
      <c r="D806" t="s">
        <v>19</v>
      </c>
      <c r="E806">
        <v>7</v>
      </c>
      <c r="F806">
        <v>896</v>
      </c>
      <c r="G806">
        <v>219.98</v>
      </c>
      <c r="H806">
        <v>2022</v>
      </c>
      <c r="I806" t="s">
        <v>23</v>
      </c>
      <c r="J806" s="4">
        <v>0.24551339285714299</v>
      </c>
      <c r="K806" t="s">
        <v>42</v>
      </c>
      <c r="L806" t="s">
        <v>59</v>
      </c>
      <c r="M806">
        <v>4</v>
      </c>
      <c r="N806" t="s">
        <v>62</v>
      </c>
    </row>
    <row r="807" spans="1:14" x14ac:dyDescent="0.3">
      <c r="A807" s="1">
        <v>44730</v>
      </c>
      <c r="B807" t="s">
        <v>29</v>
      </c>
      <c r="C807" t="s">
        <v>11</v>
      </c>
      <c r="D807" t="s">
        <v>22</v>
      </c>
      <c r="E807">
        <v>9</v>
      </c>
      <c r="F807">
        <v>3096</v>
      </c>
      <c r="G807">
        <v>505.08</v>
      </c>
      <c r="H807">
        <v>2022</v>
      </c>
      <c r="I807" t="s">
        <v>27</v>
      </c>
      <c r="J807" s="4">
        <v>0.16313953488372099</v>
      </c>
      <c r="K807" t="s">
        <v>42</v>
      </c>
      <c r="L807" t="s">
        <v>59</v>
      </c>
      <c r="M807">
        <v>6</v>
      </c>
      <c r="N807" t="s">
        <v>66</v>
      </c>
    </row>
    <row r="808" spans="1:14" x14ac:dyDescent="0.3">
      <c r="A808" s="1">
        <v>44820</v>
      </c>
      <c r="B808" t="s">
        <v>29</v>
      </c>
      <c r="C808" t="s">
        <v>11</v>
      </c>
      <c r="D808" t="s">
        <v>19</v>
      </c>
      <c r="E808">
        <v>7</v>
      </c>
      <c r="F808">
        <v>2646</v>
      </c>
      <c r="G808">
        <v>380.83</v>
      </c>
      <c r="H808">
        <v>2022</v>
      </c>
      <c r="I808" t="s">
        <v>21</v>
      </c>
      <c r="J808" s="4">
        <v>0.14392668178382501</v>
      </c>
      <c r="K808" t="s">
        <v>42</v>
      </c>
      <c r="L808" t="s">
        <v>60</v>
      </c>
      <c r="M808">
        <v>9</v>
      </c>
      <c r="N808" t="s">
        <v>61</v>
      </c>
    </row>
    <row r="809" spans="1:14" x14ac:dyDescent="0.3">
      <c r="A809" s="1">
        <v>44783</v>
      </c>
      <c r="B809" t="s">
        <v>29</v>
      </c>
      <c r="C809" t="s">
        <v>11</v>
      </c>
      <c r="D809" t="s">
        <v>17</v>
      </c>
      <c r="E809">
        <v>4</v>
      </c>
      <c r="F809">
        <v>1428</v>
      </c>
      <c r="G809">
        <v>160.54</v>
      </c>
      <c r="H809">
        <v>2022</v>
      </c>
      <c r="I809" t="s">
        <v>24</v>
      </c>
      <c r="J809" s="4">
        <v>0.112422969187675</v>
      </c>
      <c r="K809" t="s">
        <v>42</v>
      </c>
      <c r="L809" t="s">
        <v>60</v>
      </c>
      <c r="M809">
        <v>8</v>
      </c>
      <c r="N809" t="s">
        <v>63</v>
      </c>
    </row>
    <row r="810" spans="1:14" x14ac:dyDescent="0.3">
      <c r="A810" s="1">
        <v>44844</v>
      </c>
      <c r="B810" t="s">
        <v>29</v>
      </c>
      <c r="C810" t="s">
        <v>11</v>
      </c>
      <c r="D810" t="s">
        <v>17</v>
      </c>
      <c r="E810">
        <v>9</v>
      </c>
      <c r="F810">
        <v>1404</v>
      </c>
      <c r="G810">
        <v>89.43</v>
      </c>
      <c r="H810">
        <v>2022</v>
      </c>
      <c r="I810" t="s">
        <v>14</v>
      </c>
      <c r="J810" s="4">
        <v>6.3696581196581198E-2</v>
      </c>
      <c r="K810" t="s">
        <v>42</v>
      </c>
      <c r="L810" t="s">
        <v>52</v>
      </c>
      <c r="M810">
        <v>10</v>
      </c>
      <c r="N810" t="s">
        <v>54</v>
      </c>
    </row>
    <row r="811" spans="1:14" x14ac:dyDescent="0.3">
      <c r="A811" s="1">
        <v>44846</v>
      </c>
      <c r="B811" t="s">
        <v>29</v>
      </c>
      <c r="C811" t="s">
        <v>11</v>
      </c>
      <c r="D811" t="s">
        <v>12</v>
      </c>
      <c r="E811">
        <v>4</v>
      </c>
      <c r="F811">
        <v>3932</v>
      </c>
      <c r="G811">
        <v>309.43</v>
      </c>
      <c r="H811">
        <v>2022</v>
      </c>
      <c r="I811" t="s">
        <v>14</v>
      </c>
      <c r="J811" s="4">
        <v>7.8695320447609393E-2</v>
      </c>
      <c r="K811" t="s">
        <v>42</v>
      </c>
      <c r="L811" t="s">
        <v>52</v>
      </c>
      <c r="M811">
        <v>10</v>
      </c>
      <c r="N811" t="s">
        <v>54</v>
      </c>
    </row>
    <row r="812" spans="1:14" x14ac:dyDescent="0.3">
      <c r="A812" s="1">
        <v>44865</v>
      </c>
      <c r="B812" t="s">
        <v>29</v>
      </c>
      <c r="C812" t="s">
        <v>11</v>
      </c>
      <c r="D812" t="s">
        <v>22</v>
      </c>
      <c r="E812">
        <v>5</v>
      </c>
      <c r="F812">
        <v>620</v>
      </c>
      <c r="G812">
        <v>62.49</v>
      </c>
      <c r="H812">
        <v>2022</v>
      </c>
      <c r="I812" t="s">
        <v>14</v>
      </c>
      <c r="J812" s="4">
        <v>0.10079032258064501</v>
      </c>
      <c r="K812" t="s">
        <v>42</v>
      </c>
      <c r="L812" t="s">
        <v>52</v>
      </c>
      <c r="M812">
        <v>10</v>
      </c>
      <c r="N812" t="s">
        <v>54</v>
      </c>
    </row>
    <row r="813" spans="1:14" x14ac:dyDescent="0.3">
      <c r="A813" s="1">
        <v>44699</v>
      </c>
      <c r="B813" t="s">
        <v>29</v>
      </c>
      <c r="C813" t="s">
        <v>11</v>
      </c>
      <c r="D813" t="s">
        <v>12</v>
      </c>
      <c r="E813">
        <v>2</v>
      </c>
      <c r="F813">
        <v>1768</v>
      </c>
      <c r="G813">
        <v>375.86</v>
      </c>
      <c r="H813">
        <v>2022</v>
      </c>
      <c r="I813" t="s">
        <v>20</v>
      </c>
      <c r="J813" s="4">
        <v>0.212590497737557</v>
      </c>
      <c r="K813" t="s">
        <v>42</v>
      </c>
      <c r="L813" t="s">
        <v>59</v>
      </c>
      <c r="M813">
        <v>5</v>
      </c>
      <c r="N813" t="s">
        <v>20</v>
      </c>
    </row>
    <row r="814" spans="1:14" x14ac:dyDescent="0.3">
      <c r="A814" s="1">
        <v>44672</v>
      </c>
      <c r="B814" t="s">
        <v>29</v>
      </c>
      <c r="C814" t="s">
        <v>11</v>
      </c>
      <c r="D814" t="s">
        <v>19</v>
      </c>
      <c r="E814">
        <v>1</v>
      </c>
      <c r="F814">
        <v>631</v>
      </c>
      <c r="G814">
        <v>99.31</v>
      </c>
      <c r="H814">
        <v>2022</v>
      </c>
      <c r="I814" t="s">
        <v>23</v>
      </c>
      <c r="J814" s="4">
        <v>0.15738510301109401</v>
      </c>
      <c r="K814" t="s">
        <v>42</v>
      </c>
      <c r="L814" t="s">
        <v>59</v>
      </c>
      <c r="M814">
        <v>4</v>
      </c>
      <c r="N814" t="s">
        <v>62</v>
      </c>
    </row>
    <row r="815" spans="1:14" x14ac:dyDescent="0.3">
      <c r="A815" s="1">
        <v>44785</v>
      </c>
      <c r="B815" t="s">
        <v>29</v>
      </c>
      <c r="C815" t="s">
        <v>11</v>
      </c>
      <c r="D815" t="s">
        <v>12</v>
      </c>
      <c r="E815">
        <v>5</v>
      </c>
      <c r="F815">
        <v>1635</v>
      </c>
      <c r="G815">
        <v>321.83999999999997</v>
      </c>
      <c r="H815">
        <v>2022</v>
      </c>
      <c r="I815" t="s">
        <v>24</v>
      </c>
      <c r="J815" s="4">
        <v>0.19684403669724801</v>
      </c>
      <c r="K815" t="s">
        <v>42</v>
      </c>
      <c r="L815" t="s">
        <v>60</v>
      </c>
      <c r="M815">
        <v>8</v>
      </c>
      <c r="N815" t="s">
        <v>63</v>
      </c>
    </row>
    <row r="816" spans="1:14" x14ac:dyDescent="0.3">
      <c r="A816" s="1">
        <v>44722</v>
      </c>
      <c r="B816" t="s">
        <v>29</v>
      </c>
      <c r="C816" t="s">
        <v>11</v>
      </c>
      <c r="D816" t="s">
        <v>19</v>
      </c>
      <c r="E816">
        <v>5</v>
      </c>
      <c r="F816">
        <v>5160</v>
      </c>
      <c r="G816">
        <v>698.15</v>
      </c>
      <c r="H816">
        <v>2022</v>
      </c>
      <c r="I816" t="s">
        <v>27</v>
      </c>
      <c r="J816" s="4">
        <v>0.135300387596899</v>
      </c>
      <c r="K816" t="s">
        <v>42</v>
      </c>
      <c r="L816" t="s">
        <v>59</v>
      </c>
      <c r="M816">
        <v>6</v>
      </c>
      <c r="N816" t="s">
        <v>66</v>
      </c>
    </row>
    <row r="817" spans="1:14" x14ac:dyDescent="0.3">
      <c r="A817" s="1">
        <v>44880</v>
      </c>
      <c r="B817" t="s">
        <v>29</v>
      </c>
      <c r="C817" t="s">
        <v>11</v>
      </c>
      <c r="D817" t="s">
        <v>12</v>
      </c>
      <c r="E817">
        <v>1</v>
      </c>
      <c r="F817">
        <v>1178</v>
      </c>
      <c r="G817">
        <v>182.76</v>
      </c>
      <c r="H817">
        <v>2022</v>
      </c>
      <c r="I817" t="s">
        <v>18</v>
      </c>
      <c r="J817" s="4">
        <v>0.15514431239388801</v>
      </c>
      <c r="K817" t="s">
        <v>42</v>
      </c>
      <c r="L817" t="s">
        <v>52</v>
      </c>
      <c r="M817">
        <v>11</v>
      </c>
      <c r="N817" t="s">
        <v>58</v>
      </c>
    </row>
    <row r="818" spans="1:14" x14ac:dyDescent="0.3">
      <c r="A818" s="1">
        <v>44609</v>
      </c>
      <c r="B818" t="s">
        <v>29</v>
      </c>
      <c r="C818" t="s">
        <v>11</v>
      </c>
      <c r="D818" t="s">
        <v>17</v>
      </c>
      <c r="E818">
        <v>1</v>
      </c>
      <c r="F818">
        <v>502</v>
      </c>
      <c r="G818">
        <v>92.31</v>
      </c>
      <c r="H818">
        <v>2022</v>
      </c>
      <c r="I818" t="s">
        <v>16</v>
      </c>
      <c r="J818" s="4">
        <v>0.18388446215139401</v>
      </c>
      <c r="K818" t="s">
        <v>42</v>
      </c>
      <c r="L818" t="s">
        <v>55</v>
      </c>
      <c r="M818">
        <v>2</v>
      </c>
      <c r="N818" t="s">
        <v>57</v>
      </c>
    </row>
    <row r="819" spans="1:14" x14ac:dyDescent="0.3">
      <c r="A819" s="1">
        <v>44691</v>
      </c>
      <c r="B819" t="s">
        <v>29</v>
      </c>
      <c r="C819" t="s">
        <v>11</v>
      </c>
      <c r="D819" t="s">
        <v>12</v>
      </c>
      <c r="E819">
        <v>2</v>
      </c>
      <c r="F819">
        <v>1166</v>
      </c>
      <c r="G819">
        <v>170.11</v>
      </c>
      <c r="H819">
        <v>2022</v>
      </c>
      <c r="I819" t="s">
        <v>20</v>
      </c>
      <c r="J819" s="4">
        <v>0.14589193825042901</v>
      </c>
      <c r="K819" t="s">
        <v>42</v>
      </c>
      <c r="L819" t="s">
        <v>59</v>
      </c>
      <c r="M819">
        <v>5</v>
      </c>
      <c r="N819" t="s">
        <v>20</v>
      </c>
    </row>
    <row r="820" spans="1:14" x14ac:dyDescent="0.3">
      <c r="A820" s="1">
        <v>44636</v>
      </c>
      <c r="B820" t="s">
        <v>29</v>
      </c>
      <c r="C820" t="s">
        <v>11</v>
      </c>
      <c r="D820" t="s">
        <v>22</v>
      </c>
      <c r="E820">
        <v>3</v>
      </c>
      <c r="F820">
        <v>2508</v>
      </c>
      <c r="G820">
        <v>431.53</v>
      </c>
      <c r="H820">
        <v>2022</v>
      </c>
      <c r="I820" t="s">
        <v>15</v>
      </c>
      <c r="J820" s="4">
        <v>0.172061403508772</v>
      </c>
      <c r="K820" t="s">
        <v>42</v>
      </c>
      <c r="L820" t="s">
        <v>55</v>
      </c>
      <c r="M820">
        <v>3</v>
      </c>
      <c r="N820" t="s">
        <v>56</v>
      </c>
    </row>
    <row r="821" spans="1:14" x14ac:dyDescent="0.3">
      <c r="A821" s="1">
        <v>44905</v>
      </c>
      <c r="B821" t="s">
        <v>29</v>
      </c>
      <c r="C821" t="s">
        <v>11</v>
      </c>
      <c r="D821" t="s">
        <v>12</v>
      </c>
      <c r="E821">
        <v>5</v>
      </c>
      <c r="F821">
        <v>3380</v>
      </c>
      <c r="G821">
        <v>287.05</v>
      </c>
      <c r="H821">
        <v>2022</v>
      </c>
      <c r="I821" t="s">
        <v>13</v>
      </c>
      <c r="J821" s="4">
        <v>8.4926035502958602E-2</v>
      </c>
      <c r="K821" t="s">
        <v>42</v>
      </c>
      <c r="L821" t="s">
        <v>52</v>
      </c>
      <c r="M821">
        <v>12</v>
      </c>
      <c r="N821" t="s">
        <v>53</v>
      </c>
    </row>
    <row r="822" spans="1:14" x14ac:dyDescent="0.3">
      <c r="A822" s="1">
        <v>44588</v>
      </c>
      <c r="B822" t="s">
        <v>29</v>
      </c>
      <c r="C822" t="s">
        <v>11</v>
      </c>
      <c r="D822" t="s">
        <v>17</v>
      </c>
      <c r="E822">
        <v>5</v>
      </c>
      <c r="F822">
        <v>400</v>
      </c>
      <c r="G822">
        <v>86.52</v>
      </c>
      <c r="H822">
        <v>2022</v>
      </c>
      <c r="I822" t="s">
        <v>26</v>
      </c>
      <c r="J822" s="4">
        <v>0.21629999999999999</v>
      </c>
      <c r="K822" t="s">
        <v>42</v>
      </c>
      <c r="L822" t="s">
        <v>55</v>
      </c>
      <c r="M822">
        <v>1</v>
      </c>
      <c r="N822" t="s">
        <v>65</v>
      </c>
    </row>
    <row r="823" spans="1:14" x14ac:dyDescent="0.3">
      <c r="A823" s="1">
        <v>44786</v>
      </c>
      <c r="B823" t="s">
        <v>29</v>
      </c>
      <c r="C823" t="s">
        <v>11</v>
      </c>
      <c r="D823" t="s">
        <v>22</v>
      </c>
      <c r="E823">
        <v>2</v>
      </c>
      <c r="F823">
        <v>358</v>
      </c>
      <c r="G823">
        <v>41.46</v>
      </c>
      <c r="H823">
        <v>2022</v>
      </c>
      <c r="I823" t="s">
        <v>24</v>
      </c>
      <c r="J823" s="4">
        <v>0.115810055865922</v>
      </c>
      <c r="K823" t="s">
        <v>42</v>
      </c>
      <c r="L823" t="s">
        <v>60</v>
      </c>
      <c r="M823">
        <v>8</v>
      </c>
      <c r="N823" t="s">
        <v>63</v>
      </c>
    </row>
    <row r="824" spans="1:14" x14ac:dyDescent="0.3">
      <c r="A824" s="1">
        <v>44605</v>
      </c>
      <c r="B824" t="s">
        <v>29</v>
      </c>
      <c r="C824" t="s">
        <v>11</v>
      </c>
      <c r="D824" t="s">
        <v>22</v>
      </c>
      <c r="E824">
        <v>6</v>
      </c>
      <c r="F824">
        <v>1944</v>
      </c>
      <c r="G824">
        <v>366.18</v>
      </c>
      <c r="H824">
        <v>2022</v>
      </c>
      <c r="I824" t="s">
        <v>16</v>
      </c>
      <c r="J824" s="4">
        <v>0.188364197530864</v>
      </c>
      <c r="K824" t="s">
        <v>42</v>
      </c>
      <c r="L824" t="s">
        <v>55</v>
      </c>
      <c r="M824">
        <v>2</v>
      </c>
      <c r="N824" t="s">
        <v>57</v>
      </c>
    </row>
    <row r="825" spans="1:14" x14ac:dyDescent="0.3">
      <c r="A825" s="1">
        <v>44799</v>
      </c>
      <c r="B825" t="s">
        <v>29</v>
      </c>
      <c r="C825" t="s">
        <v>11</v>
      </c>
      <c r="D825" t="s">
        <v>22</v>
      </c>
      <c r="E825">
        <v>9</v>
      </c>
      <c r="F825">
        <v>7362</v>
      </c>
      <c r="G825">
        <v>441.36</v>
      </c>
      <c r="H825">
        <v>2022</v>
      </c>
      <c r="I825" t="s">
        <v>24</v>
      </c>
      <c r="J825" s="4">
        <v>5.9951100244498803E-2</v>
      </c>
      <c r="K825" t="s">
        <v>42</v>
      </c>
      <c r="L825" t="s">
        <v>60</v>
      </c>
      <c r="M825">
        <v>8</v>
      </c>
      <c r="N825" t="s">
        <v>63</v>
      </c>
    </row>
    <row r="826" spans="1:14" x14ac:dyDescent="0.3">
      <c r="A826" s="1">
        <v>44878</v>
      </c>
      <c r="B826" t="s">
        <v>29</v>
      </c>
      <c r="C826" t="s">
        <v>11</v>
      </c>
      <c r="D826" t="s">
        <v>19</v>
      </c>
      <c r="E826">
        <v>2</v>
      </c>
      <c r="F826">
        <v>952</v>
      </c>
      <c r="G826">
        <v>112.39</v>
      </c>
      <c r="H826">
        <v>2022</v>
      </c>
      <c r="I826" t="s">
        <v>18</v>
      </c>
      <c r="J826" s="4">
        <v>0.11805672268907599</v>
      </c>
      <c r="K826" t="s">
        <v>42</v>
      </c>
      <c r="L826" t="s">
        <v>52</v>
      </c>
      <c r="M826">
        <v>11</v>
      </c>
      <c r="N826" t="s">
        <v>58</v>
      </c>
    </row>
    <row r="827" spans="1:14" x14ac:dyDescent="0.3">
      <c r="A827" s="1">
        <v>44604</v>
      </c>
      <c r="B827" t="s">
        <v>29</v>
      </c>
      <c r="C827" t="s">
        <v>11</v>
      </c>
      <c r="D827" t="s">
        <v>22</v>
      </c>
      <c r="E827">
        <v>2</v>
      </c>
      <c r="F827">
        <v>294</v>
      </c>
      <c r="G827">
        <v>35.049999999999997</v>
      </c>
      <c r="H827">
        <v>2022</v>
      </c>
      <c r="I827" t="s">
        <v>16</v>
      </c>
      <c r="J827" s="4">
        <v>0.11921768707483001</v>
      </c>
      <c r="K827" t="s">
        <v>42</v>
      </c>
      <c r="L827" t="s">
        <v>55</v>
      </c>
      <c r="M827">
        <v>2</v>
      </c>
      <c r="N827" t="s">
        <v>57</v>
      </c>
    </row>
    <row r="828" spans="1:14" x14ac:dyDescent="0.3">
      <c r="A828" s="1">
        <v>44562</v>
      </c>
      <c r="B828" t="s">
        <v>29</v>
      </c>
      <c r="C828" t="s">
        <v>11</v>
      </c>
      <c r="D828" t="s">
        <v>17</v>
      </c>
      <c r="E828">
        <v>9</v>
      </c>
      <c r="F828">
        <v>9234</v>
      </c>
      <c r="G828">
        <v>2523.67</v>
      </c>
      <c r="H828">
        <v>2022</v>
      </c>
      <c r="I828" t="s">
        <v>26</v>
      </c>
      <c r="J828" s="4">
        <v>0.27330192765865302</v>
      </c>
      <c r="K828" t="s">
        <v>42</v>
      </c>
      <c r="L828" t="s">
        <v>55</v>
      </c>
      <c r="M828">
        <v>1</v>
      </c>
      <c r="N828" t="s">
        <v>65</v>
      </c>
    </row>
    <row r="829" spans="1:14" x14ac:dyDescent="0.3">
      <c r="A829" s="1">
        <v>44896</v>
      </c>
      <c r="B829" t="s">
        <v>29</v>
      </c>
      <c r="C829" t="s">
        <v>11</v>
      </c>
      <c r="D829" t="s">
        <v>17</v>
      </c>
      <c r="E829">
        <v>2</v>
      </c>
      <c r="F829">
        <v>1298</v>
      </c>
      <c r="G829">
        <v>239.45</v>
      </c>
      <c r="H829">
        <v>2022</v>
      </c>
      <c r="I829" t="s">
        <v>13</v>
      </c>
      <c r="J829" s="4">
        <v>0.184476117103236</v>
      </c>
      <c r="K829" t="s">
        <v>42</v>
      </c>
      <c r="L829" t="s">
        <v>52</v>
      </c>
      <c r="M829">
        <v>12</v>
      </c>
      <c r="N829" t="s">
        <v>53</v>
      </c>
    </row>
    <row r="830" spans="1:14" x14ac:dyDescent="0.3">
      <c r="A830" s="1">
        <v>44627</v>
      </c>
      <c r="B830" t="s">
        <v>29</v>
      </c>
      <c r="C830" t="s">
        <v>11</v>
      </c>
      <c r="D830" t="s">
        <v>19</v>
      </c>
      <c r="E830">
        <v>5</v>
      </c>
      <c r="F830">
        <v>3735</v>
      </c>
      <c r="G830">
        <v>957.13</v>
      </c>
      <c r="H830">
        <v>2022</v>
      </c>
      <c r="I830" t="s">
        <v>15</v>
      </c>
      <c r="J830" s="4">
        <v>0.25625970548862098</v>
      </c>
      <c r="K830" t="s">
        <v>42</v>
      </c>
      <c r="L830" t="s">
        <v>55</v>
      </c>
      <c r="M830">
        <v>3</v>
      </c>
      <c r="N830" t="s">
        <v>56</v>
      </c>
    </row>
    <row r="831" spans="1:14" x14ac:dyDescent="0.3">
      <c r="A831" s="1">
        <v>44572</v>
      </c>
      <c r="B831" t="s">
        <v>29</v>
      </c>
      <c r="C831" t="s">
        <v>11</v>
      </c>
      <c r="D831" t="s">
        <v>17</v>
      </c>
      <c r="E831">
        <v>7</v>
      </c>
      <c r="F831">
        <v>2751</v>
      </c>
      <c r="G831">
        <v>548.04999999999995</v>
      </c>
      <c r="H831">
        <v>2022</v>
      </c>
      <c r="I831" t="s">
        <v>26</v>
      </c>
      <c r="J831" s="4">
        <v>0.19921846601235901</v>
      </c>
      <c r="K831" t="s">
        <v>42</v>
      </c>
      <c r="L831" t="s">
        <v>55</v>
      </c>
      <c r="M831">
        <v>1</v>
      </c>
      <c r="N831" t="s">
        <v>65</v>
      </c>
    </row>
    <row r="832" spans="1:14" x14ac:dyDescent="0.3">
      <c r="A832" s="1">
        <v>44898</v>
      </c>
      <c r="B832" t="s">
        <v>29</v>
      </c>
      <c r="C832" t="s">
        <v>11</v>
      </c>
      <c r="D832" t="s">
        <v>12</v>
      </c>
      <c r="E832">
        <v>2</v>
      </c>
      <c r="F832">
        <v>702</v>
      </c>
      <c r="G832">
        <v>112.04</v>
      </c>
      <c r="H832">
        <v>2022</v>
      </c>
      <c r="I832" t="s">
        <v>13</v>
      </c>
      <c r="J832" s="4">
        <v>0.15960113960114</v>
      </c>
      <c r="K832" t="s">
        <v>42</v>
      </c>
      <c r="L832" t="s">
        <v>52</v>
      </c>
      <c r="M832">
        <v>12</v>
      </c>
      <c r="N832" t="s">
        <v>53</v>
      </c>
    </row>
    <row r="833" spans="1:14" x14ac:dyDescent="0.3">
      <c r="A833" s="1">
        <v>44574</v>
      </c>
      <c r="B833" t="s">
        <v>29</v>
      </c>
      <c r="C833" t="s">
        <v>11</v>
      </c>
      <c r="D833" t="s">
        <v>22</v>
      </c>
      <c r="E833">
        <v>2</v>
      </c>
      <c r="F833">
        <v>1916</v>
      </c>
      <c r="G833">
        <v>503.83</v>
      </c>
      <c r="H833">
        <v>2022</v>
      </c>
      <c r="I833" t="s">
        <v>26</v>
      </c>
      <c r="J833" s="4">
        <v>0.26295929018789099</v>
      </c>
      <c r="K833" t="s">
        <v>42</v>
      </c>
      <c r="L833" t="s">
        <v>55</v>
      </c>
      <c r="M833">
        <v>1</v>
      </c>
      <c r="N833" t="s">
        <v>65</v>
      </c>
    </row>
    <row r="834" spans="1:14" x14ac:dyDescent="0.3">
      <c r="A834" s="1">
        <v>44917</v>
      </c>
      <c r="B834" t="s">
        <v>29</v>
      </c>
      <c r="C834" t="s">
        <v>11</v>
      </c>
      <c r="D834" t="s">
        <v>12</v>
      </c>
      <c r="E834">
        <v>6</v>
      </c>
      <c r="F834">
        <v>6324</v>
      </c>
      <c r="G834">
        <v>629.20000000000005</v>
      </c>
      <c r="H834">
        <v>2022</v>
      </c>
      <c r="I834" t="s">
        <v>13</v>
      </c>
      <c r="J834" s="4">
        <v>9.9493991144845001E-2</v>
      </c>
      <c r="K834" t="s">
        <v>42</v>
      </c>
      <c r="L834" t="s">
        <v>52</v>
      </c>
      <c r="M834">
        <v>12</v>
      </c>
      <c r="N834" t="s">
        <v>53</v>
      </c>
    </row>
    <row r="835" spans="1:14" x14ac:dyDescent="0.3">
      <c r="A835" s="1">
        <v>44595</v>
      </c>
      <c r="B835" t="s">
        <v>29</v>
      </c>
      <c r="C835" t="s">
        <v>11</v>
      </c>
      <c r="D835" t="s">
        <v>12</v>
      </c>
      <c r="E835">
        <v>8</v>
      </c>
      <c r="F835">
        <v>5416</v>
      </c>
      <c r="G835">
        <v>297.5</v>
      </c>
      <c r="H835">
        <v>2022</v>
      </c>
      <c r="I835" t="s">
        <v>16</v>
      </c>
      <c r="J835" s="4">
        <v>5.4929837518463802E-2</v>
      </c>
      <c r="K835" t="s">
        <v>42</v>
      </c>
      <c r="L835" t="s">
        <v>55</v>
      </c>
      <c r="M835">
        <v>2</v>
      </c>
      <c r="N835" t="s">
        <v>57</v>
      </c>
    </row>
    <row r="836" spans="1:14" x14ac:dyDescent="0.3">
      <c r="A836" s="1">
        <v>44918</v>
      </c>
      <c r="B836" t="s">
        <v>29</v>
      </c>
      <c r="C836" t="s">
        <v>11</v>
      </c>
      <c r="D836" t="s">
        <v>17</v>
      </c>
      <c r="E836">
        <v>6</v>
      </c>
      <c r="F836">
        <v>5940</v>
      </c>
      <c r="G836">
        <v>318.72000000000003</v>
      </c>
      <c r="H836">
        <v>2022</v>
      </c>
      <c r="I836" t="s">
        <v>13</v>
      </c>
      <c r="J836" s="4">
        <v>5.3656565656565701E-2</v>
      </c>
      <c r="K836" t="s">
        <v>42</v>
      </c>
      <c r="L836" t="s">
        <v>52</v>
      </c>
      <c r="M836">
        <v>12</v>
      </c>
      <c r="N836" t="s">
        <v>53</v>
      </c>
    </row>
    <row r="837" spans="1:14" x14ac:dyDescent="0.3">
      <c r="A837" s="1">
        <v>44716</v>
      </c>
      <c r="B837" t="s">
        <v>29</v>
      </c>
      <c r="C837" t="s">
        <v>11</v>
      </c>
      <c r="D837" t="s">
        <v>19</v>
      </c>
      <c r="E837">
        <v>6</v>
      </c>
      <c r="F837">
        <v>3432</v>
      </c>
      <c r="G837">
        <v>452.4</v>
      </c>
      <c r="H837">
        <v>2022</v>
      </c>
      <c r="I837" t="s">
        <v>27</v>
      </c>
      <c r="J837" s="4">
        <v>0.131818181818182</v>
      </c>
      <c r="K837" t="s">
        <v>42</v>
      </c>
      <c r="L837" t="s">
        <v>59</v>
      </c>
      <c r="M837">
        <v>6</v>
      </c>
      <c r="N837" t="s">
        <v>66</v>
      </c>
    </row>
    <row r="838" spans="1:14" x14ac:dyDescent="0.3">
      <c r="A838" s="1">
        <v>44873</v>
      </c>
      <c r="B838" t="s">
        <v>29</v>
      </c>
      <c r="C838" t="s">
        <v>11</v>
      </c>
      <c r="D838" t="s">
        <v>12</v>
      </c>
      <c r="E838">
        <v>5</v>
      </c>
      <c r="F838">
        <v>3415</v>
      </c>
      <c r="G838">
        <v>496.48</v>
      </c>
      <c r="H838">
        <v>2022</v>
      </c>
      <c r="I838" t="s">
        <v>18</v>
      </c>
      <c r="J838" s="4">
        <v>0.145382137628111</v>
      </c>
      <c r="K838" t="s">
        <v>42</v>
      </c>
      <c r="L838" t="s">
        <v>52</v>
      </c>
      <c r="M838">
        <v>11</v>
      </c>
      <c r="N838" t="s">
        <v>58</v>
      </c>
    </row>
    <row r="839" spans="1:14" x14ac:dyDescent="0.3">
      <c r="A839" s="1">
        <v>44611</v>
      </c>
      <c r="B839" t="s">
        <v>29</v>
      </c>
      <c r="C839" t="s">
        <v>11</v>
      </c>
      <c r="D839" t="s">
        <v>19</v>
      </c>
      <c r="E839">
        <v>5</v>
      </c>
      <c r="F839">
        <v>5495</v>
      </c>
      <c r="G839">
        <v>1276.27</v>
      </c>
      <c r="H839">
        <v>2022</v>
      </c>
      <c r="I839" t="s">
        <v>16</v>
      </c>
      <c r="J839" s="4">
        <v>0.23226023657870801</v>
      </c>
      <c r="K839" t="s">
        <v>42</v>
      </c>
      <c r="L839" t="s">
        <v>55</v>
      </c>
      <c r="M839">
        <v>2</v>
      </c>
      <c r="N839" t="s">
        <v>57</v>
      </c>
    </row>
    <row r="840" spans="1:14" x14ac:dyDescent="0.3">
      <c r="A840" s="1">
        <v>44816</v>
      </c>
      <c r="B840" t="s">
        <v>29</v>
      </c>
      <c r="C840" t="s">
        <v>11</v>
      </c>
      <c r="D840" t="s">
        <v>22</v>
      </c>
      <c r="E840">
        <v>4</v>
      </c>
      <c r="F840">
        <v>1900</v>
      </c>
      <c r="G840">
        <v>372.18</v>
      </c>
      <c r="H840">
        <v>2022</v>
      </c>
      <c r="I840" t="s">
        <v>21</v>
      </c>
      <c r="J840" s="4">
        <v>0.19588421052631599</v>
      </c>
      <c r="K840" t="s">
        <v>42</v>
      </c>
      <c r="L840" t="s">
        <v>60</v>
      </c>
      <c r="M840">
        <v>9</v>
      </c>
      <c r="N840" t="s">
        <v>61</v>
      </c>
    </row>
    <row r="841" spans="1:14" x14ac:dyDescent="0.3">
      <c r="A841" s="1">
        <v>44835</v>
      </c>
      <c r="B841" t="s">
        <v>29</v>
      </c>
      <c r="C841" t="s">
        <v>11</v>
      </c>
      <c r="D841" t="s">
        <v>12</v>
      </c>
      <c r="E841">
        <v>7</v>
      </c>
      <c r="F841">
        <v>2611</v>
      </c>
      <c r="G841">
        <v>539.37</v>
      </c>
      <c r="H841">
        <v>2022</v>
      </c>
      <c r="I841" t="s">
        <v>14</v>
      </c>
      <c r="J841" s="4">
        <v>0.206576024511681</v>
      </c>
      <c r="K841" t="s">
        <v>42</v>
      </c>
      <c r="L841" t="s">
        <v>52</v>
      </c>
      <c r="M841">
        <v>10</v>
      </c>
      <c r="N841" t="s">
        <v>54</v>
      </c>
    </row>
    <row r="842" spans="1:14" x14ac:dyDescent="0.3">
      <c r="A842" s="1">
        <v>44871</v>
      </c>
      <c r="B842" t="s">
        <v>29</v>
      </c>
      <c r="C842" t="s">
        <v>11</v>
      </c>
      <c r="D842" t="s">
        <v>22</v>
      </c>
      <c r="E842">
        <v>7</v>
      </c>
      <c r="F842">
        <v>4466</v>
      </c>
      <c r="G842">
        <v>763.14</v>
      </c>
      <c r="H842">
        <v>2022</v>
      </c>
      <c r="I842" t="s">
        <v>18</v>
      </c>
      <c r="J842" s="4">
        <v>0.17087774294670799</v>
      </c>
      <c r="K842" t="s">
        <v>42</v>
      </c>
      <c r="L842" t="s">
        <v>52</v>
      </c>
      <c r="M842">
        <v>11</v>
      </c>
      <c r="N842" t="s">
        <v>58</v>
      </c>
    </row>
    <row r="843" spans="1:14" x14ac:dyDescent="0.3">
      <c r="A843" s="1">
        <v>44922</v>
      </c>
      <c r="B843" t="s">
        <v>29</v>
      </c>
      <c r="C843" t="s">
        <v>11</v>
      </c>
      <c r="D843" t="s">
        <v>22</v>
      </c>
      <c r="E843">
        <v>6</v>
      </c>
      <c r="F843">
        <v>3048</v>
      </c>
      <c r="G843">
        <v>823.36</v>
      </c>
      <c r="H843">
        <v>2022</v>
      </c>
      <c r="I843" t="s">
        <v>13</v>
      </c>
      <c r="J843" s="4">
        <v>0.27013123359580099</v>
      </c>
      <c r="K843" t="s">
        <v>42</v>
      </c>
      <c r="L843" t="s">
        <v>52</v>
      </c>
      <c r="M843">
        <v>12</v>
      </c>
      <c r="N843" t="s">
        <v>53</v>
      </c>
    </row>
    <row r="844" spans="1:14" x14ac:dyDescent="0.3">
      <c r="A844" s="1">
        <v>44867</v>
      </c>
      <c r="B844" t="s">
        <v>29</v>
      </c>
      <c r="C844" t="s">
        <v>11</v>
      </c>
      <c r="D844" t="s">
        <v>22</v>
      </c>
      <c r="E844">
        <v>8</v>
      </c>
      <c r="F844">
        <v>408</v>
      </c>
      <c r="G844">
        <v>83.16</v>
      </c>
      <c r="H844">
        <v>2022</v>
      </c>
      <c r="I844" t="s">
        <v>18</v>
      </c>
      <c r="J844" s="4">
        <v>0.20382352941176499</v>
      </c>
      <c r="K844" t="s">
        <v>42</v>
      </c>
      <c r="L844" t="s">
        <v>52</v>
      </c>
      <c r="M844">
        <v>11</v>
      </c>
      <c r="N844" t="s">
        <v>58</v>
      </c>
    </row>
    <row r="845" spans="1:14" x14ac:dyDescent="0.3">
      <c r="A845" s="1">
        <v>44714</v>
      </c>
      <c r="B845" t="s">
        <v>29</v>
      </c>
      <c r="C845" t="s">
        <v>11</v>
      </c>
      <c r="D845" t="s">
        <v>12</v>
      </c>
      <c r="E845">
        <v>7</v>
      </c>
      <c r="F845">
        <v>847</v>
      </c>
      <c r="G845">
        <v>154.05000000000001</v>
      </c>
      <c r="H845">
        <v>2022</v>
      </c>
      <c r="I845" t="s">
        <v>27</v>
      </c>
      <c r="J845" s="4">
        <v>0.181877213695396</v>
      </c>
      <c r="K845" t="s">
        <v>42</v>
      </c>
      <c r="L845" t="s">
        <v>59</v>
      </c>
      <c r="M845">
        <v>6</v>
      </c>
      <c r="N845" t="s">
        <v>66</v>
      </c>
    </row>
    <row r="846" spans="1:14" x14ac:dyDescent="0.3">
      <c r="A846" s="1">
        <v>44576</v>
      </c>
      <c r="B846" t="s">
        <v>29</v>
      </c>
      <c r="C846" t="s">
        <v>11</v>
      </c>
      <c r="D846" t="s">
        <v>17</v>
      </c>
      <c r="E846">
        <v>7</v>
      </c>
      <c r="F846">
        <v>3584</v>
      </c>
      <c r="G846">
        <v>940.88</v>
      </c>
      <c r="H846">
        <v>2022</v>
      </c>
      <c r="I846" t="s">
        <v>26</v>
      </c>
      <c r="J846" s="4">
        <v>0.26252232142857101</v>
      </c>
      <c r="K846" t="s">
        <v>42</v>
      </c>
      <c r="L846" t="s">
        <v>55</v>
      </c>
      <c r="M846">
        <v>1</v>
      </c>
      <c r="N846" t="s">
        <v>65</v>
      </c>
    </row>
    <row r="847" spans="1:14" x14ac:dyDescent="0.3">
      <c r="A847" s="1">
        <v>45457</v>
      </c>
      <c r="B847" t="s">
        <v>29</v>
      </c>
      <c r="C847" t="s">
        <v>11</v>
      </c>
      <c r="D847" t="s">
        <v>12</v>
      </c>
      <c r="E847">
        <v>7</v>
      </c>
      <c r="F847">
        <v>2149</v>
      </c>
      <c r="G847">
        <v>121.69</v>
      </c>
      <c r="H847">
        <v>2024</v>
      </c>
      <c r="I847" t="s">
        <v>27</v>
      </c>
      <c r="J847" s="4">
        <v>5.6626337831549599E-2</v>
      </c>
      <c r="K847" t="s">
        <v>41</v>
      </c>
      <c r="L847" t="s">
        <v>59</v>
      </c>
      <c r="M847">
        <v>6</v>
      </c>
      <c r="N847" t="s">
        <v>66</v>
      </c>
    </row>
    <row r="848" spans="1:14" x14ac:dyDescent="0.3">
      <c r="A848" s="1">
        <v>45387</v>
      </c>
      <c r="B848" t="s">
        <v>29</v>
      </c>
      <c r="C848" t="s">
        <v>11</v>
      </c>
      <c r="D848" t="s">
        <v>17</v>
      </c>
      <c r="E848">
        <v>2</v>
      </c>
      <c r="F848">
        <v>328</v>
      </c>
      <c r="G848">
        <v>39.51</v>
      </c>
      <c r="H848">
        <v>2024</v>
      </c>
      <c r="I848" t="s">
        <v>23</v>
      </c>
      <c r="J848" s="4">
        <v>0.12045731707317101</v>
      </c>
      <c r="K848" t="s">
        <v>41</v>
      </c>
      <c r="L848" t="s">
        <v>59</v>
      </c>
      <c r="M848">
        <v>4</v>
      </c>
      <c r="N848" t="s">
        <v>62</v>
      </c>
    </row>
    <row r="849" spans="1:14" x14ac:dyDescent="0.3">
      <c r="A849" s="1">
        <v>45577</v>
      </c>
      <c r="B849" t="s">
        <v>29</v>
      </c>
      <c r="C849" t="s">
        <v>11</v>
      </c>
      <c r="D849" t="s">
        <v>17</v>
      </c>
      <c r="E849">
        <v>2</v>
      </c>
      <c r="F849">
        <v>1852</v>
      </c>
      <c r="G849">
        <v>168.92</v>
      </c>
      <c r="H849">
        <v>2024</v>
      </c>
      <c r="I849" t="s">
        <v>14</v>
      </c>
      <c r="J849" s="4">
        <v>9.1209503239740794E-2</v>
      </c>
      <c r="K849" t="s">
        <v>41</v>
      </c>
      <c r="L849" t="s">
        <v>52</v>
      </c>
      <c r="M849">
        <v>10</v>
      </c>
      <c r="N849" t="s">
        <v>54</v>
      </c>
    </row>
    <row r="850" spans="1:14" x14ac:dyDescent="0.3">
      <c r="A850" s="1">
        <v>45545</v>
      </c>
      <c r="B850" t="s">
        <v>29</v>
      </c>
      <c r="C850" t="s">
        <v>11</v>
      </c>
      <c r="D850" t="s">
        <v>17</v>
      </c>
      <c r="E850">
        <v>1</v>
      </c>
      <c r="F850">
        <v>834</v>
      </c>
      <c r="G850">
        <v>95.54</v>
      </c>
      <c r="H850">
        <v>2024</v>
      </c>
      <c r="I850" t="s">
        <v>21</v>
      </c>
      <c r="J850" s="4">
        <v>0.114556354916067</v>
      </c>
      <c r="K850" t="s">
        <v>41</v>
      </c>
      <c r="L850" t="s">
        <v>60</v>
      </c>
      <c r="M850">
        <v>9</v>
      </c>
      <c r="N850" t="s">
        <v>61</v>
      </c>
    </row>
    <row r="851" spans="1:14" x14ac:dyDescent="0.3">
      <c r="A851" s="1">
        <v>45449</v>
      </c>
      <c r="B851" t="s">
        <v>29</v>
      </c>
      <c r="C851" t="s">
        <v>11</v>
      </c>
      <c r="D851" t="s">
        <v>17</v>
      </c>
      <c r="E851">
        <v>4</v>
      </c>
      <c r="F851">
        <v>4228</v>
      </c>
      <c r="G851">
        <v>947.76</v>
      </c>
      <c r="H851">
        <v>2024</v>
      </c>
      <c r="I851" t="s">
        <v>27</v>
      </c>
      <c r="J851" s="4">
        <v>0.22416272469252599</v>
      </c>
      <c r="K851" t="s">
        <v>41</v>
      </c>
      <c r="L851" t="s">
        <v>59</v>
      </c>
      <c r="M851">
        <v>6</v>
      </c>
      <c r="N851" t="s">
        <v>66</v>
      </c>
    </row>
    <row r="852" spans="1:14" x14ac:dyDescent="0.3">
      <c r="A852" s="1">
        <v>45575</v>
      </c>
      <c r="B852" t="s">
        <v>29</v>
      </c>
      <c r="C852" t="s">
        <v>11</v>
      </c>
      <c r="D852" t="s">
        <v>19</v>
      </c>
      <c r="E852">
        <v>1</v>
      </c>
      <c r="F852">
        <v>653</v>
      </c>
      <c r="G852">
        <v>93.78</v>
      </c>
      <c r="H852">
        <v>2024</v>
      </c>
      <c r="I852" t="s">
        <v>14</v>
      </c>
      <c r="J852" s="4">
        <v>0.14361408882082699</v>
      </c>
      <c r="K852" t="s">
        <v>41</v>
      </c>
      <c r="L852" t="s">
        <v>52</v>
      </c>
      <c r="M852">
        <v>10</v>
      </c>
      <c r="N852" t="s">
        <v>54</v>
      </c>
    </row>
    <row r="853" spans="1:14" x14ac:dyDescent="0.3">
      <c r="A853" s="1">
        <v>45375</v>
      </c>
      <c r="B853" t="s">
        <v>29</v>
      </c>
      <c r="C853" t="s">
        <v>11</v>
      </c>
      <c r="D853" t="s">
        <v>17</v>
      </c>
      <c r="E853">
        <v>9</v>
      </c>
      <c r="F853">
        <v>7452</v>
      </c>
      <c r="G853">
        <v>1212.51</v>
      </c>
      <c r="H853">
        <v>2024</v>
      </c>
      <c r="I853" t="s">
        <v>15</v>
      </c>
      <c r="J853" s="4">
        <v>0.16270933977455701</v>
      </c>
      <c r="K853" t="s">
        <v>41</v>
      </c>
      <c r="L853" t="s">
        <v>55</v>
      </c>
      <c r="M853">
        <v>3</v>
      </c>
      <c r="N853" t="s">
        <v>56</v>
      </c>
    </row>
    <row r="854" spans="1:14" x14ac:dyDescent="0.3">
      <c r="A854" s="1">
        <v>45564</v>
      </c>
      <c r="B854" t="s">
        <v>29</v>
      </c>
      <c r="C854" t="s">
        <v>11</v>
      </c>
      <c r="D854" t="s">
        <v>22</v>
      </c>
      <c r="E854">
        <v>1</v>
      </c>
      <c r="F854">
        <v>226</v>
      </c>
      <c r="G854">
        <v>55.4</v>
      </c>
      <c r="H854">
        <v>2024</v>
      </c>
      <c r="I854" t="s">
        <v>21</v>
      </c>
      <c r="J854" s="4">
        <v>0.245132743362832</v>
      </c>
      <c r="K854" t="s">
        <v>41</v>
      </c>
      <c r="L854" t="s">
        <v>60</v>
      </c>
      <c r="M854">
        <v>9</v>
      </c>
      <c r="N854" t="s">
        <v>61</v>
      </c>
    </row>
    <row r="855" spans="1:14" x14ac:dyDescent="0.3">
      <c r="A855" s="1">
        <v>45312</v>
      </c>
      <c r="B855" t="s">
        <v>29</v>
      </c>
      <c r="C855" t="s">
        <v>11</v>
      </c>
      <c r="D855" t="s">
        <v>12</v>
      </c>
      <c r="E855">
        <v>6</v>
      </c>
      <c r="F855">
        <v>2730</v>
      </c>
      <c r="G855">
        <v>636.48</v>
      </c>
      <c r="H855">
        <v>2024</v>
      </c>
      <c r="I855" t="s">
        <v>26</v>
      </c>
      <c r="J855" s="4">
        <v>0.23314285714285701</v>
      </c>
      <c r="K855" t="s">
        <v>41</v>
      </c>
      <c r="L855" t="s">
        <v>55</v>
      </c>
      <c r="M855">
        <v>1</v>
      </c>
      <c r="N855" t="s">
        <v>65</v>
      </c>
    </row>
    <row r="856" spans="1:14" x14ac:dyDescent="0.3">
      <c r="A856" s="1">
        <v>45342</v>
      </c>
      <c r="B856" t="s">
        <v>29</v>
      </c>
      <c r="C856" t="s">
        <v>11</v>
      </c>
      <c r="D856" t="s">
        <v>12</v>
      </c>
      <c r="E856">
        <v>3</v>
      </c>
      <c r="F856">
        <v>627</v>
      </c>
      <c r="G856">
        <v>103.98</v>
      </c>
      <c r="H856">
        <v>2024</v>
      </c>
      <c r="I856" t="s">
        <v>16</v>
      </c>
      <c r="J856" s="4">
        <v>0.16583732057416301</v>
      </c>
      <c r="K856" t="s">
        <v>41</v>
      </c>
      <c r="L856" t="s">
        <v>55</v>
      </c>
      <c r="M856">
        <v>2</v>
      </c>
      <c r="N856" t="s">
        <v>57</v>
      </c>
    </row>
    <row r="857" spans="1:14" x14ac:dyDescent="0.3">
      <c r="A857" s="1">
        <v>45536</v>
      </c>
      <c r="B857" t="s">
        <v>29</v>
      </c>
      <c r="C857" t="s">
        <v>11</v>
      </c>
      <c r="D857" t="s">
        <v>22</v>
      </c>
      <c r="E857">
        <v>9</v>
      </c>
      <c r="F857">
        <v>9036</v>
      </c>
      <c r="G857">
        <v>1087.46</v>
      </c>
      <c r="H857">
        <v>2024</v>
      </c>
      <c r="I857" t="s">
        <v>21</v>
      </c>
      <c r="J857" s="4">
        <v>0.120347498893316</v>
      </c>
      <c r="K857" t="s">
        <v>41</v>
      </c>
      <c r="L857" t="s">
        <v>60</v>
      </c>
      <c r="M857">
        <v>9</v>
      </c>
      <c r="N857" t="s">
        <v>61</v>
      </c>
    </row>
    <row r="858" spans="1:14" x14ac:dyDescent="0.3">
      <c r="A858" s="1">
        <v>45534</v>
      </c>
      <c r="B858" t="s">
        <v>29</v>
      </c>
      <c r="C858" t="s">
        <v>11</v>
      </c>
      <c r="D858" t="s">
        <v>12</v>
      </c>
      <c r="E858">
        <v>5</v>
      </c>
      <c r="F858">
        <v>4815</v>
      </c>
      <c r="G858">
        <v>338.31</v>
      </c>
      <c r="H858">
        <v>2024</v>
      </c>
      <c r="I858" t="s">
        <v>24</v>
      </c>
      <c r="J858" s="4">
        <v>7.0261682242990703E-2</v>
      </c>
      <c r="K858" t="s">
        <v>41</v>
      </c>
      <c r="L858" t="s">
        <v>60</v>
      </c>
      <c r="M858">
        <v>8</v>
      </c>
      <c r="N858" t="s">
        <v>63</v>
      </c>
    </row>
    <row r="859" spans="1:14" x14ac:dyDescent="0.3">
      <c r="A859" s="1">
        <v>45342</v>
      </c>
      <c r="B859" t="s">
        <v>29</v>
      </c>
      <c r="C859" t="s">
        <v>11</v>
      </c>
      <c r="D859" t="s">
        <v>19</v>
      </c>
      <c r="E859">
        <v>1</v>
      </c>
      <c r="F859">
        <v>620</v>
      </c>
      <c r="G859">
        <v>165.43</v>
      </c>
      <c r="H859">
        <v>2024</v>
      </c>
      <c r="I859" t="s">
        <v>16</v>
      </c>
      <c r="J859" s="4">
        <v>0.26682258064516101</v>
      </c>
      <c r="K859" t="s">
        <v>41</v>
      </c>
      <c r="L859" t="s">
        <v>55</v>
      </c>
      <c r="M859">
        <v>2</v>
      </c>
      <c r="N859" t="s">
        <v>57</v>
      </c>
    </row>
    <row r="860" spans="1:14" x14ac:dyDescent="0.3">
      <c r="A860" s="1">
        <v>45645</v>
      </c>
      <c r="B860" t="s">
        <v>29</v>
      </c>
      <c r="C860" t="s">
        <v>11</v>
      </c>
      <c r="D860" t="s">
        <v>22</v>
      </c>
      <c r="E860">
        <v>2</v>
      </c>
      <c r="F860">
        <v>1082</v>
      </c>
      <c r="G860">
        <v>182.1</v>
      </c>
      <c r="H860">
        <v>2024</v>
      </c>
      <c r="I860" t="s">
        <v>13</v>
      </c>
      <c r="J860" s="4">
        <v>0.16829944547134901</v>
      </c>
      <c r="K860" t="s">
        <v>41</v>
      </c>
      <c r="L860" t="s">
        <v>52</v>
      </c>
      <c r="M860">
        <v>12</v>
      </c>
      <c r="N860" t="s">
        <v>53</v>
      </c>
    </row>
    <row r="861" spans="1:14" x14ac:dyDescent="0.3">
      <c r="A861" s="1">
        <v>45316</v>
      </c>
      <c r="B861" t="s">
        <v>29</v>
      </c>
      <c r="C861" t="s">
        <v>11</v>
      </c>
      <c r="D861" t="s">
        <v>19</v>
      </c>
      <c r="E861">
        <v>9</v>
      </c>
      <c r="F861">
        <v>10188</v>
      </c>
      <c r="G861">
        <v>2165.7800000000002</v>
      </c>
      <c r="H861">
        <v>2024</v>
      </c>
      <c r="I861" t="s">
        <v>26</v>
      </c>
      <c r="J861" s="4">
        <v>0.21258146839418901</v>
      </c>
      <c r="K861" t="s">
        <v>41</v>
      </c>
      <c r="L861" t="s">
        <v>55</v>
      </c>
      <c r="M861">
        <v>1</v>
      </c>
      <c r="N861" t="s">
        <v>65</v>
      </c>
    </row>
    <row r="862" spans="1:14" x14ac:dyDescent="0.3">
      <c r="A862" s="1">
        <v>45586</v>
      </c>
      <c r="B862" t="s">
        <v>29</v>
      </c>
      <c r="C862" t="s">
        <v>11</v>
      </c>
      <c r="D862" t="s">
        <v>19</v>
      </c>
      <c r="E862">
        <v>9</v>
      </c>
      <c r="F862">
        <v>7767</v>
      </c>
      <c r="G862">
        <v>2172.19</v>
      </c>
      <c r="H862">
        <v>2024</v>
      </c>
      <c r="I862" t="s">
        <v>14</v>
      </c>
      <c r="J862" s="4">
        <v>0.27966911291360902</v>
      </c>
      <c r="K862" t="s">
        <v>41</v>
      </c>
      <c r="L862" t="s">
        <v>52</v>
      </c>
      <c r="M862">
        <v>10</v>
      </c>
      <c r="N862" t="s">
        <v>54</v>
      </c>
    </row>
    <row r="863" spans="1:14" x14ac:dyDescent="0.3">
      <c r="A863" s="1">
        <v>45605</v>
      </c>
      <c r="B863" t="s">
        <v>29</v>
      </c>
      <c r="C863" t="s">
        <v>11</v>
      </c>
      <c r="D863" t="s">
        <v>22</v>
      </c>
      <c r="E863">
        <v>3</v>
      </c>
      <c r="F863">
        <v>3522</v>
      </c>
      <c r="G863">
        <v>285.91000000000003</v>
      </c>
      <c r="H863">
        <v>2024</v>
      </c>
      <c r="I863" t="s">
        <v>18</v>
      </c>
      <c r="J863" s="4">
        <v>8.1178307779670597E-2</v>
      </c>
      <c r="K863" t="s">
        <v>41</v>
      </c>
      <c r="L863" t="s">
        <v>52</v>
      </c>
      <c r="M863">
        <v>11</v>
      </c>
      <c r="N863" t="s">
        <v>58</v>
      </c>
    </row>
    <row r="864" spans="1:14" x14ac:dyDescent="0.3">
      <c r="A864" s="1">
        <v>45383</v>
      </c>
      <c r="B864" t="s">
        <v>29</v>
      </c>
      <c r="C864" t="s">
        <v>11</v>
      </c>
      <c r="D864" t="s">
        <v>12</v>
      </c>
      <c r="E864">
        <v>6</v>
      </c>
      <c r="F864">
        <v>1656</v>
      </c>
      <c r="G864">
        <v>139.86000000000001</v>
      </c>
      <c r="H864">
        <v>2024</v>
      </c>
      <c r="I864" t="s">
        <v>23</v>
      </c>
      <c r="J864" s="4">
        <v>8.4456521739130402E-2</v>
      </c>
      <c r="K864" t="s">
        <v>41</v>
      </c>
      <c r="L864" t="s">
        <v>59</v>
      </c>
      <c r="M864">
        <v>4</v>
      </c>
      <c r="N864" t="s">
        <v>62</v>
      </c>
    </row>
    <row r="865" spans="1:14" x14ac:dyDescent="0.3">
      <c r="A865" s="1">
        <v>45394</v>
      </c>
      <c r="B865" t="s">
        <v>29</v>
      </c>
      <c r="C865" t="s">
        <v>11</v>
      </c>
      <c r="D865" t="s">
        <v>17</v>
      </c>
      <c r="E865">
        <v>5</v>
      </c>
      <c r="F865">
        <v>280</v>
      </c>
      <c r="G865">
        <v>23.98</v>
      </c>
      <c r="H865">
        <v>2024</v>
      </c>
      <c r="I865" t="s">
        <v>23</v>
      </c>
      <c r="J865" s="4">
        <v>8.5642857142857104E-2</v>
      </c>
      <c r="K865" t="s">
        <v>41</v>
      </c>
      <c r="L865" t="s">
        <v>59</v>
      </c>
      <c r="M865">
        <v>4</v>
      </c>
      <c r="N865" t="s">
        <v>62</v>
      </c>
    </row>
    <row r="866" spans="1:14" x14ac:dyDescent="0.3">
      <c r="A866" s="1">
        <v>45442</v>
      </c>
      <c r="B866" t="s">
        <v>29</v>
      </c>
      <c r="C866" t="s">
        <v>11</v>
      </c>
      <c r="D866" t="s">
        <v>17</v>
      </c>
      <c r="E866">
        <v>4</v>
      </c>
      <c r="F866">
        <v>3960</v>
      </c>
      <c r="G866">
        <v>632.76</v>
      </c>
      <c r="H866">
        <v>2024</v>
      </c>
      <c r="I866" t="s">
        <v>20</v>
      </c>
      <c r="J866" s="4">
        <v>0.15978787878787901</v>
      </c>
      <c r="K866" t="s">
        <v>41</v>
      </c>
      <c r="L866" t="s">
        <v>59</v>
      </c>
      <c r="M866">
        <v>5</v>
      </c>
      <c r="N866" t="s">
        <v>20</v>
      </c>
    </row>
    <row r="867" spans="1:14" x14ac:dyDescent="0.3">
      <c r="A867" s="1">
        <v>45504</v>
      </c>
      <c r="B867" t="s">
        <v>29</v>
      </c>
      <c r="C867" t="s">
        <v>11</v>
      </c>
      <c r="D867" t="s">
        <v>22</v>
      </c>
      <c r="E867">
        <v>3</v>
      </c>
      <c r="F867">
        <v>1476</v>
      </c>
      <c r="G867">
        <v>85.16</v>
      </c>
      <c r="H867">
        <v>2024</v>
      </c>
      <c r="I867" t="s">
        <v>25</v>
      </c>
      <c r="J867" s="4">
        <v>5.7696476964769601E-2</v>
      </c>
      <c r="K867" t="s">
        <v>41</v>
      </c>
      <c r="L867" t="s">
        <v>60</v>
      </c>
      <c r="M867">
        <v>7</v>
      </c>
      <c r="N867" t="s">
        <v>64</v>
      </c>
    </row>
    <row r="868" spans="1:14" x14ac:dyDescent="0.3">
      <c r="A868" s="1">
        <v>45650</v>
      </c>
      <c r="B868" t="s">
        <v>29</v>
      </c>
      <c r="C868" t="s">
        <v>11</v>
      </c>
      <c r="D868" t="s">
        <v>12</v>
      </c>
      <c r="E868">
        <v>7</v>
      </c>
      <c r="F868">
        <v>4137</v>
      </c>
      <c r="G868">
        <v>221.66</v>
      </c>
      <c r="H868">
        <v>2024</v>
      </c>
      <c r="I868" t="s">
        <v>13</v>
      </c>
      <c r="J868" s="4">
        <v>5.3579888808315199E-2</v>
      </c>
      <c r="K868" t="s">
        <v>41</v>
      </c>
      <c r="L868" t="s">
        <v>52</v>
      </c>
      <c r="M868">
        <v>12</v>
      </c>
      <c r="N868" t="s">
        <v>53</v>
      </c>
    </row>
    <row r="869" spans="1:14" x14ac:dyDescent="0.3">
      <c r="A869" s="1">
        <v>45612</v>
      </c>
      <c r="B869" t="s">
        <v>29</v>
      </c>
      <c r="C869" t="s">
        <v>11</v>
      </c>
      <c r="D869" t="s">
        <v>22</v>
      </c>
      <c r="E869">
        <v>7</v>
      </c>
      <c r="F869">
        <v>7161</v>
      </c>
      <c r="G869">
        <v>630.76</v>
      </c>
      <c r="H869">
        <v>2024</v>
      </c>
      <c r="I869" t="s">
        <v>18</v>
      </c>
      <c r="J869" s="4">
        <v>8.8082670018153897E-2</v>
      </c>
      <c r="K869" t="s">
        <v>41</v>
      </c>
      <c r="L869" t="s">
        <v>52</v>
      </c>
      <c r="M869">
        <v>11</v>
      </c>
      <c r="N869" t="s">
        <v>58</v>
      </c>
    </row>
    <row r="870" spans="1:14" x14ac:dyDescent="0.3">
      <c r="A870" s="1">
        <v>45599</v>
      </c>
      <c r="B870" t="s">
        <v>29</v>
      </c>
      <c r="C870" t="s">
        <v>11</v>
      </c>
      <c r="D870" t="s">
        <v>22</v>
      </c>
      <c r="E870">
        <v>6</v>
      </c>
      <c r="F870">
        <v>4254</v>
      </c>
      <c r="G870">
        <v>938.66</v>
      </c>
      <c r="H870">
        <v>2024</v>
      </c>
      <c r="I870" t="s">
        <v>18</v>
      </c>
      <c r="J870" s="4">
        <v>0.22065350258580199</v>
      </c>
      <c r="K870" t="s">
        <v>41</v>
      </c>
      <c r="L870" t="s">
        <v>52</v>
      </c>
      <c r="M870">
        <v>11</v>
      </c>
      <c r="N870" t="s">
        <v>58</v>
      </c>
    </row>
    <row r="871" spans="1:14" x14ac:dyDescent="0.3">
      <c r="A871" s="1">
        <v>45505</v>
      </c>
      <c r="B871" t="s">
        <v>29</v>
      </c>
      <c r="C871" t="s">
        <v>11</v>
      </c>
      <c r="D871" t="s">
        <v>19</v>
      </c>
      <c r="E871">
        <v>8</v>
      </c>
      <c r="F871">
        <v>2968</v>
      </c>
      <c r="G871">
        <v>530.29999999999995</v>
      </c>
      <c r="H871">
        <v>2024</v>
      </c>
      <c r="I871" t="s">
        <v>24</v>
      </c>
      <c r="J871" s="4">
        <v>0.17867250673854401</v>
      </c>
      <c r="K871" t="s">
        <v>41</v>
      </c>
      <c r="L871" t="s">
        <v>60</v>
      </c>
      <c r="M871">
        <v>8</v>
      </c>
      <c r="N871" t="s">
        <v>63</v>
      </c>
    </row>
    <row r="872" spans="1:14" x14ac:dyDescent="0.3">
      <c r="A872" s="1">
        <v>45352</v>
      </c>
      <c r="B872" t="s">
        <v>29</v>
      </c>
      <c r="C872" t="s">
        <v>11</v>
      </c>
      <c r="D872" t="s">
        <v>22</v>
      </c>
      <c r="E872">
        <v>5</v>
      </c>
      <c r="F872">
        <v>2270</v>
      </c>
      <c r="G872">
        <v>546.55999999999995</v>
      </c>
      <c r="H872">
        <v>2024</v>
      </c>
      <c r="I872" t="s">
        <v>15</v>
      </c>
      <c r="J872" s="4">
        <v>0.240775330396476</v>
      </c>
      <c r="K872" t="s">
        <v>41</v>
      </c>
      <c r="L872" t="s">
        <v>55</v>
      </c>
      <c r="M872">
        <v>3</v>
      </c>
      <c r="N872" t="s">
        <v>56</v>
      </c>
    </row>
    <row r="873" spans="1:14" x14ac:dyDescent="0.3">
      <c r="A873" s="1">
        <v>45576</v>
      </c>
      <c r="B873" t="s">
        <v>29</v>
      </c>
      <c r="C873" t="s">
        <v>11</v>
      </c>
      <c r="D873" t="s">
        <v>19</v>
      </c>
      <c r="E873">
        <v>7</v>
      </c>
      <c r="F873">
        <v>3500</v>
      </c>
      <c r="G873">
        <v>919.35</v>
      </c>
      <c r="H873">
        <v>2024</v>
      </c>
      <c r="I873" t="s">
        <v>14</v>
      </c>
      <c r="J873" s="4">
        <v>0.262671428571429</v>
      </c>
      <c r="K873" t="s">
        <v>41</v>
      </c>
      <c r="L873" t="s">
        <v>52</v>
      </c>
      <c r="M873">
        <v>10</v>
      </c>
      <c r="N873" t="s">
        <v>54</v>
      </c>
    </row>
    <row r="874" spans="1:14" x14ac:dyDescent="0.3">
      <c r="A874" s="1">
        <v>45519</v>
      </c>
      <c r="B874" t="s">
        <v>29</v>
      </c>
      <c r="C874" t="s">
        <v>11</v>
      </c>
      <c r="D874" t="s">
        <v>17</v>
      </c>
      <c r="E874">
        <v>8</v>
      </c>
      <c r="F874">
        <v>3296</v>
      </c>
      <c r="G874">
        <v>623.66999999999996</v>
      </c>
      <c r="H874">
        <v>2024</v>
      </c>
      <c r="I874" t="s">
        <v>24</v>
      </c>
      <c r="J874" s="4">
        <v>0.18922026699029099</v>
      </c>
      <c r="K874" t="s">
        <v>41</v>
      </c>
      <c r="L874" t="s">
        <v>60</v>
      </c>
      <c r="M874">
        <v>8</v>
      </c>
      <c r="N874" t="s">
        <v>63</v>
      </c>
    </row>
    <row r="875" spans="1:14" x14ac:dyDescent="0.3">
      <c r="A875" s="1">
        <v>45516</v>
      </c>
      <c r="B875" t="s">
        <v>29</v>
      </c>
      <c r="C875" t="s">
        <v>11</v>
      </c>
      <c r="D875" t="s">
        <v>22</v>
      </c>
      <c r="E875">
        <v>8</v>
      </c>
      <c r="F875">
        <v>9056</v>
      </c>
      <c r="G875">
        <v>872.48</v>
      </c>
      <c r="H875">
        <v>2024</v>
      </c>
      <c r="I875" t="s">
        <v>24</v>
      </c>
      <c r="J875" s="4">
        <v>9.6342756183745604E-2</v>
      </c>
      <c r="K875" t="s">
        <v>41</v>
      </c>
      <c r="L875" t="s">
        <v>60</v>
      </c>
      <c r="M875">
        <v>8</v>
      </c>
      <c r="N875" t="s">
        <v>63</v>
      </c>
    </row>
    <row r="876" spans="1:14" x14ac:dyDescent="0.3">
      <c r="A876" s="1">
        <v>45437</v>
      </c>
      <c r="B876" t="s">
        <v>29</v>
      </c>
      <c r="C876" t="s">
        <v>11</v>
      </c>
      <c r="D876" t="s">
        <v>12</v>
      </c>
      <c r="E876">
        <v>2</v>
      </c>
      <c r="F876">
        <v>1708</v>
      </c>
      <c r="G876">
        <v>441.43</v>
      </c>
      <c r="H876">
        <v>2024</v>
      </c>
      <c r="I876" t="s">
        <v>20</v>
      </c>
      <c r="J876" s="4">
        <v>0.258448477751756</v>
      </c>
      <c r="K876" t="s">
        <v>41</v>
      </c>
      <c r="L876" t="s">
        <v>59</v>
      </c>
      <c r="M876">
        <v>5</v>
      </c>
      <c r="N876" t="s">
        <v>20</v>
      </c>
    </row>
    <row r="877" spans="1:14" x14ac:dyDescent="0.3">
      <c r="A877" s="1">
        <v>45645</v>
      </c>
      <c r="B877" t="s">
        <v>29</v>
      </c>
      <c r="C877" t="s">
        <v>11</v>
      </c>
      <c r="D877" t="s">
        <v>22</v>
      </c>
      <c r="E877">
        <v>8</v>
      </c>
      <c r="F877">
        <v>9328</v>
      </c>
      <c r="G877">
        <v>1008.6</v>
      </c>
      <c r="H877">
        <v>2024</v>
      </c>
      <c r="I877" t="s">
        <v>13</v>
      </c>
      <c r="J877" s="4">
        <v>0.108126072041166</v>
      </c>
      <c r="K877" t="s">
        <v>41</v>
      </c>
      <c r="L877" t="s">
        <v>52</v>
      </c>
      <c r="M877">
        <v>12</v>
      </c>
      <c r="N877" t="s">
        <v>53</v>
      </c>
    </row>
    <row r="878" spans="1:14" x14ac:dyDescent="0.3">
      <c r="A878" s="1">
        <v>45363</v>
      </c>
      <c r="B878" t="s">
        <v>29</v>
      </c>
      <c r="C878" t="s">
        <v>11</v>
      </c>
      <c r="D878" t="s">
        <v>19</v>
      </c>
      <c r="E878">
        <v>7</v>
      </c>
      <c r="F878">
        <v>4921</v>
      </c>
      <c r="G878">
        <v>798.16</v>
      </c>
      <c r="H878">
        <v>2024</v>
      </c>
      <c r="I878" t="s">
        <v>15</v>
      </c>
      <c r="J878" s="4">
        <v>0.162194675878886</v>
      </c>
      <c r="K878" t="s">
        <v>41</v>
      </c>
      <c r="L878" t="s">
        <v>55</v>
      </c>
      <c r="M878">
        <v>3</v>
      </c>
      <c r="N878" t="s">
        <v>56</v>
      </c>
    </row>
    <row r="879" spans="1:14" x14ac:dyDescent="0.3">
      <c r="A879" s="1">
        <v>45570</v>
      </c>
      <c r="B879" t="s">
        <v>29</v>
      </c>
      <c r="C879" t="s">
        <v>11</v>
      </c>
      <c r="D879" t="s">
        <v>12</v>
      </c>
      <c r="E879">
        <v>2</v>
      </c>
      <c r="F879">
        <v>374</v>
      </c>
      <c r="G879">
        <v>49.26</v>
      </c>
      <c r="H879">
        <v>2024</v>
      </c>
      <c r="I879" t="s">
        <v>14</v>
      </c>
      <c r="J879" s="4">
        <v>0.13171122994652401</v>
      </c>
      <c r="K879" t="s">
        <v>41</v>
      </c>
      <c r="L879" t="s">
        <v>52</v>
      </c>
      <c r="M879">
        <v>10</v>
      </c>
      <c r="N879" t="s">
        <v>54</v>
      </c>
    </row>
    <row r="880" spans="1:14" x14ac:dyDescent="0.3">
      <c r="A880" s="1">
        <v>45607</v>
      </c>
      <c r="B880" t="s">
        <v>29</v>
      </c>
      <c r="C880" t="s">
        <v>11</v>
      </c>
      <c r="D880" t="s">
        <v>22</v>
      </c>
      <c r="E880">
        <v>6</v>
      </c>
      <c r="F880">
        <v>510</v>
      </c>
      <c r="G880">
        <v>151.91</v>
      </c>
      <c r="H880">
        <v>2024</v>
      </c>
      <c r="I880" t="s">
        <v>18</v>
      </c>
      <c r="J880" s="4">
        <v>0.29786274509803901</v>
      </c>
      <c r="K880" t="s">
        <v>41</v>
      </c>
      <c r="L880" t="s">
        <v>52</v>
      </c>
      <c r="M880">
        <v>11</v>
      </c>
      <c r="N880" t="s">
        <v>58</v>
      </c>
    </row>
    <row r="881" spans="1:14" x14ac:dyDescent="0.3">
      <c r="A881" s="1">
        <v>45498</v>
      </c>
      <c r="B881" t="s">
        <v>29</v>
      </c>
      <c r="C881" t="s">
        <v>11</v>
      </c>
      <c r="D881" t="s">
        <v>12</v>
      </c>
      <c r="E881">
        <v>8</v>
      </c>
      <c r="F881">
        <v>2840</v>
      </c>
      <c r="G881">
        <v>262.62</v>
      </c>
      <c r="H881">
        <v>2024</v>
      </c>
      <c r="I881" t="s">
        <v>25</v>
      </c>
      <c r="J881" s="4">
        <v>9.2471830985915507E-2</v>
      </c>
      <c r="K881" t="s">
        <v>41</v>
      </c>
      <c r="L881" t="s">
        <v>60</v>
      </c>
      <c r="M881">
        <v>7</v>
      </c>
      <c r="N881" t="s">
        <v>64</v>
      </c>
    </row>
    <row r="882" spans="1:14" x14ac:dyDescent="0.3">
      <c r="A882" s="1">
        <v>45607</v>
      </c>
      <c r="B882" t="s">
        <v>29</v>
      </c>
      <c r="C882" t="s">
        <v>11</v>
      </c>
      <c r="D882" t="s">
        <v>19</v>
      </c>
      <c r="E882">
        <v>4</v>
      </c>
      <c r="F882">
        <v>2584</v>
      </c>
      <c r="G882">
        <v>394.52</v>
      </c>
      <c r="H882">
        <v>2024</v>
      </c>
      <c r="I882" t="s">
        <v>18</v>
      </c>
      <c r="J882" s="4">
        <v>0.152678018575851</v>
      </c>
      <c r="K882" t="s">
        <v>41</v>
      </c>
      <c r="L882" t="s">
        <v>52</v>
      </c>
      <c r="M882">
        <v>11</v>
      </c>
      <c r="N882" t="s">
        <v>58</v>
      </c>
    </row>
    <row r="883" spans="1:14" x14ac:dyDescent="0.3">
      <c r="A883" s="1">
        <v>45429</v>
      </c>
      <c r="B883" t="s">
        <v>29</v>
      </c>
      <c r="C883" t="s">
        <v>11</v>
      </c>
      <c r="D883" t="s">
        <v>17</v>
      </c>
      <c r="E883">
        <v>3</v>
      </c>
      <c r="F883">
        <v>3366</v>
      </c>
      <c r="G883">
        <v>882.29</v>
      </c>
      <c r="H883">
        <v>2024</v>
      </c>
      <c r="I883" t="s">
        <v>20</v>
      </c>
      <c r="J883" s="4">
        <v>0.26211824123588801</v>
      </c>
      <c r="K883" t="s">
        <v>41</v>
      </c>
      <c r="L883" t="s">
        <v>59</v>
      </c>
      <c r="M883">
        <v>5</v>
      </c>
      <c r="N883" t="s">
        <v>20</v>
      </c>
    </row>
    <row r="884" spans="1:14" x14ac:dyDescent="0.3">
      <c r="A884" s="1">
        <v>45587</v>
      </c>
      <c r="B884" t="s">
        <v>29</v>
      </c>
      <c r="C884" t="s">
        <v>11</v>
      </c>
      <c r="D884" t="s">
        <v>12</v>
      </c>
      <c r="E884">
        <v>3</v>
      </c>
      <c r="F884">
        <v>2832</v>
      </c>
      <c r="G884">
        <v>317.76</v>
      </c>
      <c r="H884">
        <v>2024</v>
      </c>
      <c r="I884" t="s">
        <v>14</v>
      </c>
      <c r="J884" s="4">
        <v>0.112203389830508</v>
      </c>
      <c r="K884" t="s">
        <v>41</v>
      </c>
      <c r="L884" t="s">
        <v>52</v>
      </c>
      <c r="M884">
        <v>10</v>
      </c>
      <c r="N884" t="s">
        <v>54</v>
      </c>
    </row>
    <row r="885" spans="1:14" x14ac:dyDescent="0.3">
      <c r="A885" s="1">
        <v>45591</v>
      </c>
      <c r="B885" t="s">
        <v>29</v>
      </c>
      <c r="C885" t="s">
        <v>11</v>
      </c>
      <c r="D885" t="s">
        <v>12</v>
      </c>
      <c r="E885">
        <v>5</v>
      </c>
      <c r="F885">
        <v>2465</v>
      </c>
      <c r="G885">
        <v>497.19</v>
      </c>
      <c r="H885">
        <v>2024</v>
      </c>
      <c r="I885" t="s">
        <v>14</v>
      </c>
      <c r="J885" s="4">
        <v>0.201699797160243</v>
      </c>
      <c r="K885" t="s">
        <v>41</v>
      </c>
      <c r="L885" t="s">
        <v>52</v>
      </c>
      <c r="M885">
        <v>10</v>
      </c>
      <c r="N885" t="s">
        <v>54</v>
      </c>
    </row>
    <row r="886" spans="1:14" x14ac:dyDescent="0.3">
      <c r="A886" s="1">
        <v>45386</v>
      </c>
      <c r="B886" t="s">
        <v>29</v>
      </c>
      <c r="C886" t="s">
        <v>11</v>
      </c>
      <c r="D886" t="s">
        <v>19</v>
      </c>
      <c r="E886">
        <v>3</v>
      </c>
      <c r="F886">
        <v>3582</v>
      </c>
      <c r="G886">
        <v>501.47</v>
      </c>
      <c r="H886">
        <v>2024</v>
      </c>
      <c r="I886" t="s">
        <v>23</v>
      </c>
      <c r="J886" s="4">
        <v>0.13999720826354001</v>
      </c>
      <c r="K886" t="s">
        <v>41</v>
      </c>
      <c r="L886" t="s">
        <v>59</v>
      </c>
      <c r="M886">
        <v>4</v>
      </c>
      <c r="N886" t="s">
        <v>62</v>
      </c>
    </row>
    <row r="887" spans="1:14" x14ac:dyDescent="0.3">
      <c r="A887" s="1">
        <v>45468</v>
      </c>
      <c r="B887" t="s">
        <v>29</v>
      </c>
      <c r="C887" t="s">
        <v>11</v>
      </c>
      <c r="D887" t="s">
        <v>12</v>
      </c>
      <c r="E887">
        <v>9</v>
      </c>
      <c r="F887">
        <v>3762</v>
      </c>
      <c r="G887">
        <v>484.75</v>
      </c>
      <c r="H887">
        <v>2024</v>
      </c>
      <c r="I887" t="s">
        <v>27</v>
      </c>
      <c r="J887" s="4">
        <v>0.128854332801701</v>
      </c>
      <c r="K887" t="s">
        <v>41</v>
      </c>
      <c r="L887" t="s">
        <v>59</v>
      </c>
      <c r="M887">
        <v>6</v>
      </c>
      <c r="N887" t="s">
        <v>66</v>
      </c>
    </row>
    <row r="888" spans="1:14" x14ac:dyDescent="0.3">
      <c r="A888" s="1">
        <v>45359</v>
      </c>
      <c r="B888" t="s">
        <v>29</v>
      </c>
      <c r="C888" t="s">
        <v>11</v>
      </c>
      <c r="D888" t="s">
        <v>12</v>
      </c>
      <c r="E888">
        <v>1</v>
      </c>
      <c r="F888">
        <v>105</v>
      </c>
      <c r="G888">
        <v>25.26</v>
      </c>
      <c r="H888">
        <v>2024</v>
      </c>
      <c r="I888" t="s">
        <v>15</v>
      </c>
      <c r="J888" s="4">
        <v>0.24057142857142899</v>
      </c>
      <c r="K888" t="s">
        <v>41</v>
      </c>
      <c r="L888" t="s">
        <v>55</v>
      </c>
      <c r="M888">
        <v>3</v>
      </c>
      <c r="N888" t="s">
        <v>56</v>
      </c>
    </row>
    <row r="889" spans="1:14" x14ac:dyDescent="0.3">
      <c r="A889" s="1">
        <v>45416</v>
      </c>
      <c r="B889" t="s">
        <v>29</v>
      </c>
      <c r="C889" t="s">
        <v>11</v>
      </c>
      <c r="D889" t="s">
        <v>12</v>
      </c>
      <c r="E889">
        <v>3</v>
      </c>
      <c r="F889">
        <v>2682</v>
      </c>
      <c r="G889">
        <v>584.69000000000005</v>
      </c>
      <c r="H889">
        <v>2024</v>
      </c>
      <c r="I889" t="s">
        <v>20</v>
      </c>
      <c r="J889" s="4">
        <v>0.21800521998508601</v>
      </c>
      <c r="K889" t="s">
        <v>41</v>
      </c>
      <c r="L889" t="s">
        <v>59</v>
      </c>
      <c r="M889">
        <v>5</v>
      </c>
      <c r="N889" t="s">
        <v>20</v>
      </c>
    </row>
    <row r="890" spans="1:14" x14ac:dyDescent="0.3">
      <c r="A890" s="1">
        <v>45426</v>
      </c>
      <c r="B890" t="s">
        <v>29</v>
      </c>
      <c r="C890" t="s">
        <v>11</v>
      </c>
      <c r="D890" t="s">
        <v>12</v>
      </c>
      <c r="E890">
        <v>4</v>
      </c>
      <c r="F890">
        <v>1780</v>
      </c>
      <c r="G890">
        <v>420.28</v>
      </c>
      <c r="H890">
        <v>2024</v>
      </c>
      <c r="I890" t="s">
        <v>20</v>
      </c>
      <c r="J890" s="4">
        <v>0.23611235955056201</v>
      </c>
      <c r="K890" t="s">
        <v>41</v>
      </c>
      <c r="L890" t="s">
        <v>59</v>
      </c>
      <c r="M890">
        <v>5</v>
      </c>
      <c r="N890" t="s">
        <v>20</v>
      </c>
    </row>
    <row r="891" spans="1:14" x14ac:dyDescent="0.3">
      <c r="A891" s="1">
        <v>45632</v>
      </c>
      <c r="B891" t="s">
        <v>29</v>
      </c>
      <c r="C891" t="s">
        <v>11</v>
      </c>
      <c r="D891" t="s">
        <v>22</v>
      </c>
      <c r="E891">
        <v>4</v>
      </c>
      <c r="F891">
        <v>2932</v>
      </c>
      <c r="G891">
        <v>597.65</v>
      </c>
      <c r="H891">
        <v>2024</v>
      </c>
      <c r="I891" t="s">
        <v>13</v>
      </c>
      <c r="J891" s="4">
        <v>0.20383697135061399</v>
      </c>
      <c r="K891" t="s">
        <v>41</v>
      </c>
      <c r="L891" t="s">
        <v>52</v>
      </c>
      <c r="M891">
        <v>12</v>
      </c>
      <c r="N891" t="s">
        <v>53</v>
      </c>
    </row>
    <row r="892" spans="1:14" x14ac:dyDescent="0.3">
      <c r="A892" s="1">
        <v>45486</v>
      </c>
      <c r="B892" t="s">
        <v>29</v>
      </c>
      <c r="C892" t="s">
        <v>11</v>
      </c>
      <c r="D892" t="s">
        <v>17</v>
      </c>
      <c r="E892">
        <v>8</v>
      </c>
      <c r="F892">
        <v>1048</v>
      </c>
      <c r="G892">
        <v>107.56</v>
      </c>
      <c r="H892">
        <v>2024</v>
      </c>
      <c r="I892" t="s">
        <v>25</v>
      </c>
      <c r="J892" s="4">
        <v>0.10263358778626</v>
      </c>
      <c r="K892" t="s">
        <v>41</v>
      </c>
      <c r="L892" t="s">
        <v>60</v>
      </c>
      <c r="M892">
        <v>7</v>
      </c>
      <c r="N892" t="s">
        <v>64</v>
      </c>
    </row>
    <row r="893" spans="1:14" x14ac:dyDescent="0.3">
      <c r="A893" s="1">
        <v>45443</v>
      </c>
      <c r="B893" t="s">
        <v>29</v>
      </c>
      <c r="C893" t="s">
        <v>11</v>
      </c>
      <c r="D893" t="s">
        <v>12</v>
      </c>
      <c r="E893">
        <v>6</v>
      </c>
      <c r="F893">
        <v>5124</v>
      </c>
      <c r="G893">
        <v>501.5</v>
      </c>
      <c r="H893">
        <v>2024</v>
      </c>
      <c r="I893" t="s">
        <v>20</v>
      </c>
      <c r="J893" s="4">
        <v>9.7872755659640903E-2</v>
      </c>
      <c r="K893" t="s">
        <v>41</v>
      </c>
      <c r="L893" t="s">
        <v>59</v>
      </c>
      <c r="M893">
        <v>5</v>
      </c>
      <c r="N893" t="s">
        <v>20</v>
      </c>
    </row>
    <row r="894" spans="1:14" x14ac:dyDescent="0.3">
      <c r="A894" s="1">
        <v>45490</v>
      </c>
      <c r="B894" t="s">
        <v>29</v>
      </c>
      <c r="C894" t="s">
        <v>11</v>
      </c>
      <c r="D894" t="s">
        <v>17</v>
      </c>
      <c r="E894">
        <v>4</v>
      </c>
      <c r="F894">
        <v>724</v>
      </c>
      <c r="G894">
        <v>186.95</v>
      </c>
      <c r="H894">
        <v>2024</v>
      </c>
      <c r="I894" t="s">
        <v>25</v>
      </c>
      <c r="J894" s="4">
        <v>0.25821823204419903</v>
      </c>
      <c r="K894" t="s">
        <v>41</v>
      </c>
      <c r="L894" t="s">
        <v>60</v>
      </c>
      <c r="M894">
        <v>7</v>
      </c>
      <c r="N894" t="s">
        <v>64</v>
      </c>
    </row>
    <row r="895" spans="1:14" x14ac:dyDescent="0.3">
      <c r="A895" s="1">
        <v>45633</v>
      </c>
      <c r="B895" t="s">
        <v>29</v>
      </c>
      <c r="C895" t="s">
        <v>11</v>
      </c>
      <c r="D895" t="s">
        <v>19</v>
      </c>
      <c r="E895">
        <v>6</v>
      </c>
      <c r="F895">
        <v>6228</v>
      </c>
      <c r="G895">
        <v>1756.82</v>
      </c>
      <c r="H895">
        <v>2024</v>
      </c>
      <c r="I895" t="s">
        <v>13</v>
      </c>
      <c r="J895" s="4">
        <v>0.28208413615928102</v>
      </c>
      <c r="K895" t="s">
        <v>41</v>
      </c>
      <c r="L895" t="s">
        <v>52</v>
      </c>
      <c r="M895">
        <v>12</v>
      </c>
      <c r="N895" t="s">
        <v>53</v>
      </c>
    </row>
    <row r="896" spans="1:14" x14ac:dyDescent="0.3">
      <c r="A896" s="1">
        <v>45496</v>
      </c>
      <c r="B896" t="s">
        <v>29</v>
      </c>
      <c r="C896" t="s">
        <v>11</v>
      </c>
      <c r="D896" t="s">
        <v>17</v>
      </c>
      <c r="E896">
        <v>5</v>
      </c>
      <c r="F896">
        <v>5660</v>
      </c>
      <c r="G896">
        <v>641.69000000000005</v>
      </c>
      <c r="H896">
        <v>2024</v>
      </c>
      <c r="I896" t="s">
        <v>25</v>
      </c>
      <c r="J896" s="4">
        <v>0.113372791519435</v>
      </c>
      <c r="K896" t="s">
        <v>41</v>
      </c>
      <c r="L896" t="s">
        <v>60</v>
      </c>
      <c r="M896">
        <v>7</v>
      </c>
      <c r="N896" t="s">
        <v>64</v>
      </c>
    </row>
    <row r="897" spans="1:14" x14ac:dyDescent="0.3">
      <c r="A897" s="1">
        <v>45474</v>
      </c>
      <c r="B897" t="s">
        <v>29</v>
      </c>
      <c r="C897" t="s">
        <v>11</v>
      </c>
      <c r="D897" t="s">
        <v>22</v>
      </c>
      <c r="E897">
        <v>7</v>
      </c>
      <c r="F897">
        <v>630</v>
      </c>
      <c r="G897">
        <v>83.28</v>
      </c>
      <c r="H897">
        <v>2024</v>
      </c>
      <c r="I897" t="s">
        <v>25</v>
      </c>
      <c r="J897" s="4">
        <v>0.132190476190476</v>
      </c>
      <c r="K897" t="s">
        <v>41</v>
      </c>
      <c r="L897" t="s">
        <v>60</v>
      </c>
      <c r="M897">
        <v>7</v>
      </c>
      <c r="N897" t="s">
        <v>64</v>
      </c>
    </row>
    <row r="898" spans="1:14" x14ac:dyDescent="0.3">
      <c r="A898" s="1">
        <v>45610</v>
      </c>
      <c r="B898" t="s">
        <v>29</v>
      </c>
      <c r="C898" t="s">
        <v>11</v>
      </c>
      <c r="D898" t="s">
        <v>19</v>
      </c>
      <c r="E898">
        <v>9</v>
      </c>
      <c r="F898">
        <v>5238</v>
      </c>
      <c r="G898">
        <v>1152.42</v>
      </c>
      <c r="H898">
        <v>2024</v>
      </c>
      <c r="I898" t="s">
        <v>18</v>
      </c>
      <c r="J898" s="4">
        <v>0.220011454753723</v>
      </c>
      <c r="K898" t="s">
        <v>41</v>
      </c>
      <c r="L898" t="s">
        <v>52</v>
      </c>
      <c r="M898">
        <v>11</v>
      </c>
      <c r="N898" t="s">
        <v>58</v>
      </c>
    </row>
    <row r="899" spans="1:14" x14ac:dyDescent="0.3">
      <c r="A899" s="1">
        <v>45402</v>
      </c>
      <c r="B899" t="s">
        <v>29</v>
      </c>
      <c r="C899" t="s">
        <v>11</v>
      </c>
      <c r="D899" t="s">
        <v>19</v>
      </c>
      <c r="E899">
        <v>8</v>
      </c>
      <c r="F899">
        <v>3976</v>
      </c>
      <c r="G899">
        <v>1170.3599999999999</v>
      </c>
      <c r="H899">
        <v>2024</v>
      </c>
      <c r="I899" t="s">
        <v>23</v>
      </c>
      <c r="J899" s="4">
        <v>0.29435613682092598</v>
      </c>
      <c r="K899" t="s">
        <v>41</v>
      </c>
      <c r="L899" t="s">
        <v>59</v>
      </c>
      <c r="M899">
        <v>4</v>
      </c>
      <c r="N899" t="s">
        <v>62</v>
      </c>
    </row>
    <row r="900" spans="1:14" x14ac:dyDescent="0.3">
      <c r="A900" s="1">
        <v>45619</v>
      </c>
      <c r="B900" t="s">
        <v>29</v>
      </c>
      <c r="C900" t="s">
        <v>11</v>
      </c>
      <c r="D900" t="s">
        <v>12</v>
      </c>
      <c r="E900">
        <v>4</v>
      </c>
      <c r="F900">
        <v>4252</v>
      </c>
      <c r="G900">
        <v>445.18</v>
      </c>
      <c r="H900">
        <v>2024</v>
      </c>
      <c r="I900" t="s">
        <v>18</v>
      </c>
      <c r="J900" s="4">
        <v>0.10469896519285</v>
      </c>
      <c r="K900" t="s">
        <v>41</v>
      </c>
      <c r="L900" t="s">
        <v>52</v>
      </c>
      <c r="M900">
        <v>11</v>
      </c>
      <c r="N900" t="s">
        <v>58</v>
      </c>
    </row>
    <row r="901" spans="1:14" x14ac:dyDescent="0.3">
      <c r="A901" s="1">
        <v>45306</v>
      </c>
      <c r="B901" t="s">
        <v>29</v>
      </c>
      <c r="C901" t="s">
        <v>11</v>
      </c>
      <c r="D901" t="s">
        <v>22</v>
      </c>
      <c r="E901">
        <v>7</v>
      </c>
      <c r="F901">
        <v>6874</v>
      </c>
      <c r="G901">
        <v>454.53</v>
      </c>
      <c r="H901">
        <v>2024</v>
      </c>
      <c r="I901" t="s">
        <v>26</v>
      </c>
      <c r="J901" s="4">
        <v>6.6123072446901396E-2</v>
      </c>
      <c r="K901" t="s">
        <v>41</v>
      </c>
      <c r="L901" t="s">
        <v>55</v>
      </c>
      <c r="M901">
        <v>1</v>
      </c>
      <c r="N901" t="s">
        <v>65</v>
      </c>
    </row>
    <row r="902" spans="1:14" x14ac:dyDescent="0.3">
      <c r="A902" s="1">
        <v>45642</v>
      </c>
      <c r="B902" t="s">
        <v>29</v>
      </c>
      <c r="C902" t="s">
        <v>11</v>
      </c>
      <c r="D902" t="s">
        <v>19</v>
      </c>
      <c r="E902">
        <v>8</v>
      </c>
      <c r="F902">
        <v>5376</v>
      </c>
      <c r="G902">
        <v>429.84</v>
      </c>
      <c r="H902">
        <v>2024</v>
      </c>
      <c r="I902" t="s">
        <v>13</v>
      </c>
      <c r="J902" s="4">
        <v>7.9955357142857106E-2</v>
      </c>
      <c r="K902" t="s">
        <v>41</v>
      </c>
      <c r="L902" t="s">
        <v>52</v>
      </c>
      <c r="M902">
        <v>12</v>
      </c>
      <c r="N902" t="s">
        <v>53</v>
      </c>
    </row>
    <row r="903" spans="1:14" x14ac:dyDescent="0.3">
      <c r="A903" s="1">
        <v>45609</v>
      </c>
      <c r="B903" t="s">
        <v>29</v>
      </c>
      <c r="C903" t="s">
        <v>11</v>
      </c>
      <c r="D903" t="s">
        <v>12</v>
      </c>
      <c r="E903">
        <v>1</v>
      </c>
      <c r="F903">
        <v>414</v>
      </c>
      <c r="G903">
        <v>50.26</v>
      </c>
      <c r="H903">
        <v>2024</v>
      </c>
      <c r="I903" t="s">
        <v>18</v>
      </c>
      <c r="J903" s="4">
        <v>0.121400966183575</v>
      </c>
      <c r="K903" t="s">
        <v>41</v>
      </c>
      <c r="L903" t="s">
        <v>52</v>
      </c>
      <c r="M903">
        <v>11</v>
      </c>
      <c r="N903" t="s">
        <v>58</v>
      </c>
    </row>
    <row r="904" spans="1:14" x14ac:dyDescent="0.3">
      <c r="A904" s="1">
        <v>45434</v>
      </c>
      <c r="B904" t="s">
        <v>29</v>
      </c>
      <c r="C904" t="s">
        <v>11</v>
      </c>
      <c r="D904" t="s">
        <v>22</v>
      </c>
      <c r="E904">
        <v>3</v>
      </c>
      <c r="F904">
        <v>726</v>
      </c>
      <c r="G904">
        <v>71.06</v>
      </c>
      <c r="H904">
        <v>2024</v>
      </c>
      <c r="I904" t="s">
        <v>20</v>
      </c>
      <c r="J904" s="4">
        <v>9.7878787878787898E-2</v>
      </c>
      <c r="K904" t="s">
        <v>41</v>
      </c>
      <c r="L904" t="s">
        <v>59</v>
      </c>
      <c r="M904">
        <v>5</v>
      </c>
      <c r="N904" t="s">
        <v>20</v>
      </c>
    </row>
    <row r="905" spans="1:14" x14ac:dyDescent="0.3">
      <c r="A905" s="1">
        <v>45310</v>
      </c>
      <c r="B905" t="s">
        <v>29</v>
      </c>
      <c r="C905" t="s">
        <v>11</v>
      </c>
      <c r="D905" t="s">
        <v>12</v>
      </c>
      <c r="E905">
        <v>3</v>
      </c>
      <c r="F905">
        <v>3549</v>
      </c>
      <c r="G905">
        <v>996.05</v>
      </c>
      <c r="H905">
        <v>2024</v>
      </c>
      <c r="I905" t="s">
        <v>26</v>
      </c>
      <c r="J905" s="4">
        <v>0.28065652296421501</v>
      </c>
      <c r="K905" t="s">
        <v>41</v>
      </c>
      <c r="L905" t="s">
        <v>55</v>
      </c>
      <c r="M905">
        <v>1</v>
      </c>
      <c r="N905" t="s">
        <v>65</v>
      </c>
    </row>
    <row r="906" spans="1:14" x14ac:dyDescent="0.3">
      <c r="A906" s="1">
        <v>45347</v>
      </c>
      <c r="B906" t="s">
        <v>29</v>
      </c>
      <c r="C906" t="s">
        <v>11</v>
      </c>
      <c r="D906" t="s">
        <v>17</v>
      </c>
      <c r="E906">
        <v>2</v>
      </c>
      <c r="F906">
        <v>1458</v>
      </c>
      <c r="G906">
        <v>154.79</v>
      </c>
      <c r="H906">
        <v>2024</v>
      </c>
      <c r="I906" t="s">
        <v>16</v>
      </c>
      <c r="J906" s="4">
        <v>0.10616598079561</v>
      </c>
      <c r="K906" t="s">
        <v>41</v>
      </c>
      <c r="L906" t="s">
        <v>55</v>
      </c>
      <c r="M906">
        <v>2</v>
      </c>
      <c r="N906" t="s">
        <v>57</v>
      </c>
    </row>
    <row r="907" spans="1:14" x14ac:dyDescent="0.3">
      <c r="A907" s="1">
        <v>45429</v>
      </c>
      <c r="B907" t="s">
        <v>29</v>
      </c>
      <c r="C907" t="s">
        <v>11</v>
      </c>
      <c r="D907" t="s">
        <v>12</v>
      </c>
      <c r="E907">
        <v>8</v>
      </c>
      <c r="F907">
        <v>6584</v>
      </c>
      <c r="G907">
        <v>544.62</v>
      </c>
      <c r="H907">
        <v>2024</v>
      </c>
      <c r="I907" t="s">
        <v>20</v>
      </c>
      <c r="J907" s="4">
        <v>8.2718712029161603E-2</v>
      </c>
      <c r="K907" t="s">
        <v>41</v>
      </c>
      <c r="L907" t="s">
        <v>59</v>
      </c>
      <c r="M907">
        <v>5</v>
      </c>
      <c r="N907" t="s">
        <v>20</v>
      </c>
    </row>
    <row r="908" spans="1:14" x14ac:dyDescent="0.3">
      <c r="A908" s="1">
        <v>45616</v>
      </c>
      <c r="B908" t="s">
        <v>29</v>
      </c>
      <c r="C908" t="s">
        <v>11</v>
      </c>
      <c r="D908" t="s">
        <v>12</v>
      </c>
      <c r="E908">
        <v>3</v>
      </c>
      <c r="F908">
        <v>1923</v>
      </c>
      <c r="G908">
        <v>274</v>
      </c>
      <c r="H908">
        <v>2024</v>
      </c>
      <c r="I908" t="s">
        <v>18</v>
      </c>
      <c r="J908" s="4">
        <v>0.14248569942797701</v>
      </c>
      <c r="K908" t="s">
        <v>41</v>
      </c>
      <c r="L908" t="s">
        <v>52</v>
      </c>
      <c r="M908">
        <v>11</v>
      </c>
      <c r="N908" t="s">
        <v>58</v>
      </c>
    </row>
    <row r="909" spans="1:14" x14ac:dyDescent="0.3">
      <c r="A909" s="1">
        <v>45540</v>
      </c>
      <c r="B909" t="s">
        <v>29</v>
      </c>
      <c r="C909" t="s">
        <v>11</v>
      </c>
      <c r="D909" t="s">
        <v>22</v>
      </c>
      <c r="E909">
        <v>7</v>
      </c>
      <c r="F909">
        <v>3591</v>
      </c>
      <c r="G909">
        <v>266.58999999999997</v>
      </c>
      <c r="H909">
        <v>2024</v>
      </c>
      <c r="I909" t="s">
        <v>21</v>
      </c>
      <c r="J909" s="4">
        <v>7.4238373712057895E-2</v>
      </c>
      <c r="K909" t="s">
        <v>41</v>
      </c>
      <c r="L909" t="s">
        <v>60</v>
      </c>
      <c r="M909">
        <v>9</v>
      </c>
      <c r="N909" t="s">
        <v>61</v>
      </c>
    </row>
    <row r="910" spans="1:14" x14ac:dyDescent="0.3">
      <c r="A910" s="1">
        <v>45589</v>
      </c>
      <c r="B910" t="s">
        <v>29</v>
      </c>
      <c r="C910" t="s">
        <v>11</v>
      </c>
      <c r="D910" t="s">
        <v>17</v>
      </c>
      <c r="E910">
        <v>3</v>
      </c>
      <c r="F910">
        <v>3336</v>
      </c>
      <c r="G910">
        <v>798.26</v>
      </c>
      <c r="H910">
        <v>2024</v>
      </c>
      <c r="I910" t="s">
        <v>14</v>
      </c>
      <c r="J910" s="4">
        <v>0.23928657074340501</v>
      </c>
      <c r="K910" t="s">
        <v>41</v>
      </c>
      <c r="L910" t="s">
        <v>52</v>
      </c>
      <c r="M910">
        <v>10</v>
      </c>
      <c r="N910" t="s">
        <v>54</v>
      </c>
    </row>
    <row r="911" spans="1:14" x14ac:dyDescent="0.3">
      <c r="A911" s="1">
        <v>45385</v>
      </c>
      <c r="B911" t="s">
        <v>29</v>
      </c>
      <c r="C911" t="s">
        <v>11</v>
      </c>
      <c r="D911" t="s">
        <v>19</v>
      </c>
      <c r="E911">
        <v>2</v>
      </c>
      <c r="F911">
        <v>1026</v>
      </c>
      <c r="G911">
        <v>279.76</v>
      </c>
      <c r="H911">
        <v>2024</v>
      </c>
      <c r="I911" t="s">
        <v>23</v>
      </c>
      <c r="J911" s="4">
        <v>0.27267056530214401</v>
      </c>
      <c r="K911" t="s">
        <v>41</v>
      </c>
      <c r="L911" t="s">
        <v>59</v>
      </c>
      <c r="M911">
        <v>4</v>
      </c>
      <c r="N911" t="s">
        <v>62</v>
      </c>
    </row>
    <row r="912" spans="1:14" x14ac:dyDescent="0.3">
      <c r="A912" s="1">
        <v>45613</v>
      </c>
      <c r="B912" t="s">
        <v>29</v>
      </c>
      <c r="C912" t="s">
        <v>11</v>
      </c>
      <c r="D912" t="s">
        <v>12</v>
      </c>
      <c r="E912">
        <v>2</v>
      </c>
      <c r="F912">
        <v>210</v>
      </c>
      <c r="G912">
        <v>42.04</v>
      </c>
      <c r="H912">
        <v>2024</v>
      </c>
      <c r="I912" t="s">
        <v>18</v>
      </c>
      <c r="J912" s="4">
        <v>0.200190476190476</v>
      </c>
      <c r="K912" t="s">
        <v>41</v>
      </c>
      <c r="L912" t="s">
        <v>52</v>
      </c>
      <c r="M912">
        <v>11</v>
      </c>
      <c r="N912" t="s">
        <v>58</v>
      </c>
    </row>
    <row r="913" spans="1:14" x14ac:dyDescent="0.3">
      <c r="A913" s="1">
        <v>45547</v>
      </c>
      <c r="B913" t="s">
        <v>29</v>
      </c>
      <c r="C913" t="s">
        <v>11</v>
      </c>
      <c r="D913" t="s">
        <v>17</v>
      </c>
      <c r="E913">
        <v>4</v>
      </c>
      <c r="F913">
        <v>380</v>
      </c>
      <c r="G913">
        <v>72.88</v>
      </c>
      <c r="H913">
        <v>2024</v>
      </c>
      <c r="I913" t="s">
        <v>21</v>
      </c>
      <c r="J913" s="4">
        <v>0.19178947368421001</v>
      </c>
      <c r="K913" t="s">
        <v>41</v>
      </c>
      <c r="L913" t="s">
        <v>60</v>
      </c>
      <c r="M913">
        <v>9</v>
      </c>
      <c r="N913" t="s">
        <v>61</v>
      </c>
    </row>
    <row r="914" spans="1:14" x14ac:dyDescent="0.3">
      <c r="A914" s="1">
        <v>45367</v>
      </c>
      <c r="B914" t="s">
        <v>29</v>
      </c>
      <c r="C914" t="s">
        <v>11</v>
      </c>
      <c r="D914" t="s">
        <v>17</v>
      </c>
      <c r="E914">
        <v>7</v>
      </c>
      <c r="F914">
        <v>1897</v>
      </c>
      <c r="G914">
        <v>524.69000000000005</v>
      </c>
      <c r="H914">
        <v>2024</v>
      </c>
      <c r="I914" t="s">
        <v>15</v>
      </c>
      <c r="J914" s="4">
        <v>0.27658935160780201</v>
      </c>
      <c r="K914" t="s">
        <v>41</v>
      </c>
      <c r="L914" t="s">
        <v>55</v>
      </c>
      <c r="M914">
        <v>3</v>
      </c>
      <c r="N914" t="s">
        <v>56</v>
      </c>
    </row>
    <row r="915" spans="1:14" x14ac:dyDescent="0.3">
      <c r="A915" s="1">
        <v>45373</v>
      </c>
      <c r="B915" t="s">
        <v>29</v>
      </c>
      <c r="C915" t="s">
        <v>11</v>
      </c>
      <c r="D915" t="s">
        <v>19</v>
      </c>
      <c r="E915">
        <v>1</v>
      </c>
      <c r="F915">
        <v>477</v>
      </c>
      <c r="G915">
        <v>56.49</v>
      </c>
      <c r="H915">
        <v>2024</v>
      </c>
      <c r="I915" t="s">
        <v>15</v>
      </c>
      <c r="J915" s="4">
        <v>0.11842767295597501</v>
      </c>
      <c r="K915" t="s">
        <v>41</v>
      </c>
      <c r="L915" t="s">
        <v>55</v>
      </c>
      <c r="M915">
        <v>3</v>
      </c>
      <c r="N915" t="s">
        <v>56</v>
      </c>
    </row>
    <row r="916" spans="1:14" x14ac:dyDescent="0.3">
      <c r="A916" s="1">
        <v>45408</v>
      </c>
      <c r="B916" t="s">
        <v>29</v>
      </c>
      <c r="C916" t="s">
        <v>11</v>
      </c>
      <c r="D916" t="s">
        <v>19</v>
      </c>
      <c r="E916">
        <v>7</v>
      </c>
      <c r="F916">
        <v>1582</v>
      </c>
      <c r="G916">
        <v>208.42</v>
      </c>
      <c r="H916">
        <v>2024</v>
      </c>
      <c r="I916" t="s">
        <v>23</v>
      </c>
      <c r="J916" s="4">
        <v>0.13174462705436199</v>
      </c>
      <c r="K916" t="s">
        <v>41</v>
      </c>
      <c r="L916" t="s">
        <v>59</v>
      </c>
      <c r="M916">
        <v>4</v>
      </c>
      <c r="N916" t="s">
        <v>62</v>
      </c>
    </row>
    <row r="917" spans="1:14" x14ac:dyDescent="0.3">
      <c r="A917" s="1">
        <v>45450</v>
      </c>
      <c r="B917" t="s">
        <v>29</v>
      </c>
      <c r="C917" t="s">
        <v>11</v>
      </c>
      <c r="D917" t="s">
        <v>12</v>
      </c>
      <c r="E917">
        <v>9</v>
      </c>
      <c r="F917">
        <v>6507</v>
      </c>
      <c r="G917">
        <v>1075.51</v>
      </c>
      <c r="H917">
        <v>2024</v>
      </c>
      <c r="I917" t="s">
        <v>27</v>
      </c>
      <c r="J917" s="4">
        <v>0.16528507760872899</v>
      </c>
      <c r="K917" t="s">
        <v>41</v>
      </c>
      <c r="L917" t="s">
        <v>59</v>
      </c>
      <c r="M917">
        <v>6</v>
      </c>
      <c r="N917" t="s">
        <v>66</v>
      </c>
    </row>
    <row r="918" spans="1:14" x14ac:dyDescent="0.3">
      <c r="A918" s="1">
        <v>45510</v>
      </c>
      <c r="B918" t="s">
        <v>29</v>
      </c>
      <c r="C918" t="s">
        <v>11</v>
      </c>
      <c r="D918" t="s">
        <v>12</v>
      </c>
      <c r="E918">
        <v>9</v>
      </c>
      <c r="F918">
        <v>4149</v>
      </c>
      <c r="G918">
        <v>605.52</v>
      </c>
      <c r="H918">
        <v>2024</v>
      </c>
      <c r="I918" t="s">
        <v>24</v>
      </c>
      <c r="J918" s="4">
        <v>0.14594360086767899</v>
      </c>
      <c r="K918" t="s">
        <v>41</v>
      </c>
      <c r="L918" t="s">
        <v>60</v>
      </c>
      <c r="M918">
        <v>8</v>
      </c>
      <c r="N918" t="s">
        <v>63</v>
      </c>
    </row>
    <row r="919" spans="1:14" x14ac:dyDescent="0.3">
      <c r="A919" s="1">
        <v>45351</v>
      </c>
      <c r="B919" t="s">
        <v>29</v>
      </c>
      <c r="C919" t="s">
        <v>11</v>
      </c>
      <c r="D919" t="s">
        <v>19</v>
      </c>
      <c r="E919">
        <v>7</v>
      </c>
      <c r="F919">
        <v>1981</v>
      </c>
      <c r="G919">
        <v>311.44</v>
      </c>
      <c r="H919">
        <v>2024</v>
      </c>
      <c r="I919" t="s">
        <v>16</v>
      </c>
      <c r="J919" s="4">
        <v>0.157213528520949</v>
      </c>
      <c r="K919" t="s">
        <v>41</v>
      </c>
      <c r="L919" t="s">
        <v>55</v>
      </c>
      <c r="M919">
        <v>2</v>
      </c>
      <c r="N919" t="s">
        <v>57</v>
      </c>
    </row>
    <row r="920" spans="1:14" x14ac:dyDescent="0.3">
      <c r="A920" s="1">
        <v>45442</v>
      </c>
      <c r="B920" t="s">
        <v>29</v>
      </c>
      <c r="C920" t="s">
        <v>11</v>
      </c>
      <c r="D920" t="s">
        <v>17</v>
      </c>
      <c r="E920">
        <v>8</v>
      </c>
      <c r="F920">
        <v>6960</v>
      </c>
      <c r="G920">
        <v>1913.58</v>
      </c>
      <c r="H920">
        <v>2024</v>
      </c>
      <c r="I920" t="s">
        <v>20</v>
      </c>
      <c r="J920" s="4">
        <v>0.27493965517241398</v>
      </c>
      <c r="K920" t="s">
        <v>41</v>
      </c>
      <c r="L920" t="s">
        <v>59</v>
      </c>
      <c r="M920">
        <v>5</v>
      </c>
      <c r="N920" t="s">
        <v>20</v>
      </c>
    </row>
    <row r="921" spans="1:14" x14ac:dyDescent="0.3">
      <c r="A921" s="1">
        <v>45443</v>
      </c>
      <c r="B921" t="s">
        <v>29</v>
      </c>
      <c r="C921" t="s">
        <v>11</v>
      </c>
      <c r="D921" t="s">
        <v>12</v>
      </c>
      <c r="E921">
        <v>7</v>
      </c>
      <c r="F921">
        <v>1169</v>
      </c>
      <c r="G921">
        <v>69.41</v>
      </c>
      <c r="H921">
        <v>2024</v>
      </c>
      <c r="I921" t="s">
        <v>20</v>
      </c>
      <c r="J921" s="4">
        <v>5.9375534644995703E-2</v>
      </c>
      <c r="K921" t="s">
        <v>41</v>
      </c>
      <c r="L921" t="s">
        <v>59</v>
      </c>
      <c r="M921">
        <v>5</v>
      </c>
      <c r="N921" t="s">
        <v>20</v>
      </c>
    </row>
    <row r="922" spans="1:14" x14ac:dyDescent="0.3">
      <c r="A922" s="1">
        <v>45432</v>
      </c>
      <c r="B922" t="s">
        <v>29</v>
      </c>
      <c r="C922" t="s">
        <v>11</v>
      </c>
      <c r="D922" t="s">
        <v>22</v>
      </c>
      <c r="E922">
        <v>8</v>
      </c>
      <c r="F922">
        <v>984</v>
      </c>
      <c r="G922">
        <v>73.84</v>
      </c>
      <c r="H922">
        <v>2024</v>
      </c>
      <c r="I922" t="s">
        <v>20</v>
      </c>
      <c r="J922" s="4">
        <v>7.5040650406504095E-2</v>
      </c>
      <c r="K922" t="s">
        <v>41</v>
      </c>
      <c r="L922" t="s">
        <v>59</v>
      </c>
      <c r="M922">
        <v>5</v>
      </c>
      <c r="N922" t="s">
        <v>20</v>
      </c>
    </row>
    <row r="923" spans="1:14" x14ac:dyDescent="0.3">
      <c r="A923" s="1">
        <v>45565</v>
      </c>
      <c r="B923" t="s">
        <v>29</v>
      </c>
      <c r="C923" t="s">
        <v>11</v>
      </c>
      <c r="D923" t="s">
        <v>19</v>
      </c>
      <c r="E923">
        <v>2</v>
      </c>
      <c r="F923">
        <v>2178</v>
      </c>
      <c r="G923">
        <v>574.4</v>
      </c>
      <c r="H923">
        <v>2024</v>
      </c>
      <c r="I923" t="s">
        <v>21</v>
      </c>
      <c r="J923" s="4">
        <v>0.26372819100091799</v>
      </c>
      <c r="K923" t="s">
        <v>41</v>
      </c>
      <c r="L923" t="s">
        <v>60</v>
      </c>
      <c r="M923">
        <v>9</v>
      </c>
      <c r="N923" t="s">
        <v>61</v>
      </c>
    </row>
    <row r="924" spans="1:14" x14ac:dyDescent="0.3">
      <c r="A924" s="1">
        <v>45590</v>
      </c>
      <c r="B924" t="s">
        <v>29</v>
      </c>
      <c r="C924" t="s">
        <v>11</v>
      </c>
      <c r="D924" t="s">
        <v>12</v>
      </c>
      <c r="E924">
        <v>8</v>
      </c>
      <c r="F924">
        <v>8336</v>
      </c>
      <c r="G924">
        <v>782.8</v>
      </c>
      <c r="H924">
        <v>2024</v>
      </c>
      <c r="I924" t="s">
        <v>14</v>
      </c>
      <c r="J924" s="4">
        <v>9.3905950095969304E-2</v>
      </c>
      <c r="K924" t="s">
        <v>41</v>
      </c>
      <c r="L924" t="s">
        <v>52</v>
      </c>
      <c r="M924">
        <v>10</v>
      </c>
      <c r="N924" t="s">
        <v>54</v>
      </c>
    </row>
    <row r="925" spans="1:14" x14ac:dyDescent="0.3">
      <c r="A925" s="1">
        <v>45318</v>
      </c>
      <c r="B925" t="s">
        <v>29</v>
      </c>
      <c r="C925" t="s">
        <v>11</v>
      </c>
      <c r="D925" t="s">
        <v>22</v>
      </c>
      <c r="E925">
        <v>8</v>
      </c>
      <c r="F925">
        <v>4032</v>
      </c>
      <c r="G925">
        <v>251.05</v>
      </c>
      <c r="H925">
        <v>2024</v>
      </c>
      <c r="I925" t="s">
        <v>26</v>
      </c>
      <c r="J925" s="4">
        <v>6.2264384920634901E-2</v>
      </c>
      <c r="K925" t="s">
        <v>41</v>
      </c>
      <c r="L925" t="s">
        <v>55</v>
      </c>
      <c r="M925">
        <v>1</v>
      </c>
      <c r="N925" t="s">
        <v>65</v>
      </c>
    </row>
    <row r="926" spans="1:14" x14ac:dyDescent="0.3">
      <c r="A926" s="1">
        <v>45497</v>
      </c>
      <c r="B926" t="s">
        <v>29</v>
      </c>
      <c r="C926" t="s">
        <v>11</v>
      </c>
      <c r="D926" t="s">
        <v>22</v>
      </c>
      <c r="E926">
        <v>8</v>
      </c>
      <c r="F926">
        <v>5176</v>
      </c>
      <c r="G926">
        <v>619.45000000000005</v>
      </c>
      <c r="H926">
        <v>2024</v>
      </c>
      <c r="I926" t="s">
        <v>25</v>
      </c>
      <c r="J926" s="4">
        <v>0.11967735703245801</v>
      </c>
      <c r="K926" t="s">
        <v>41</v>
      </c>
      <c r="L926" t="s">
        <v>60</v>
      </c>
      <c r="M926">
        <v>7</v>
      </c>
      <c r="N926" t="s">
        <v>64</v>
      </c>
    </row>
    <row r="927" spans="1:14" x14ac:dyDescent="0.3">
      <c r="A927" s="1">
        <v>45583</v>
      </c>
      <c r="B927" t="s">
        <v>29</v>
      </c>
      <c r="C927" t="s">
        <v>11</v>
      </c>
      <c r="D927" t="s">
        <v>19</v>
      </c>
      <c r="E927">
        <v>1</v>
      </c>
      <c r="F927">
        <v>123</v>
      </c>
      <c r="G927">
        <v>12.36</v>
      </c>
      <c r="H927">
        <v>2024</v>
      </c>
      <c r="I927" t="s">
        <v>14</v>
      </c>
      <c r="J927" s="4">
        <v>0.10048780487804899</v>
      </c>
      <c r="K927" t="s">
        <v>41</v>
      </c>
      <c r="L927" t="s">
        <v>52</v>
      </c>
      <c r="M927">
        <v>10</v>
      </c>
      <c r="N927" t="s">
        <v>54</v>
      </c>
    </row>
    <row r="928" spans="1:14" x14ac:dyDescent="0.3">
      <c r="A928" s="1">
        <v>45591</v>
      </c>
      <c r="B928" t="s">
        <v>29</v>
      </c>
      <c r="C928" t="s">
        <v>11</v>
      </c>
      <c r="D928" t="s">
        <v>22</v>
      </c>
      <c r="E928">
        <v>5</v>
      </c>
      <c r="F928">
        <v>4900</v>
      </c>
      <c r="G928">
        <v>347.25</v>
      </c>
      <c r="H928">
        <v>2024</v>
      </c>
      <c r="I928" t="s">
        <v>14</v>
      </c>
      <c r="J928" s="4">
        <v>7.08673469387755E-2</v>
      </c>
      <c r="K928" t="s">
        <v>41</v>
      </c>
      <c r="L928" t="s">
        <v>52</v>
      </c>
      <c r="M928">
        <v>10</v>
      </c>
      <c r="N928" t="s">
        <v>54</v>
      </c>
    </row>
    <row r="929" spans="1:14" x14ac:dyDescent="0.3">
      <c r="A929" s="1">
        <v>45307</v>
      </c>
      <c r="B929" t="s">
        <v>29</v>
      </c>
      <c r="C929" t="s">
        <v>11</v>
      </c>
      <c r="D929" t="s">
        <v>12</v>
      </c>
      <c r="E929">
        <v>6</v>
      </c>
      <c r="F929">
        <v>966</v>
      </c>
      <c r="G929">
        <v>246.21</v>
      </c>
      <c r="H929">
        <v>2024</v>
      </c>
      <c r="I929" t="s">
        <v>26</v>
      </c>
      <c r="J929" s="4">
        <v>0.25487577639751602</v>
      </c>
      <c r="K929" t="s">
        <v>41</v>
      </c>
      <c r="L929" t="s">
        <v>55</v>
      </c>
      <c r="M929">
        <v>1</v>
      </c>
      <c r="N929" t="s">
        <v>65</v>
      </c>
    </row>
    <row r="930" spans="1:14" x14ac:dyDescent="0.3">
      <c r="A930" s="1">
        <v>45636</v>
      </c>
      <c r="B930" t="s">
        <v>29</v>
      </c>
      <c r="C930" t="s">
        <v>11</v>
      </c>
      <c r="D930" t="s">
        <v>12</v>
      </c>
      <c r="E930">
        <v>3</v>
      </c>
      <c r="F930">
        <v>2262</v>
      </c>
      <c r="G930">
        <v>245.66</v>
      </c>
      <c r="H930">
        <v>2024</v>
      </c>
      <c r="I930" t="s">
        <v>13</v>
      </c>
      <c r="J930" s="4">
        <v>0.10860300618921299</v>
      </c>
      <c r="K930" t="s">
        <v>41</v>
      </c>
      <c r="L930" t="s">
        <v>52</v>
      </c>
      <c r="M930">
        <v>12</v>
      </c>
      <c r="N930" t="s">
        <v>53</v>
      </c>
    </row>
    <row r="931" spans="1:14" x14ac:dyDescent="0.3">
      <c r="A931" s="1">
        <v>45424</v>
      </c>
      <c r="B931" t="s">
        <v>29</v>
      </c>
      <c r="C931" t="s">
        <v>11</v>
      </c>
      <c r="D931" t="s">
        <v>12</v>
      </c>
      <c r="E931">
        <v>8</v>
      </c>
      <c r="F931">
        <v>1848</v>
      </c>
      <c r="G931">
        <v>351.02</v>
      </c>
      <c r="H931">
        <v>2024</v>
      </c>
      <c r="I931" t="s">
        <v>20</v>
      </c>
      <c r="J931" s="4">
        <v>0.189945887445887</v>
      </c>
      <c r="K931" t="s">
        <v>41</v>
      </c>
      <c r="L931" t="s">
        <v>59</v>
      </c>
      <c r="M931">
        <v>5</v>
      </c>
      <c r="N931" t="s">
        <v>20</v>
      </c>
    </row>
    <row r="932" spans="1:14" x14ac:dyDescent="0.3">
      <c r="A932" s="1">
        <v>45436</v>
      </c>
      <c r="B932" t="s">
        <v>29</v>
      </c>
      <c r="C932" t="s">
        <v>11</v>
      </c>
      <c r="D932" t="s">
        <v>22</v>
      </c>
      <c r="E932">
        <v>4</v>
      </c>
      <c r="F932">
        <v>2232</v>
      </c>
      <c r="G932">
        <v>531.12</v>
      </c>
      <c r="H932">
        <v>2024</v>
      </c>
      <c r="I932" t="s">
        <v>20</v>
      </c>
      <c r="J932" s="4">
        <v>0.23795698924731201</v>
      </c>
      <c r="K932" t="s">
        <v>41</v>
      </c>
      <c r="L932" t="s">
        <v>59</v>
      </c>
      <c r="M932">
        <v>5</v>
      </c>
      <c r="N932" t="s">
        <v>20</v>
      </c>
    </row>
    <row r="933" spans="1:14" x14ac:dyDescent="0.3">
      <c r="A933" s="1">
        <v>45348</v>
      </c>
      <c r="B933" t="s">
        <v>29</v>
      </c>
      <c r="C933" t="s">
        <v>11</v>
      </c>
      <c r="D933" t="s">
        <v>19</v>
      </c>
      <c r="E933">
        <v>3</v>
      </c>
      <c r="F933">
        <v>2637</v>
      </c>
      <c r="G933">
        <v>468.6</v>
      </c>
      <c r="H933">
        <v>2024</v>
      </c>
      <c r="I933" t="s">
        <v>16</v>
      </c>
      <c r="J933" s="4">
        <v>0.17770193401592699</v>
      </c>
      <c r="K933" t="s">
        <v>41</v>
      </c>
      <c r="L933" t="s">
        <v>55</v>
      </c>
      <c r="M933">
        <v>2</v>
      </c>
      <c r="N933" t="s">
        <v>57</v>
      </c>
    </row>
    <row r="934" spans="1:14" x14ac:dyDescent="0.3">
      <c r="A934" s="1">
        <v>45379</v>
      </c>
      <c r="B934" t="s">
        <v>29</v>
      </c>
      <c r="C934" t="s">
        <v>11</v>
      </c>
      <c r="D934" t="s">
        <v>17</v>
      </c>
      <c r="E934">
        <v>5</v>
      </c>
      <c r="F934">
        <v>895</v>
      </c>
      <c r="G934">
        <v>180.64</v>
      </c>
      <c r="H934">
        <v>2024</v>
      </c>
      <c r="I934" t="s">
        <v>15</v>
      </c>
      <c r="J934" s="4">
        <v>0.201832402234637</v>
      </c>
      <c r="K934" t="s">
        <v>41</v>
      </c>
      <c r="L934" t="s">
        <v>55</v>
      </c>
      <c r="M934">
        <v>3</v>
      </c>
      <c r="N934" t="s">
        <v>56</v>
      </c>
    </row>
    <row r="935" spans="1:14" x14ac:dyDescent="0.3">
      <c r="A935" s="1">
        <v>45497</v>
      </c>
      <c r="B935" t="s">
        <v>29</v>
      </c>
      <c r="C935" t="s">
        <v>11</v>
      </c>
      <c r="D935" t="s">
        <v>12</v>
      </c>
      <c r="E935">
        <v>1</v>
      </c>
      <c r="F935">
        <v>99</v>
      </c>
      <c r="G935">
        <v>12.79</v>
      </c>
      <c r="H935">
        <v>2024</v>
      </c>
      <c r="I935" t="s">
        <v>25</v>
      </c>
      <c r="J935" s="4">
        <v>0.129191919191919</v>
      </c>
      <c r="K935" t="s">
        <v>41</v>
      </c>
      <c r="L935" t="s">
        <v>60</v>
      </c>
      <c r="M935">
        <v>7</v>
      </c>
      <c r="N935" t="s">
        <v>64</v>
      </c>
    </row>
    <row r="936" spans="1:14" x14ac:dyDescent="0.3">
      <c r="A936" s="1">
        <v>45461</v>
      </c>
      <c r="B936" t="s">
        <v>29</v>
      </c>
      <c r="C936" t="s">
        <v>11</v>
      </c>
      <c r="D936" t="s">
        <v>22</v>
      </c>
      <c r="E936">
        <v>3</v>
      </c>
      <c r="F936">
        <v>3393</v>
      </c>
      <c r="G936">
        <v>313.45</v>
      </c>
      <c r="H936">
        <v>2024</v>
      </c>
      <c r="I936" t="s">
        <v>27</v>
      </c>
      <c r="J936" s="4">
        <v>9.2381373415856199E-2</v>
      </c>
      <c r="K936" t="s">
        <v>41</v>
      </c>
      <c r="L936" t="s">
        <v>59</v>
      </c>
      <c r="M936">
        <v>6</v>
      </c>
      <c r="N936" t="s">
        <v>66</v>
      </c>
    </row>
    <row r="937" spans="1:14" x14ac:dyDescent="0.3">
      <c r="A937" s="1">
        <v>45399</v>
      </c>
      <c r="B937" t="s">
        <v>29</v>
      </c>
      <c r="C937" t="s">
        <v>11</v>
      </c>
      <c r="D937" t="s">
        <v>12</v>
      </c>
      <c r="E937">
        <v>3</v>
      </c>
      <c r="F937">
        <v>1248</v>
      </c>
      <c r="G937">
        <v>348.19</v>
      </c>
      <c r="H937">
        <v>2024</v>
      </c>
      <c r="I937" t="s">
        <v>23</v>
      </c>
      <c r="J937" s="4">
        <v>0.27899839743589699</v>
      </c>
      <c r="K937" t="s">
        <v>41</v>
      </c>
      <c r="L937" t="s">
        <v>59</v>
      </c>
      <c r="M937">
        <v>4</v>
      </c>
      <c r="N937" t="s">
        <v>62</v>
      </c>
    </row>
    <row r="938" spans="1:14" x14ac:dyDescent="0.3">
      <c r="A938" s="1">
        <v>45478</v>
      </c>
      <c r="B938" t="s">
        <v>29</v>
      </c>
      <c r="C938" t="s">
        <v>11</v>
      </c>
      <c r="D938" t="s">
        <v>17</v>
      </c>
      <c r="E938">
        <v>7</v>
      </c>
      <c r="F938">
        <v>4620</v>
      </c>
      <c r="G938">
        <v>990.79</v>
      </c>
      <c r="H938">
        <v>2024</v>
      </c>
      <c r="I938" t="s">
        <v>25</v>
      </c>
      <c r="J938" s="4">
        <v>0.21445670995671001</v>
      </c>
      <c r="K938" t="s">
        <v>41</v>
      </c>
      <c r="L938" t="s">
        <v>60</v>
      </c>
      <c r="M938">
        <v>7</v>
      </c>
      <c r="N938" t="s">
        <v>64</v>
      </c>
    </row>
    <row r="939" spans="1:14" x14ac:dyDescent="0.3">
      <c r="A939" s="1">
        <v>45650</v>
      </c>
      <c r="B939" t="s">
        <v>29</v>
      </c>
      <c r="C939" t="s">
        <v>11</v>
      </c>
      <c r="D939" t="s">
        <v>17</v>
      </c>
      <c r="E939">
        <v>9</v>
      </c>
      <c r="F939">
        <v>1359</v>
      </c>
      <c r="G939">
        <v>187.72</v>
      </c>
      <c r="H939">
        <v>2024</v>
      </c>
      <c r="I939" t="s">
        <v>13</v>
      </c>
      <c r="J939" s="4">
        <v>0.13813097866078</v>
      </c>
      <c r="K939" t="s">
        <v>41</v>
      </c>
      <c r="L939" t="s">
        <v>52</v>
      </c>
      <c r="M939">
        <v>12</v>
      </c>
      <c r="N939" t="s">
        <v>53</v>
      </c>
    </row>
    <row r="940" spans="1:14" x14ac:dyDescent="0.3">
      <c r="A940" s="1">
        <v>45390</v>
      </c>
      <c r="B940" t="s">
        <v>29</v>
      </c>
      <c r="C940" t="s">
        <v>11</v>
      </c>
      <c r="D940" t="s">
        <v>12</v>
      </c>
      <c r="E940">
        <v>4</v>
      </c>
      <c r="F940">
        <v>1500</v>
      </c>
      <c r="G940">
        <v>127.81</v>
      </c>
      <c r="H940">
        <v>2024</v>
      </c>
      <c r="I940" t="s">
        <v>23</v>
      </c>
      <c r="J940" s="4">
        <v>8.5206666666666694E-2</v>
      </c>
      <c r="K940" t="s">
        <v>41</v>
      </c>
      <c r="L940" t="s">
        <v>59</v>
      </c>
      <c r="M940">
        <v>4</v>
      </c>
      <c r="N940" t="s">
        <v>62</v>
      </c>
    </row>
    <row r="941" spans="1:14" x14ac:dyDescent="0.3">
      <c r="A941" s="1">
        <v>45583</v>
      </c>
      <c r="B941" t="s">
        <v>29</v>
      </c>
      <c r="C941" t="s">
        <v>11</v>
      </c>
      <c r="D941" t="s">
        <v>12</v>
      </c>
      <c r="E941">
        <v>5</v>
      </c>
      <c r="F941">
        <v>4560</v>
      </c>
      <c r="G941">
        <v>1180.8</v>
      </c>
      <c r="H941">
        <v>2024</v>
      </c>
      <c r="I941" t="s">
        <v>14</v>
      </c>
      <c r="J941" s="4">
        <v>0.25894736842105298</v>
      </c>
      <c r="K941" t="s">
        <v>41</v>
      </c>
      <c r="L941" t="s">
        <v>52</v>
      </c>
      <c r="M941">
        <v>10</v>
      </c>
      <c r="N941" t="s">
        <v>54</v>
      </c>
    </row>
    <row r="942" spans="1:14" x14ac:dyDescent="0.3">
      <c r="A942" s="1">
        <v>45639</v>
      </c>
      <c r="B942" t="s">
        <v>29</v>
      </c>
      <c r="C942" t="s">
        <v>11</v>
      </c>
      <c r="D942" t="s">
        <v>17</v>
      </c>
      <c r="E942">
        <v>3</v>
      </c>
      <c r="F942">
        <v>465</v>
      </c>
      <c r="G942">
        <v>98.93</v>
      </c>
      <c r="H942">
        <v>2024</v>
      </c>
      <c r="I942" t="s">
        <v>13</v>
      </c>
      <c r="J942" s="4">
        <v>0.21275268817204299</v>
      </c>
      <c r="K942" t="s">
        <v>41</v>
      </c>
      <c r="L942" t="s">
        <v>52</v>
      </c>
      <c r="M942">
        <v>12</v>
      </c>
      <c r="N942" t="s">
        <v>53</v>
      </c>
    </row>
    <row r="943" spans="1:14" x14ac:dyDescent="0.3">
      <c r="A943" s="1">
        <v>45574</v>
      </c>
      <c r="B943" t="s">
        <v>29</v>
      </c>
      <c r="C943" t="s">
        <v>11</v>
      </c>
      <c r="D943" t="s">
        <v>12</v>
      </c>
      <c r="E943">
        <v>6</v>
      </c>
      <c r="F943">
        <v>3120</v>
      </c>
      <c r="G943">
        <v>274.64999999999998</v>
      </c>
      <c r="H943">
        <v>2024</v>
      </c>
      <c r="I943" t="s">
        <v>14</v>
      </c>
      <c r="J943" s="4">
        <v>8.8028846153846194E-2</v>
      </c>
      <c r="K943" t="s">
        <v>41</v>
      </c>
      <c r="L943" t="s">
        <v>52</v>
      </c>
      <c r="M943">
        <v>10</v>
      </c>
      <c r="N943" t="s">
        <v>54</v>
      </c>
    </row>
    <row r="944" spans="1:14" x14ac:dyDescent="0.3">
      <c r="A944" s="1">
        <v>45408</v>
      </c>
      <c r="B944" t="s">
        <v>29</v>
      </c>
      <c r="C944" t="s">
        <v>11</v>
      </c>
      <c r="D944" t="s">
        <v>17</v>
      </c>
      <c r="E944">
        <v>3</v>
      </c>
      <c r="F944">
        <v>2379</v>
      </c>
      <c r="G944">
        <v>523</v>
      </c>
      <c r="H944">
        <v>2024</v>
      </c>
      <c r="I944" t="s">
        <v>23</v>
      </c>
      <c r="J944" s="4">
        <v>0.219840269020597</v>
      </c>
      <c r="K944" t="s">
        <v>41</v>
      </c>
      <c r="L944" t="s">
        <v>59</v>
      </c>
      <c r="M944">
        <v>4</v>
      </c>
      <c r="N944" t="s">
        <v>62</v>
      </c>
    </row>
    <row r="945" spans="1:14" x14ac:dyDescent="0.3">
      <c r="A945" s="1">
        <v>45484</v>
      </c>
      <c r="B945" t="s">
        <v>29</v>
      </c>
      <c r="C945" t="s">
        <v>11</v>
      </c>
      <c r="D945" t="s">
        <v>22</v>
      </c>
      <c r="E945">
        <v>5</v>
      </c>
      <c r="F945">
        <v>1255</v>
      </c>
      <c r="G945">
        <v>236.25</v>
      </c>
      <c r="H945">
        <v>2024</v>
      </c>
      <c r="I945" t="s">
        <v>25</v>
      </c>
      <c r="J945" s="4">
        <v>0.18824701195219101</v>
      </c>
      <c r="K945" t="s">
        <v>41</v>
      </c>
      <c r="L945" t="s">
        <v>60</v>
      </c>
      <c r="M945">
        <v>7</v>
      </c>
      <c r="N945" t="s">
        <v>64</v>
      </c>
    </row>
    <row r="946" spans="1:14" x14ac:dyDescent="0.3">
      <c r="A946" s="1">
        <v>45591</v>
      </c>
      <c r="B946" t="s">
        <v>29</v>
      </c>
      <c r="C946" t="s">
        <v>11</v>
      </c>
      <c r="D946" t="s">
        <v>17</v>
      </c>
      <c r="E946">
        <v>8</v>
      </c>
      <c r="F946">
        <v>2464</v>
      </c>
      <c r="G946">
        <v>216.51</v>
      </c>
      <c r="H946">
        <v>2024</v>
      </c>
      <c r="I946" t="s">
        <v>14</v>
      </c>
      <c r="J946" s="4">
        <v>8.7869318181818201E-2</v>
      </c>
      <c r="K946" t="s">
        <v>41</v>
      </c>
      <c r="L946" t="s">
        <v>52</v>
      </c>
      <c r="M946">
        <v>10</v>
      </c>
      <c r="N946" t="s">
        <v>54</v>
      </c>
    </row>
    <row r="947" spans="1:14" x14ac:dyDescent="0.3">
      <c r="A947" s="1">
        <v>45650</v>
      </c>
      <c r="B947" t="s">
        <v>29</v>
      </c>
      <c r="C947" t="s">
        <v>11</v>
      </c>
      <c r="D947" t="s">
        <v>12</v>
      </c>
      <c r="E947">
        <v>6</v>
      </c>
      <c r="F947">
        <v>2676</v>
      </c>
      <c r="G947">
        <v>646.70000000000005</v>
      </c>
      <c r="H947">
        <v>2024</v>
      </c>
      <c r="I947" t="s">
        <v>13</v>
      </c>
      <c r="J947" s="4">
        <v>0.241666666666667</v>
      </c>
      <c r="K947" t="s">
        <v>41</v>
      </c>
      <c r="L947" t="s">
        <v>52</v>
      </c>
      <c r="M947">
        <v>12</v>
      </c>
      <c r="N947" t="s">
        <v>53</v>
      </c>
    </row>
    <row r="948" spans="1:14" x14ac:dyDescent="0.3">
      <c r="A948" s="1">
        <v>45338</v>
      </c>
      <c r="B948" t="s">
        <v>29</v>
      </c>
      <c r="C948" t="s">
        <v>11</v>
      </c>
      <c r="D948" t="s">
        <v>12</v>
      </c>
      <c r="E948">
        <v>1</v>
      </c>
      <c r="F948">
        <v>381</v>
      </c>
      <c r="G948">
        <v>63.18</v>
      </c>
      <c r="H948">
        <v>2024</v>
      </c>
      <c r="I948" t="s">
        <v>16</v>
      </c>
      <c r="J948" s="4">
        <v>0.16582677165354301</v>
      </c>
      <c r="K948" t="s">
        <v>41</v>
      </c>
      <c r="L948" t="s">
        <v>55</v>
      </c>
      <c r="M948">
        <v>2</v>
      </c>
      <c r="N948" t="s">
        <v>57</v>
      </c>
    </row>
    <row r="949" spans="1:14" x14ac:dyDescent="0.3">
      <c r="A949" s="1">
        <v>45462</v>
      </c>
      <c r="B949" t="s">
        <v>29</v>
      </c>
      <c r="C949" t="s">
        <v>11</v>
      </c>
      <c r="D949" t="s">
        <v>19</v>
      </c>
      <c r="E949">
        <v>7</v>
      </c>
      <c r="F949">
        <v>1120</v>
      </c>
      <c r="G949">
        <v>111.79</v>
      </c>
      <c r="H949">
        <v>2024</v>
      </c>
      <c r="I949" t="s">
        <v>27</v>
      </c>
      <c r="J949" s="4">
        <v>9.9812499999999998E-2</v>
      </c>
      <c r="K949" t="s">
        <v>41</v>
      </c>
      <c r="L949" t="s">
        <v>59</v>
      </c>
      <c r="M949">
        <v>6</v>
      </c>
      <c r="N949" t="s">
        <v>66</v>
      </c>
    </row>
    <row r="950" spans="1:14" x14ac:dyDescent="0.3">
      <c r="A950" s="1">
        <v>45410</v>
      </c>
      <c r="B950" t="s">
        <v>29</v>
      </c>
      <c r="C950" t="s">
        <v>11</v>
      </c>
      <c r="D950" t="s">
        <v>19</v>
      </c>
      <c r="E950">
        <v>9</v>
      </c>
      <c r="F950">
        <v>9972</v>
      </c>
      <c r="G950">
        <v>1868.64</v>
      </c>
      <c r="H950">
        <v>2024</v>
      </c>
      <c r="I950" t="s">
        <v>23</v>
      </c>
      <c r="J950" s="4">
        <v>0.18738868832731601</v>
      </c>
      <c r="K950" t="s">
        <v>41</v>
      </c>
      <c r="L950" t="s">
        <v>59</v>
      </c>
      <c r="M950">
        <v>4</v>
      </c>
      <c r="N950" t="s">
        <v>62</v>
      </c>
    </row>
    <row r="951" spans="1:14" x14ac:dyDescent="0.3">
      <c r="A951" s="1">
        <v>45420</v>
      </c>
      <c r="B951" t="s">
        <v>29</v>
      </c>
      <c r="C951" t="s">
        <v>11</v>
      </c>
      <c r="D951" t="s">
        <v>22</v>
      </c>
      <c r="E951">
        <v>4</v>
      </c>
      <c r="F951">
        <v>1324</v>
      </c>
      <c r="G951">
        <v>127.07</v>
      </c>
      <c r="H951">
        <v>2024</v>
      </c>
      <c r="I951" t="s">
        <v>20</v>
      </c>
      <c r="J951" s="4">
        <v>9.5974320241691793E-2</v>
      </c>
      <c r="K951" t="s">
        <v>41</v>
      </c>
      <c r="L951" t="s">
        <v>59</v>
      </c>
      <c r="M951">
        <v>5</v>
      </c>
      <c r="N951" t="s">
        <v>20</v>
      </c>
    </row>
    <row r="952" spans="1:14" x14ac:dyDescent="0.3">
      <c r="A952" s="1">
        <v>45394</v>
      </c>
      <c r="B952" t="s">
        <v>29</v>
      </c>
      <c r="C952" t="s">
        <v>11</v>
      </c>
      <c r="D952" t="s">
        <v>17</v>
      </c>
      <c r="E952">
        <v>4</v>
      </c>
      <c r="F952">
        <v>3032</v>
      </c>
      <c r="G952">
        <v>347.2</v>
      </c>
      <c r="H952">
        <v>2024</v>
      </c>
      <c r="I952" t="s">
        <v>23</v>
      </c>
      <c r="J952" s="4">
        <v>0.114511873350923</v>
      </c>
      <c r="K952" t="s">
        <v>41</v>
      </c>
      <c r="L952" t="s">
        <v>59</v>
      </c>
      <c r="M952">
        <v>4</v>
      </c>
      <c r="N952" t="s">
        <v>62</v>
      </c>
    </row>
    <row r="953" spans="1:14" x14ac:dyDescent="0.3">
      <c r="A953" s="1">
        <v>45355</v>
      </c>
      <c r="B953" t="s">
        <v>29</v>
      </c>
      <c r="C953" t="s">
        <v>11</v>
      </c>
      <c r="D953" t="s">
        <v>22</v>
      </c>
      <c r="E953">
        <v>9</v>
      </c>
      <c r="F953">
        <v>9324</v>
      </c>
      <c r="G953">
        <v>1223.9000000000001</v>
      </c>
      <c r="H953">
        <v>2024</v>
      </c>
      <c r="I953" t="s">
        <v>15</v>
      </c>
      <c r="J953" s="4">
        <v>0.13126340626340599</v>
      </c>
      <c r="K953" t="s">
        <v>41</v>
      </c>
      <c r="L953" t="s">
        <v>55</v>
      </c>
      <c r="M953">
        <v>3</v>
      </c>
      <c r="N953" t="s">
        <v>56</v>
      </c>
    </row>
    <row r="954" spans="1:14" x14ac:dyDescent="0.3">
      <c r="A954" s="1">
        <v>45371</v>
      </c>
      <c r="B954" t="s">
        <v>29</v>
      </c>
      <c r="C954" t="s">
        <v>11</v>
      </c>
      <c r="D954" t="s">
        <v>12</v>
      </c>
      <c r="E954">
        <v>6</v>
      </c>
      <c r="F954">
        <v>5820</v>
      </c>
      <c r="G954">
        <v>1423.67</v>
      </c>
      <c r="H954">
        <v>2024</v>
      </c>
      <c r="I954" t="s">
        <v>15</v>
      </c>
      <c r="J954" s="4">
        <v>0.244616838487973</v>
      </c>
      <c r="K954" t="s">
        <v>41</v>
      </c>
      <c r="L954" t="s">
        <v>55</v>
      </c>
      <c r="M954">
        <v>3</v>
      </c>
      <c r="N954" t="s">
        <v>56</v>
      </c>
    </row>
    <row r="955" spans="1:14" x14ac:dyDescent="0.3">
      <c r="A955" s="1">
        <v>45615</v>
      </c>
      <c r="B955" t="s">
        <v>29</v>
      </c>
      <c r="C955" t="s">
        <v>11</v>
      </c>
      <c r="D955" t="s">
        <v>12</v>
      </c>
      <c r="E955">
        <v>7</v>
      </c>
      <c r="F955">
        <v>546</v>
      </c>
      <c r="G955">
        <v>117.9</v>
      </c>
      <c r="H955">
        <v>2024</v>
      </c>
      <c r="I955" t="s">
        <v>18</v>
      </c>
      <c r="J955" s="4">
        <v>0.215934065934066</v>
      </c>
      <c r="K955" t="s">
        <v>41</v>
      </c>
      <c r="L955" t="s">
        <v>52</v>
      </c>
      <c r="M955">
        <v>11</v>
      </c>
      <c r="N955" t="s">
        <v>58</v>
      </c>
    </row>
    <row r="956" spans="1:14" x14ac:dyDescent="0.3">
      <c r="A956" s="1">
        <v>45611</v>
      </c>
      <c r="B956" t="s">
        <v>29</v>
      </c>
      <c r="C956" t="s">
        <v>11</v>
      </c>
      <c r="D956" t="s">
        <v>12</v>
      </c>
      <c r="E956">
        <v>6</v>
      </c>
      <c r="F956">
        <v>4722</v>
      </c>
      <c r="G956">
        <v>522.16</v>
      </c>
      <c r="H956">
        <v>2024</v>
      </c>
      <c r="I956" t="s">
        <v>18</v>
      </c>
      <c r="J956" s="4">
        <v>0.110580262600593</v>
      </c>
      <c r="K956" t="s">
        <v>41</v>
      </c>
      <c r="L956" t="s">
        <v>52</v>
      </c>
      <c r="M956">
        <v>11</v>
      </c>
      <c r="N956" t="s">
        <v>58</v>
      </c>
    </row>
    <row r="957" spans="1:14" x14ac:dyDescent="0.3">
      <c r="A957" s="1">
        <v>45653</v>
      </c>
      <c r="B957" t="s">
        <v>29</v>
      </c>
      <c r="C957" t="s">
        <v>11</v>
      </c>
      <c r="D957" t="s">
        <v>19</v>
      </c>
      <c r="E957">
        <v>4</v>
      </c>
      <c r="F957">
        <v>3532</v>
      </c>
      <c r="G957">
        <v>665.2</v>
      </c>
      <c r="H957">
        <v>2024</v>
      </c>
      <c r="I957" t="s">
        <v>13</v>
      </c>
      <c r="J957" s="4">
        <v>0.18833522083805199</v>
      </c>
      <c r="K957" t="s">
        <v>41</v>
      </c>
      <c r="L957" t="s">
        <v>52</v>
      </c>
      <c r="M957">
        <v>12</v>
      </c>
      <c r="N957" t="s">
        <v>53</v>
      </c>
    </row>
    <row r="958" spans="1:14" x14ac:dyDescent="0.3">
      <c r="A958" s="1">
        <v>45646</v>
      </c>
      <c r="B958" t="s">
        <v>29</v>
      </c>
      <c r="C958" t="s">
        <v>11</v>
      </c>
      <c r="D958" t="s">
        <v>12</v>
      </c>
      <c r="E958">
        <v>6</v>
      </c>
      <c r="F958">
        <v>3384</v>
      </c>
      <c r="G958">
        <v>503.86</v>
      </c>
      <c r="H958">
        <v>2024</v>
      </c>
      <c r="I958" t="s">
        <v>13</v>
      </c>
      <c r="J958" s="4">
        <v>0.148894799054374</v>
      </c>
      <c r="K958" t="s">
        <v>41</v>
      </c>
      <c r="L958" t="s">
        <v>52</v>
      </c>
      <c r="M958">
        <v>12</v>
      </c>
      <c r="N958" t="s">
        <v>53</v>
      </c>
    </row>
    <row r="959" spans="1:14" x14ac:dyDescent="0.3">
      <c r="A959" s="1">
        <v>45409</v>
      </c>
      <c r="B959" t="s">
        <v>29</v>
      </c>
      <c r="C959" t="s">
        <v>11</v>
      </c>
      <c r="D959" t="s">
        <v>22</v>
      </c>
      <c r="E959">
        <v>5</v>
      </c>
      <c r="F959">
        <v>1765</v>
      </c>
      <c r="G959">
        <v>347.42</v>
      </c>
      <c r="H959">
        <v>2024</v>
      </c>
      <c r="I959" t="s">
        <v>23</v>
      </c>
      <c r="J959" s="4">
        <v>0.19683852691218101</v>
      </c>
      <c r="K959" t="s">
        <v>41</v>
      </c>
      <c r="L959" t="s">
        <v>59</v>
      </c>
      <c r="M959">
        <v>4</v>
      </c>
      <c r="N959" t="s">
        <v>62</v>
      </c>
    </row>
    <row r="960" spans="1:14" x14ac:dyDescent="0.3">
      <c r="A960" s="1">
        <v>45585</v>
      </c>
      <c r="B960" t="s">
        <v>29</v>
      </c>
      <c r="C960" t="s">
        <v>11</v>
      </c>
      <c r="D960" t="s">
        <v>19</v>
      </c>
      <c r="E960">
        <v>7</v>
      </c>
      <c r="F960">
        <v>3395</v>
      </c>
      <c r="G960">
        <v>350.26</v>
      </c>
      <c r="H960">
        <v>2024</v>
      </c>
      <c r="I960" t="s">
        <v>14</v>
      </c>
      <c r="J960" s="4">
        <v>0.10316936671575801</v>
      </c>
      <c r="K960" t="s">
        <v>41</v>
      </c>
      <c r="L960" t="s">
        <v>52</v>
      </c>
      <c r="M960">
        <v>10</v>
      </c>
      <c r="N960" t="s">
        <v>54</v>
      </c>
    </row>
    <row r="961" spans="1:14" x14ac:dyDescent="0.3">
      <c r="A961" s="1">
        <v>45461</v>
      </c>
      <c r="B961" t="s">
        <v>29</v>
      </c>
      <c r="C961" t="s">
        <v>11</v>
      </c>
      <c r="D961" t="s">
        <v>12</v>
      </c>
      <c r="E961">
        <v>2</v>
      </c>
      <c r="F961">
        <v>992</v>
      </c>
      <c r="G961">
        <v>238.18</v>
      </c>
      <c r="H961">
        <v>2024</v>
      </c>
      <c r="I961" t="s">
        <v>27</v>
      </c>
      <c r="J961" s="4">
        <v>0.240100806451613</v>
      </c>
      <c r="K961" t="s">
        <v>41</v>
      </c>
      <c r="L961" t="s">
        <v>59</v>
      </c>
      <c r="M961">
        <v>6</v>
      </c>
      <c r="N961" t="s">
        <v>66</v>
      </c>
    </row>
    <row r="962" spans="1:14" x14ac:dyDescent="0.3">
      <c r="A962" s="1">
        <v>45600</v>
      </c>
      <c r="B962" t="s">
        <v>29</v>
      </c>
      <c r="C962" t="s">
        <v>11</v>
      </c>
      <c r="D962" t="s">
        <v>22</v>
      </c>
      <c r="E962">
        <v>7</v>
      </c>
      <c r="F962">
        <v>7931</v>
      </c>
      <c r="G962">
        <v>504.39</v>
      </c>
      <c r="H962">
        <v>2024</v>
      </c>
      <c r="I962" t="s">
        <v>18</v>
      </c>
      <c r="J962" s="4">
        <v>6.3597276509897896E-2</v>
      </c>
      <c r="K962" t="s">
        <v>41</v>
      </c>
      <c r="L962" t="s">
        <v>52</v>
      </c>
      <c r="M962">
        <v>11</v>
      </c>
      <c r="N962" t="s">
        <v>58</v>
      </c>
    </row>
    <row r="963" spans="1:14" x14ac:dyDescent="0.3">
      <c r="A963" s="1">
        <v>45281</v>
      </c>
      <c r="B963" t="s">
        <v>29</v>
      </c>
      <c r="C963" t="s">
        <v>11</v>
      </c>
      <c r="D963" t="s">
        <v>17</v>
      </c>
      <c r="E963">
        <v>7</v>
      </c>
      <c r="F963">
        <v>7462</v>
      </c>
      <c r="G963">
        <v>2166.17</v>
      </c>
      <c r="H963">
        <v>2023</v>
      </c>
      <c r="I963" t="s">
        <v>13</v>
      </c>
      <c r="J963" s="4">
        <v>0.29029348700080398</v>
      </c>
      <c r="K963" t="s">
        <v>40</v>
      </c>
      <c r="L963" t="s">
        <v>52</v>
      </c>
      <c r="M963">
        <v>12</v>
      </c>
      <c r="N963" t="s">
        <v>53</v>
      </c>
    </row>
    <row r="964" spans="1:14" x14ac:dyDescent="0.3">
      <c r="A964" s="1">
        <v>44968</v>
      </c>
      <c r="B964" t="s">
        <v>29</v>
      </c>
      <c r="C964" t="s">
        <v>11</v>
      </c>
      <c r="D964" t="s">
        <v>22</v>
      </c>
      <c r="E964">
        <v>2</v>
      </c>
      <c r="F964">
        <v>2212</v>
      </c>
      <c r="G964">
        <v>145.75</v>
      </c>
      <c r="H964">
        <v>2023</v>
      </c>
      <c r="I964" t="s">
        <v>16</v>
      </c>
      <c r="J964" s="4">
        <v>6.5890596745027105E-2</v>
      </c>
      <c r="K964" t="s">
        <v>40</v>
      </c>
      <c r="L964" t="s">
        <v>55</v>
      </c>
      <c r="M964">
        <v>2</v>
      </c>
      <c r="N964" t="s">
        <v>57</v>
      </c>
    </row>
    <row r="965" spans="1:14" x14ac:dyDescent="0.3">
      <c r="A965" s="1">
        <v>45287</v>
      </c>
      <c r="B965" t="s">
        <v>29</v>
      </c>
      <c r="C965" t="s">
        <v>11</v>
      </c>
      <c r="D965" t="s">
        <v>19</v>
      </c>
      <c r="E965">
        <v>5</v>
      </c>
      <c r="F965">
        <v>740</v>
      </c>
      <c r="G965">
        <v>146.38999999999999</v>
      </c>
      <c r="H965">
        <v>2023</v>
      </c>
      <c r="I965" t="s">
        <v>13</v>
      </c>
      <c r="J965" s="4">
        <v>0.19782432432432401</v>
      </c>
      <c r="K965" t="s">
        <v>40</v>
      </c>
      <c r="L965" t="s">
        <v>52</v>
      </c>
      <c r="M965">
        <v>12</v>
      </c>
      <c r="N965" t="s">
        <v>53</v>
      </c>
    </row>
    <row r="966" spans="1:14" x14ac:dyDescent="0.3">
      <c r="A966" s="1">
        <v>45034</v>
      </c>
      <c r="B966" t="s">
        <v>29</v>
      </c>
      <c r="C966" t="s">
        <v>11</v>
      </c>
      <c r="D966" t="s">
        <v>22</v>
      </c>
      <c r="E966">
        <v>7</v>
      </c>
      <c r="F966">
        <v>2709</v>
      </c>
      <c r="G966">
        <v>702.79</v>
      </c>
      <c r="H966">
        <v>2023</v>
      </c>
      <c r="I966" t="s">
        <v>23</v>
      </c>
      <c r="J966" s="4">
        <v>0.259427833148763</v>
      </c>
      <c r="K966" t="s">
        <v>40</v>
      </c>
      <c r="L966" t="s">
        <v>59</v>
      </c>
      <c r="M966">
        <v>4</v>
      </c>
      <c r="N966" t="s">
        <v>62</v>
      </c>
    </row>
    <row r="967" spans="1:14" x14ac:dyDescent="0.3">
      <c r="A967" s="1">
        <v>45265</v>
      </c>
      <c r="B967" t="s">
        <v>29</v>
      </c>
      <c r="C967" t="s">
        <v>11</v>
      </c>
      <c r="D967" t="s">
        <v>19</v>
      </c>
      <c r="E967">
        <v>5</v>
      </c>
      <c r="F967">
        <v>4730</v>
      </c>
      <c r="G967">
        <v>1365.63</v>
      </c>
      <c r="H967">
        <v>2023</v>
      </c>
      <c r="I967" t="s">
        <v>13</v>
      </c>
      <c r="J967" s="4">
        <v>0.28871670190274801</v>
      </c>
      <c r="K967" t="s">
        <v>40</v>
      </c>
      <c r="L967" t="s">
        <v>52</v>
      </c>
      <c r="M967">
        <v>12</v>
      </c>
      <c r="N967" t="s">
        <v>53</v>
      </c>
    </row>
    <row r="968" spans="1:14" x14ac:dyDescent="0.3">
      <c r="A968" s="1">
        <v>45101</v>
      </c>
      <c r="B968" t="s">
        <v>29</v>
      </c>
      <c r="C968" t="s">
        <v>11</v>
      </c>
      <c r="D968" t="s">
        <v>12</v>
      </c>
      <c r="E968">
        <v>4</v>
      </c>
      <c r="F968">
        <v>556</v>
      </c>
      <c r="G968">
        <v>81.77</v>
      </c>
      <c r="H968">
        <v>2023</v>
      </c>
      <c r="I968" t="s">
        <v>27</v>
      </c>
      <c r="J968" s="4">
        <v>0.147068345323741</v>
      </c>
      <c r="K968" t="s">
        <v>40</v>
      </c>
      <c r="L968" t="s">
        <v>59</v>
      </c>
      <c r="M968">
        <v>6</v>
      </c>
      <c r="N968" t="s">
        <v>66</v>
      </c>
    </row>
    <row r="969" spans="1:14" x14ac:dyDescent="0.3">
      <c r="A969" s="1">
        <v>44999</v>
      </c>
      <c r="B969" t="s">
        <v>29</v>
      </c>
      <c r="C969" t="s">
        <v>11</v>
      </c>
      <c r="D969" t="s">
        <v>22</v>
      </c>
      <c r="E969">
        <v>7</v>
      </c>
      <c r="F969">
        <v>1421</v>
      </c>
      <c r="G969">
        <v>248.02</v>
      </c>
      <c r="H969">
        <v>2023</v>
      </c>
      <c r="I969" t="s">
        <v>15</v>
      </c>
      <c r="J969" s="4">
        <v>0.174539057002111</v>
      </c>
      <c r="K969" t="s">
        <v>40</v>
      </c>
      <c r="L969" t="s">
        <v>55</v>
      </c>
      <c r="M969">
        <v>3</v>
      </c>
      <c r="N969" t="s">
        <v>56</v>
      </c>
    </row>
    <row r="970" spans="1:14" x14ac:dyDescent="0.3">
      <c r="A970" s="1">
        <v>44986</v>
      </c>
      <c r="B970" t="s">
        <v>29</v>
      </c>
      <c r="C970" t="s">
        <v>11</v>
      </c>
      <c r="D970" t="s">
        <v>17</v>
      </c>
      <c r="E970">
        <v>1</v>
      </c>
      <c r="F970">
        <v>797</v>
      </c>
      <c r="G970">
        <v>65.27</v>
      </c>
      <c r="H970">
        <v>2023</v>
      </c>
      <c r="I970" t="s">
        <v>15</v>
      </c>
      <c r="J970" s="4">
        <v>8.1894604767879603E-2</v>
      </c>
      <c r="K970" t="s">
        <v>40</v>
      </c>
      <c r="L970" t="s">
        <v>55</v>
      </c>
      <c r="M970">
        <v>3</v>
      </c>
      <c r="N970" t="s">
        <v>56</v>
      </c>
    </row>
    <row r="971" spans="1:14" x14ac:dyDescent="0.3">
      <c r="A971" s="1">
        <v>45104</v>
      </c>
      <c r="B971" t="s">
        <v>29</v>
      </c>
      <c r="C971" t="s">
        <v>11</v>
      </c>
      <c r="D971" t="s">
        <v>12</v>
      </c>
      <c r="E971">
        <v>7</v>
      </c>
      <c r="F971">
        <v>5656</v>
      </c>
      <c r="G971">
        <v>355.81</v>
      </c>
      <c r="H971">
        <v>2023</v>
      </c>
      <c r="I971" t="s">
        <v>27</v>
      </c>
      <c r="J971" s="4">
        <v>6.29084158415842E-2</v>
      </c>
      <c r="K971" t="s">
        <v>40</v>
      </c>
      <c r="L971" t="s">
        <v>59</v>
      </c>
      <c r="M971">
        <v>6</v>
      </c>
      <c r="N971" t="s">
        <v>66</v>
      </c>
    </row>
    <row r="972" spans="1:14" x14ac:dyDescent="0.3">
      <c r="A972" s="1">
        <v>45087</v>
      </c>
      <c r="B972" t="s">
        <v>29</v>
      </c>
      <c r="C972" t="s">
        <v>11</v>
      </c>
      <c r="D972" t="s">
        <v>17</v>
      </c>
      <c r="E972">
        <v>7</v>
      </c>
      <c r="F972">
        <v>1239</v>
      </c>
      <c r="G972">
        <v>118.36</v>
      </c>
      <c r="H972">
        <v>2023</v>
      </c>
      <c r="I972" t="s">
        <v>27</v>
      </c>
      <c r="J972" s="4">
        <v>9.5528652138821599E-2</v>
      </c>
      <c r="K972" t="s">
        <v>40</v>
      </c>
      <c r="L972" t="s">
        <v>59</v>
      </c>
      <c r="M972">
        <v>6</v>
      </c>
      <c r="N972" t="s">
        <v>66</v>
      </c>
    </row>
    <row r="973" spans="1:14" x14ac:dyDescent="0.3">
      <c r="A973" s="1">
        <v>45055</v>
      </c>
      <c r="B973" t="s">
        <v>29</v>
      </c>
      <c r="C973" t="s">
        <v>11</v>
      </c>
      <c r="D973" t="s">
        <v>12</v>
      </c>
      <c r="E973">
        <v>2</v>
      </c>
      <c r="F973">
        <v>572</v>
      </c>
      <c r="G973">
        <v>86.16</v>
      </c>
      <c r="H973">
        <v>2023</v>
      </c>
      <c r="I973" t="s">
        <v>20</v>
      </c>
      <c r="J973" s="4">
        <v>0.15062937062937101</v>
      </c>
      <c r="K973" t="s">
        <v>40</v>
      </c>
      <c r="L973" t="s">
        <v>59</v>
      </c>
      <c r="M973">
        <v>5</v>
      </c>
      <c r="N973" t="s">
        <v>20</v>
      </c>
    </row>
    <row r="974" spans="1:14" x14ac:dyDescent="0.3">
      <c r="A974" s="1">
        <v>44935</v>
      </c>
      <c r="B974" t="s">
        <v>29</v>
      </c>
      <c r="C974" t="s">
        <v>11</v>
      </c>
      <c r="D974" t="s">
        <v>12</v>
      </c>
      <c r="E974">
        <v>3</v>
      </c>
      <c r="F974">
        <v>2130</v>
      </c>
      <c r="G974">
        <v>510.69</v>
      </c>
      <c r="H974">
        <v>2023</v>
      </c>
      <c r="I974" t="s">
        <v>26</v>
      </c>
      <c r="J974" s="4">
        <v>0.23976056338028201</v>
      </c>
      <c r="K974" t="s">
        <v>40</v>
      </c>
      <c r="L974" t="s">
        <v>55</v>
      </c>
      <c r="M974">
        <v>1</v>
      </c>
      <c r="N974" t="s">
        <v>65</v>
      </c>
    </row>
    <row r="975" spans="1:14" x14ac:dyDescent="0.3">
      <c r="A975" s="1">
        <v>45155</v>
      </c>
      <c r="B975" t="s">
        <v>29</v>
      </c>
      <c r="C975" t="s">
        <v>11</v>
      </c>
      <c r="D975" t="s">
        <v>19</v>
      </c>
      <c r="E975">
        <v>2</v>
      </c>
      <c r="F975">
        <v>1752</v>
      </c>
      <c r="G975">
        <v>501.19</v>
      </c>
      <c r="H975">
        <v>2023</v>
      </c>
      <c r="I975" t="s">
        <v>24</v>
      </c>
      <c r="J975" s="4">
        <v>0.28606735159817398</v>
      </c>
      <c r="K975" t="s">
        <v>40</v>
      </c>
      <c r="L975" t="s">
        <v>60</v>
      </c>
      <c r="M975">
        <v>8</v>
      </c>
      <c r="N975" t="s">
        <v>63</v>
      </c>
    </row>
    <row r="976" spans="1:14" x14ac:dyDescent="0.3">
      <c r="A976" s="1">
        <v>45058</v>
      </c>
      <c r="B976" t="s">
        <v>29</v>
      </c>
      <c r="C976" t="s">
        <v>11</v>
      </c>
      <c r="D976" t="s">
        <v>12</v>
      </c>
      <c r="E976">
        <v>7</v>
      </c>
      <c r="F976">
        <v>7224</v>
      </c>
      <c r="G976">
        <v>479.23</v>
      </c>
      <c r="H976">
        <v>2023</v>
      </c>
      <c r="I976" t="s">
        <v>20</v>
      </c>
      <c r="J976" s="4">
        <v>6.6338593576965699E-2</v>
      </c>
      <c r="K976" t="s">
        <v>40</v>
      </c>
      <c r="L976" t="s">
        <v>59</v>
      </c>
      <c r="M976">
        <v>5</v>
      </c>
      <c r="N976" t="s">
        <v>20</v>
      </c>
    </row>
    <row r="977" spans="1:14" x14ac:dyDescent="0.3">
      <c r="A977" s="1">
        <v>45061</v>
      </c>
      <c r="B977" t="s">
        <v>29</v>
      </c>
      <c r="C977" t="s">
        <v>11</v>
      </c>
      <c r="D977" t="s">
        <v>12</v>
      </c>
      <c r="E977">
        <v>5</v>
      </c>
      <c r="F977">
        <v>1925</v>
      </c>
      <c r="G977">
        <v>204.74</v>
      </c>
      <c r="H977">
        <v>2023</v>
      </c>
      <c r="I977" t="s">
        <v>20</v>
      </c>
      <c r="J977" s="4">
        <v>0.106358441558442</v>
      </c>
      <c r="K977" t="s">
        <v>40</v>
      </c>
      <c r="L977" t="s">
        <v>59</v>
      </c>
      <c r="M977">
        <v>5</v>
      </c>
      <c r="N977" t="s">
        <v>20</v>
      </c>
    </row>
    <row r="978" spans="1:14" x14ac:dyDescent="0.3">
      <c r="A978" s="1">
        <v>45015</v>
      </c>
      <c r="B978" t="s">
        <v>29</v>
      </c>
      <c r="C978" t="s">
        <v>11</v>
      </c>
      <c r="D978" t="s">
        <v>17</v>
      </c>
      <c r="E978">
        <v>8</v>
      </c>
      <c r="F978">
        <v>1640</v>
      </c>
      <c r="G978">
        <v>361.48</v>
      </c>
      <c r="H978">
        <v>2023</v>
      </c>
      <c r="I978" t="s">
        <v>15</v>
      </c>
      <c r="J978" s="4">
        <v>0.22041463414634099</v>
      </c>
      <c r="K978" t="s">
        <v>40</v>
      </c>
      <c r="L978" t="s">
        <v>55</v>
      </c>
      <c r="M978">
        <v>3</v>
      </c>
      <c r="N978" t="s">
        <v>56</v>
      </c>
    </row>
    <row r="979" spans="1:14" x14ac:dyDescent="0.3">
      <c r="A979" s="1">
        <v>45118</v>
      </c>
      <c r="B979" t="s">
        <v>29</v>
      </c>
      <c r="C979" t="s">
        <v>11</v>
      </c>
      <c r="D979" t="s">
        <v>12</v>
      </c>
      <c r="E979">
        <v>8</v>
      </c>
      <c r="F979">
        <v>3936</v>
      </c>
      <c r="G979">
        <v>720.2</v>
      </c>
      <c r="H979">
        <v>2023</v>
      </c>
      <c r="I979" t="s">
        <v>25</v>
      </c>
      <c r="J979" s="4">
        <v>0.18297764227642299</v>
      </c>
      <c r="K979" t="s">
        <v>40</v>
      </c>
      <c r="L979" t="s">
        <v>60</v>
      </c>
      <c r="M979">
        <v>7</v>
      </c>
      <c r="N979" t="s">
        <v>64</v>
      </c>
    </row>
    <row r="980" spans="1:14" x14ac:dyDescent="0.3">
      <c r="A980" s="1">
        <v>45130</v>
      </c>
      <c r="B980" t="s">
        <v>29</v>
      </c>
      <c r="C980" t="s">
        <v>11</v>
      </c>
      <c r="D980" t="s">
        <v>12</v>
      </c>
      <c r="E980">
        <v>2</v>
      </c>
      <c r="F980">
        <v>1760</v>
      </c>
      <c r="G980">
        <v>278.08999999999997</v>
      </c>
      <c r="H980">
        <v>2023</v>
      </c>
      <c r="I980" t="s">
        <v>25</v>
      </c>
      <c r="J980" s="4">
        <v>0.158005681818182</v>
      </c>
      <c r="K980" t="s">
        <v>40</v>
      </c>
      <c r="L980" t="s">
        <v>60</v>
      </c>
      <c r="M980">
        <v>7</v>
      </c>
      <c r="N980" t="s">
        <v>64</v>
      </c>
    </row>
    <row r="981" spans="1:14" x14ac:dyDescent="0.3">
      <c r="A981" s="1">
        <v>45282</v>
      </c>
      <c r="B981" t="s">
        <v>29</v>
      </c>
      <c r="C981" t="s">
        <v>11</v>
      </c>
      <c r="D981" t="s">
        <v>17</v>
      </c>
      <c r="E981">
        <v>8</v>
      </c>
      <c r="F981">
        <v>5920</v>
      </c>
      <c r="G981">
        <v>1436.7</v>
      </c>
      <c r="H981">
        <v>2023</v>
      </c>
      <c r="I981" t="s">
        <v>13</v>
      </c>
      <c r="J981" s="4">
        <v>0.242685810810811</v>
      </c>
      <c r="K981" t="s">
        <v>40</v>
      </c>
      <c r="L981" t="s">
        <v>52</v>
      </c>
      <c r="M981">
        <v>12</v>
      </c>
      <c r="N981" t="s">
        <v>53</v>
      </c>
    </row>
    <row r="982" spans="1:14" x14ac:dyDescent="0.3">
      <c r="A982" s="1">
        <v>44991</v>
      </c>
      <c r="B982" t="s">
        <v>29</v>
      </c>
      <c r="C982" t="s">
        <v>11</v>
      </c>
      <c r="D982" t="s">
        <v>22</v>
      </c>
      <c r="E982">
        <v>6</v>
      </c>
      <c r="F982">
        <v>5952</v>
      </c>
      <c r="G982">
        <v>971.53</v>
      </c>
      <c r="H982">
        <v>2023</v>
      </c>
      <c r="I982" t="s">
        <v>15</v>
      </c>
      <c r="J982" s="4">
        <v>0.16322748655913999</v>
      </c>
      <c r="K982" t="s">
        <v>40</v>
      </c>
      <c r="L982" t="s">
        <v>55</v>
      </c>
      <c r="M982">
        <v>3</v>
      </c>
      <c r="N982" t="s">
        <v>56</v>
      </c>
    </row>
    <row r="983" spans="1:14" x14ac:dyDescent="0.3">
      <c r="A983" s="1">
        <v>45204</v>
      </c>
      <c r="B983" t="s">
        <v>29</v>
      </c>
      <c r="C983" t="s">
        <v>11</v>
      </c>
      <c r="D983" t="s">
        <v>12</v>
      </c>
      <c r="E983">
        <v>6</v>
      </c>
      <c r="F983">
        <v>3486</v>
      </c>
      <c r="G983">
        <v>1011.74</v>
      </c>
      <c r="H983">
        <v>2023</v>
      </c>
      <c r="I983" t="s">
        <v>14</v>
      </c>
      <c r="J983" s="4">
        <v>0.29022948938611598</v>
      </c>
      <c r="K983" t="s">
        <v>40</v>
      </c>
      <c r="L983" t="s">
        <v>52</v>
      </c>
      <c r="M983">
        <v>10</v>
      </c>
      <c r="N983" t="s">
        <v>54</v>
      </c>
    </row>
    <row r="984" spans="1:14" x14ac:dyDescent="0.3">
      <c r="A984" s="1">
        <v>45033</v>
      </c>
      <c r="B984" t="s">
        <v>29</v>
      </c>
      <c r="C984" t="s">
        <v>11</v>
      </c>
      <c r="D984" t="s">
        <v>12</v>
      </c>
      <c r="E984">
        <v>1</v>
      </c>
      <c r="F984">
        <v>496</v>
      </c>
      <c r="G984">
        <v>146.91999999999999</v>
      </c>
      <c r="H984">
        <v>2023</v>
      </c>
      <c r="I984" t="s">
        <v>23</v>
      </c>
      <c r="J984" s="4">
        <v>0.296209677419355</v>
      </c>
      <c r="K984" t="s">
        <v>40</v>
      </c>
      <c r="L984" t="s">
        <v>59</v>
      </c>
      <c r="M984">
        <v>4</v>
      </c>
      <c r="N984" t="s">
        <v>62</v>
      </c>
    </row>
    <row r="985" spans="1:14" x14ac:dyDescent="0.3">
      <c r="A985" s="1">
        <v>45025</v>
      </c>
      <c r="B985" t="s">
        <v>29</v>
      </c>
      <c r="C985" t="s">
        <v>11</v>
      </c>
      <c r="D985" t="s">
        <v>17</v>
      </c>
      <c r="E985">
        <v>3</v>
      </c>
      <c r="F985">
        <v>603</v>
      </c>
      <c r="G985">
        <v>153.37</v>
      </c>
      <c r="H985">
        <v>2023</v>
      </c>
      <c r="I985" t="s">
        <v>23</v>
      </c>
      <c r="J985" s="4">
        <v>0.25434494195688201</v>
      </c>
      <c r="K985" t="s">
        <v>40</v>
      </c>
      <c r="L985" t="s">
        <v>59</v>
      </c>
      <c r="M985">
        <v>4</v>
      </c>
      <c r="N985" t="s">
        <v>62</v>
      </c>
    </row>
    <row r="986" spans="1:14" x14ac:dyDescent="0.3">
      <c r="A986" s="1">
        <v>45136</v>
      </c>
      <c r="B986" t="s">
        <v>29</v>
      </c>
      <c r="C986" t="s">
        <v>11</v>
      </c>
      <c r="D986" t="s">
        <v>12</v>
      </c>
      <c r="E986">
        <v>7</v>
      </c>
      <c r="F986">
        <v>5264</v>
      </c>
      <c r="G986">
        <v>756.33</v>
      </c>
      <c r="H986">
        <v>2023</v>
      </c>
      <c r="I986" t="s">
        <v>25</v>
      </c>
      <c r="J986" s="4">
        <v>0.14367971124620099</v>
      </c>
      <c r="K986" t="s">
        <v>40</v>
      </c>
      <c r="L986" t="s">
        <v>60</v>
      </c>
      <c r="M986">
        <v>7</v>
      </c>
      <c r="N986" t="s">
        <v>64</v>
      </c>
    </row>
    <row r="987" spans="1:14" x14ac:dyDescent="0.3">
      <c r="A987" s="1">
        <v>45068</v>
      </c>
      <c r="B987" t="s">
        <v>29</v>
      </c>
      <c r="C987" t="s">
        <v>11</v>
      </c>
      <c r="D987" t="s">
        <v>19</v>
      </c>
      <c r="E987">
        <v>9</v>
      </c>
      <c r="F987">
        <v>8964</v>
      </c>
      <c r="G987">
        <v>448.62</v>
      </c>
      <c r="H987">
        <v>2023</v>
      </c>
      <c r="I987" t="s">
        <v>20</v>
      </c>
      <c r="J987" s="4">
        <v>5.00468540829987E-2</v>
      </c>
      <c r="K987" t="s">
        <v>40</v>
      </c>
      <c r="L987" t="s">
        <v>59</v>
      </c>
      <c r="M987">
        <v>5</v>
      </c>
      <c r="N987" t="s">
        <v>20</v>
      </c>
    </row>
    <row r="988" spans="1:14" x14ac:dyDescent="0.3">
      <c r="A988" s="1">
        <v>45168</v>
      </c>
      <c r="B988" t="s">
        <v>29</v>
      </c>
      <c r="C988" t="s">
        <v>11</v>
      </c>
      <c r="D988" t="s">
        <v>22</v>
      </c>
      <c r="E988">
        <v>8</v>
      </c>
      <c r="F988">
        <v>5176</v>
      </c>
      <c r="G988">
        <v>866.36</v>
      </c>
      <c r="H988">
        <v>2023</v>
      </c>
      <c r="I988" t="s">
        <v>24</v>
      </c>
      <c r="J988" s="4">
        <v>0.16738021638330799</v>
      </c>
      <c r="K988" t="s">
        <v>40</v>
      </c>
      <c r="L988" t="s">
        <v>60</v>
      </c>
      <c r="M988">
        <v>8</v>
      </c>
      <c r="N988" t="s">
        <v>63</v>
      </c>
    </row>
    <row r="989" spans="1:14" x14ac:dyDescent="0.3">
      <c r="A989" s="1">
        <v>45158</v>
      </c>
      <c r="B989" t="s">
        <v>29</v>
      </c>
      <c r="C989" t="s">
        <v>11</v>
      </c>
      <c r="D989" t="s">
        <v>19</v>
      </c>
      <c r="E989">
        <v>7</v>
      </c>
      <c r="F989">
        <v>1197</v>
      </c>
      <c r="G989">
        <v>103.34</v>
      </c>
      <c r="H989">
        <v>2023</v>
      </c>
      <c r="I989" t="s">
        <v>24</v>
      </c>
      <c r="J989" s="4">
        <v>8.6332497911445302E-2</v>
      </c>
      <c r="K989" t="s">
        <v>40</v>
      </c>
      <c r="L989" t="s">
        <v>60</v>
      </c>
      <c r="M989">
        <v>8</v>
      </c>
      <c r="N989" t="s">
        <v>63</v>
      </c>
    </row>
    <row r="990" spans="1:14" x14ac:dyDescent="0.3">
      <c r="A990" s="1">
        <v>45190</v>
      </c>
      <c r="B990" t="s">
        <v>29</v>
      </c>
      <c r="C990" t="s">
        <v>11</v>
      </c>
      <c r="D990" t="s">
        <v>12</v>
      </c>
      <c r="E990">
        <v>1</v>
      </c>
      <c r="F990">
        <v>392</v>
      </c>
      <c r="G990">
        <v>50.7</v>
      </c>
      <c r="H990">
        <v>2023</v>
      </c>
      <c r="I990" t="s">
        <v>21</v>
      </c>
      <c r="J990" s="4">
        <v>0.12933673469387799</v>
      </c>
      <c r="K990" t="s">
        <v>40</v>
      </c>
      <c r="L990" t="s">
        <v>60</v>
      </c>
      <c r="M990">
        <v>9</v>
      </c>
      <c r="N990" t="s">
        <v>61</v>
      </c>
    </row>
    <row r="991" spans="1:14" x14ac:dyDescent="0.3">
      <c r="A991" s="1">
        <v>45218</v>
      </c>
      <c r="B991" t="s">
        <v>29</v>
      </c>
      <c r="C991" t="s">
        <v>11</v>
      </c>
      <c r="D991" t="s">
        <v>12</v>
      </c>
      <c r="E991">
        <v>8</v>
      </c>
      <c r="F991">
        <v>3320</v>
      </c>
      <c r="G991">
        <v>413.32</v>
      </c>
      <c r="H991">
        <v>2023</v>
      </c>
      <c r="I991" t="s">
        <v>14</v>
      </c>
      <c r="J991" s="4">
        <v>0.124493975903614</v>
      </c>
      <c r="K991" t="s">
        <v>40</v>
      </c>
      <c r="L991" t="s">
        <v>52</v>
      </c>
      <c r="M991">
        <v>10</v>
      </c>
      <c r="N991" t="s">
        <v>54</v>
      </c>
    </row>
    <row r="992" spans="1:14" x14ac:dyDescent="0.3">
      <c r="A992" s="1">
        <v>45258</v>
      </c>
      <c r="B992" t="s">
        <v>29</v>
      </c>
      <c r="C992" t="s">
        <v>11</v>
      </c>
      <c r="D992" t="s">
        <v>19</v>
      </c>
      <c r="E992">
        <v>3</v>
      </c>
      <c r="F992">
        <v>2214</v>
      </c>
      <c r="G992">
        <v>507.7</v>
      </c>
      <c r="H992">
        <v>2023</v>
      </c>
      <c r="I992" t="s">
        <v>18</v>
      </c>
      <c r="J992" s="4">
        <v>0.229313459801265</v>
      </c>
      <c r="K992" t="s">
        <v>40</v>
      </c>
      <c r="L992" t="s">
        <v>52</v>
      </c>
      <c r="M992">
        <v>11</v>
      </c>
      <c r="N992" t="s">
        <v>58</v>
      </c>
    </row>
    <row r="993" spans="1:14" x14ac:dyDescent="0.3">
      <c r="A993" s="1">
        <v>45286</v>
      </c>
      <c r="B993" t="s">
        <v>29</v>
      </c>
      <c r="C993" t="s">
        <v>11</v>
      </c>
      <c r="D993" t="s">
        <v>17</v>
      </c>
      <c r="E993">
        <v>3</v>
      </c>
      <c r="F993">
        <v>2532</v>
      </c>
      <c r="G993">
        <v>343.13</v>
      </c>
      <c r="H993">
        <v>2023</v>
      </c>
      <c r="I993" t="s">
        <v>13</v>
      </c>
      <c r="J993" s="4">
        <v>0.135517377567141</v>
      </c>
      <c r="K993" t="s">
        <v>40</v>
      </c>
      <c r="L993" t="s">
        <v>52</v>
      </c>
      <c r="M993">
        <v>12</v>
      </c>
      <c r="N993" t="s">
        <v>53</v>
      </c>
    </row>
    <row r="994" spans="1:14" x14ac:dyDescent="0.3">
      <c r="A994" s="1">
        <v>45201</v>
      </c>
      <c r="B994" t="s">
        <v>29</v>
      </c>
      <c r="C994" t="s">
        <v>11</v>
      </c>
      <c r="D994" t="s">
        <v>17</v>
      </c>
      <c r="E994">
        <v>1</v>
      </c>
      <c r="F994">
        <v>1130</v>
      </c>
      <c r="G994">
        <v>268.88</v>
      </c>
      <c r="H994">
        <v>2023</v>
      </c>
      <c r="I994" t="s">
        <v>14</v>
      </c>
      <c r="J994" s="4">
        <v>0.23794690265486701</v>
      </c>
      <c r="K994" t="s">
        <v>40</v>
      </c>
      <c r="L994" t="s">
        <v>52</v>
      </c>
      <c r="M994">
        <v>10</v>
      </c>
      <c r="N994" t="s">
        <v>54</v>
      </c>
    </row>
    <row r="995" spans="1:14" x14ac:dyDescent="0.3">
      <c r="A995" s="1">
        <v>45104</v>
      </c>
      <c r="B995" t="s">
        <v>29</v>
      </c>
      <c r="C995" t="s">
        <v>11</v>
      </c>
      <c r="D995" t="s">
        <v>19</v>
      </c>
      <c r="E995">
        <v>4</v>
      </c>
      <c r="F995">
        <v>844</v>
      </c>
      <c r="G995">
        <v>136.02000000000001</v>
      </c>
      <c r="H995">
        <v>2023</v>
      </c>
      <c r="I995" t="s">
        <v>27</v>
      </c>
      <c r="J995" s="4">
        <v>0.161161137440758</v>
      </c>
      <c r="K995" t="s">
        <v>40</v>
      </c>
      <c r="L995" t="s">
        <v>59</v>
      </c>
      <c r="M995">
        <v>6</v>
      </c>
      <c r="N995" t="s">
        <v>66</v>
      </c>
    </row>
    <row r="996" spans="1:14" x14ac:dyDescent="0.3">
      <c r="A996" s="1">
        <v>44999</v>
      </c>
      <c r="B996" t="s">
        <v>29</v>
      </c>
      <c r="C996" t="s">
        <v>11</v>
      </c>
      <c r="D996" t="s">
        <v>19</v>
      </c>
      <c r="E996">
        <v>7</v>
      </c>
      <c r="F996">
        <v>5572</v>
      </c>
      <c r="G996">
        <v>385.82</v>
      </c>
      <c r="H996">
        <v>2023</v>
      </c>
      <c r="I996" t="s">
        <v>15</v>
      </c>
      <c r="J996" s="4">
        <v>6.9242641780330197E-2</v>
      </c>
      <c r="K996" t="s">
        <v>40</v>
      </c>
      <c r="L996" t="s">
        <v>55</v>
      </c>
      <c r="M996">
        <v>3</v>
      </c>
      <c r="N996" t="s">
        <v>56</v>
      </c>
    </row>
    <row r="997" spans="1:14" x14ac:dyDescent="0.3">
      <c r="A997" s="1">
        <v>45288</v>
      </c>
      <c r="B997" t="s">
        <v>29</v>
      </c>
      <c r="C997" t="s">
        <v>11</v>
      </c>
      <c r="D997" t="s">
        <v>17</v>
      </c>
      <c r="E997">
        <v>3</v>
      </c>
      <c r="F997">
        <v>3111</v>
      </c>
      <c r="G997">
        <v>607.23</v>
      </c>
      <c r="H997">
        <v>2023</v>
      </c>
      <c r="I997" t="s">
        <v>13</v>
      </c>
      <c r="J997" s="4">
        <v>0.195188042430087</v>
      </c>
      <c r="K997" t="s">
        <v>40</v>
      </c>
      <c r="L997" t="s">
        <v>52</v>
      </c>
      <c r="M997">
        <v>12</v>
      </c>
      <c r="N997" t="s">
        <v>53</v>
      </c>
    </row>
    <row r="998" spans="1:14" x14ac:dyDescent="0.3">
      <c r="A998" s="1">
        <v>45251</v>
      </c>
      <c r="B998" t="s">
        <v>29</v>
      </c>
      <c r="C998" t="s">
        <v>11</v>
      </c>
      <c r="D998" t="s">
        <v>17</v>
      </c>
      <c r="E998">
        <v>9</v>
      </c>
      <c r="F998">
        <v>9441</v>
      </c>
      <c r="G998">
        <v>2171.42</v>
      </c>
      <c r="H998">
        <v>2023</v>
      </c>
      <c r="I998" t="s">
        <v>18</v>
      </c>
      <c r="J998" s="4">
        <v>0.229998940790171</v>
      </c>
      <c r="K998" t="s">
        <v>40</v>
      </c>
      <c r="L998" t="s">
        <v>52</v>
      </c>
      <c r="M998">
        <v>11</v>
      </c>
      <c r="N998" t="s">
        <v>58</v>
      </c>
    </row>
    <row r="999" spans="1:14" x14ac:dyDescent="0.3">
      <c r="A999" s="1">
        <v>45014</v>
      </c>
      <c r="B999" t="s">
        <v>29</v>
      </c>
      <c r="C999" t="s">
        <v>11</v>
      </c>
      <c r="D999" t="s">
        <v>12</v>
      </c>
      <c r="E999">
        <v>2</v>
      </c>
      <c r="F999">
        <v>390</v>
      </c>
      <c r="G999">
        <v>103.99</v>
      </c>
      <c r="H999">
        <v>2023</v>
      </c>
      <c r="I999" t="s">
        <v>15</v>
      </c>
      <c r="J999" s="4">
        <v>0.26664102564102599</v>
      </c>
      <c r="K999" t="s">
        <v>40</v>
      </c>
      <c r="L999" t="s">
        <v>55</v>
      </c>
      <c r="M999">
        <v>3</v>
      </c>
      <c r="N999" t="s">
        <v>56</v>
      </c>
    </row>
    <row r="1000" spans="1:14" x14ac:dyDescent="0.3">
      <c r="A1000" s="1">
        <v>44998</v>
      </c>
      <c r="B1000" t="s">
        <v>29</v>
      </c>
      <c r="C1000" t="s">
        <v>11</v>
      </c>
      <c r="D1000" t="s">
        <v>17</v>
      </c>
      <c r="E1000">
        <v>4</v>
      </c>
      <c r="F1000">
        <v>4556</v>
      </c>
      <c r="G1000">
        <v>315.07</v>
      </c>
      <c r="H1000">
        <v>2023</v>
      </c>
      <c r="I1000" t="s">
        <v>15</v>
      </c>
      <c r="J1000" s="4">
        <v>6.9154960491659395E-2</v>
      </c>
      <c r="K1000" t="s">
        <v>40</v>
      </c>
      <c r="L1000" t="s">
        <v>55</v>
      </c>
      <c r="M1000">
        <v>3</v>
      </c>
      <c r="N1000" t="s">
        <v>56</v>
      </c>
    </row>
    <row r="1001" spans="1:14" x14ac:dyDescent="0.3">
      <c r="A1001" s="1">
        <v>45000</v>
      </c>
      <c r="B1001" t="s">
        <v>29</v>
      </c>
      <c r="C1001" t="s">
        <v>11</v>
      </c>
      <c r="D1001" t="s">
        <v>22</v>
      </c>
      <c r="E1001">
        <v>2</v>
      </c>
      <c r="F1001">
        <v>344</v>
      </c>
      <c r="G1001">
        <v>80.87</v>
      </c>
      <c r="H1001">
        <v>2023</v>
      </c>
      <c r="I1001" t="s">
        <v>15</v>
      </c>
      <c r="J1001" s="4">
        <v>0.23508720930232599</v>
      </c>
      <c r="K1001" t="s">
        <v>40</v>
      </c>
      <c r="L1001" t="s">
        <v>55</v>
      </c>
      <c r="M1001">
        <v>3</v>
      </c>
      <c r="N1001" t="s">
        <v>56</v>
      </c>
    </row>
    <row r="1002" spans="1:14" x14ac:dyDescent="0.3">
      <c r="A1002" s="1">
        <v>45061</v>
      </c>
      <c r="B1002" t="s">
        <v>29</v>
      </c>
      <c r="C1002" t="s">
        <v>11</v>
      </c>
      <c r="D1002" t="s">
        <v>17</v>
      </c>
      <c r="E1002">
        <v>3</v>
      </c>
      <c r="F1002">
        <v>612</v>
      </c>
      <c r="G1002">
        <v>40.15</v>
      </c>
      <c r="H1002">
        <v>2023</v>
      </c>
      <c r="I1002" t="s">
        <v>20</v>
      </c>
      <c r="J1002" s="4">
        <v>6.5604575163398696E-2</v>
      </c>
      <c r="K1002" t="s">
        <v>40</v>
      </c>
      <c r="L1002" t="s">
        <v>59</v>
      </c>
      <c r="M1002">
        <v>5</v>
      </c>
      <c r="N1002" t="s">
        <v>20</v>
      </c>
    </row>
    <row r="1003" spans="1:14" x14ac:dyDescent="0.3">
      <c r="A1003" s="1">
        <v>45193</v>
      </c>
      <c r="B1003" t="s">
        <v>29</v>
      </c>
      <c r="C1003" t="s">
        <v>11</v>
      </c>
      <c r="D1003" t="s">
        <v>12</v>
      </c>
      <c r="E1003">
        <v>4</v>
      </c>
      <c r="F1003">
        <v>3592</v>
      </c>
      <c r="G1003">
        <v>249.54</v>
      </c>
      <c r="H1003">
        <v>2023</v>
      </c>
      <c r="I1003" t="s">
        <v>21</v>
      </c>
      <c r="J1003" s="4">
        <v>6.94710467706013E-2</v>
      </c>
      <c r="K1003" t="s">
        <v>40</v>
      </c>
      <c r="L1003" t="s">
        <v>60</v>
      </c>
      <c r="M1003">
        <v>9</v>
      </c>
      <c r="N1003" t="s">
        <v>61</v>
      </c>
    </row>
    <row r="1004" spans="1:14" x14ac:dyDescent="0.3">
      <c r="A1004" s="1">
        <v>45261</v>
      </c>
      <c r="B1004" t="s">
        <v>29</v>
      </c>
      <c r="C1004" t="s">
        <v>11</v>
      </c>
      <c r="D1004" t="s">
        <v>22</v>
      </c>
      <c r="E1004">
        <v>9</v>
      </c>
      <c r="F1004">
        <v>1593</v>
      </c>
      <c r="G1004">
        <v>322.45999999999998</v>
      </c>
      <c r="H1004">
        <v>2023</v>
      </c>
      <c r="I1004" t="s">
        <v>13</v>
      </c>
      <c r="J1004" s="4">
        <v>0.20242310106716899</v>
      </c>
      <c r="K1004" t="s">
        <v>40</v>
      </c>
      <c r="L1004" t="s">
        <v>52</v>
      </c>
      <c r="M1004">
        <v>12</v>
      </c>
      <c r="N1004" t="s">
        <v>53</v>
      </c>
    </row>
    <row r="1005" spans="1:14" x14ac:dyDescent="0.3">
      <c r="A1005" s="1">
        <v>45032</v>
      </c>
      <c r="B1005" t="s">
        <v>29</v>
      </c>
      <c r="C1005" t="s">
        <v>11</v>
      </c>
      <c r="D1005" t="s">
        <v>17</v>
      </c>
      <c r="E1005">
        <v>1</v>
      </c>
      <c r="F1005">
        <v>516</v>
      </c>
      <c r="G1005">
        <v>70.53</v>
      </c>
      <c r="H1005">
        <v>2023</v>
      </c>
      <c r="I1005" t="s">
        <v>23</v>
      </c>
      <c r="J1005" s="4">
        <v>0.136686046511628</v>
      </c>
      <c r="K1005" t="s">
        <v>40</v>
      </c>
      <c r="L1005" t="s">
        <v>59</v>
      </c>
      <c r="M1005">
        <v>4</v>
      </c>
      <c r="N1005" t="s">
        <v>62</v>
      </c>
    </row>
    <row r="1006" spans="1:14" x14ac:dyDescent="0.3">
      <c r="A1006" s="1">
        <v>44983</v>
      </c>
      <c r="B1006" t="s">
        <v>29</v>
      </c>
      <c r="C1006" t="s">
        <v>11</v>
      </c>
      <c r="D1006" t="s">
        <v>22</v>
      </c>
      <c r="E1006">
        <v>8</v>
      </c>
      <c r="F1006">
        <v>3896</v>
      </c>
      <c r="G1006">
        <v>735.66</v>
      </c>
      <c r="H1006">
        <v>2023</v>
      </c>
      <c r="I1006" t="s">
        <v>16</v>
      </c>
      <c r="J1006" s="4">
        <v>0.188824435318275</v>
      </c>
      <c r="K1006" t="s">
        <v>40</v>
      </c>
      <c r="L1006" t="s">
        <v>55</v>
      </c>
      <c r="M1006">
        <v>2</v>
      </c>
      <c r="N1006" t="s">
        <v>57</v>
      </c>
    </row>
    <row r="1007" spans="1:14" x14ac:dyDescent="0.3">
      <c r="A1007" s="1">
        <v>45261</v>
      </c>
      <c r="B1007" t="s">
        <v>29</v>
      </c>
      <c r="C1007" t="s">
        <v>11</v>
      </c>
      <c r="D1007" t="s">
        <v>22</v>
      </c>
      <c r="E1007">
        <v>1</v>
      </c>
      <c r="F1007">
        <v>847</v>
      </c>
      <c r="G1007">
        <v>142.74</v>
      </c>
      <c r="H1007">
        <v>2023</v>
      </c>
      <c r="I1007" t="s">
        <v>13</v>
      </c>
      <c r="J1007" s="4">
        <v>0.16852420306965801</v>
      </c>
      <c r="K1007" t="s">
        <v>40</v>
      </c>
      <c r="L1007" t="s">
        <v>52</v>
      </c>
      <c r="M1007">
        <v>12</v>
      </c>
      <c r="N1007" t="s">
        <v>53</v>
      </c>
    </row>
    <row r="1008" spans="1:14" x14ac:dyDescent="0.3">
      <c r="A1008" s="1">
        <v>45101</v>
      </c>
      <c r="B1008" t="s">
        <v>29</v>
      </c>
      <c r="C1008" t="s">
        <v>11</v>
      </c>
      <c r="D1008" t="s">
        <v>19</v>
      </c>
      <c r="E1008">
        <v>2</v>
      </c>
      <c r="F1008">
        <v>1188</v>
      </c>
      <c r="G1008">
        <v>286.38</v>
      </c>
      <c r="H1008">
        <v>2023</v>
      </c>
      <c r="I1008" t="s">
        <v>27</v>
      </c>
      <c r="J1008" s="4">
        <v>0.241060606060606</v>
      </c>
      <c r="K1008" t="s">
        <v>40</v>
      </c>
      <c r="L1008" t="s">
        <v>59</v>
      </c>
      <c r="M1008">
        <v>6</v>
      </c>
      <c r="N1008" t="s">
        <v>66</v>
      </c>
    </row>
    <row r="1009" spans="1:14" x14ac:dyDescent="0.3">
      <c r="A1009" s="1">
        <v>45190</v>
      </c>
      <c r="B1009" t="s">
        <v>29</v>
      </c>
      <c r="C1009" t="s">
        <v>11</v>
      </c>
      <c r="D1009" t="s">
        <v>19</v>
      </c>
      <c r="E1009">
        <v>5</v>
      </c>
      <c r="F1009">
        <v>5935</v>
      </c>
      <c r="G1009">
        <v>875.84</v>
      </c>
      <c r="H1009">
        <v>2023</v>
      </c>
      <c r="I1009" t="s">
        <v>21</v>
      </c>
      <c r="J1009" s="4">
        <v>0.14757203032855901</v>
      </c>
      <c r="K1009" t="s">
        <v>40</v>
      </c>
      <c r="L1009" t="s">
        <v>60</v>
      </c>
      <c r="M1009">
        <v>9</v>
      </c>
      <c r="N1009" t="s">
        <v>61</v>
      </c>
    </row>
    <row r="1010" spans="1:14" x14ac:dyDescent="0.3">
      <c r="A1010" s="1">
        <v>45101</v>
      </c>
      <c r="B1010" t="s">
        <v>29</v>
      </c>
      <c r="C1010" t="s">
        <v>11</v>
      </c>
      <c r="D1010" t="s">
        <v>17</v>
      </c>
      <c r="E1010">
        <v>3</v>
      </c>
      <c r="F1010">
        <v>2790</v>
      </c>
      <c r="G1010">
        <v>470.93</v>
      </c>
      <c r="H1010">
        <v>2023</v>
      </c>
      <c r="I1010" t="s">
        <v>27</v>
      </c>
      <c r="J1010" s="4">
        <v>0.16879211469534</v>
      </c>
      <c r="K1010" t="s">
        <v>40</v>
      </c>
      <c r="L1010" t="s">
        <v>59</v>
      </c>
      <c r="M1010">
        <v>6</v>
      </c>
      <c r="N1010" t="s">
        <v>66</v>
      </c>
    </row>
    <row r="1011" spans="1:14" x14ac:dyDescent="0.3">
      <c r="A1011" s="1">
        <v>45234</v>
      </c>
      <c r="B1011" t="s">
        <v>29</v>
      </c>
      <c r="C1011" t="s">
        <v>11</v>
      </c>
      <c r="D1011" t="s">
        <v>12</v>
      </c>
      <c r="E1011">
        <v>6</v>
      </c>
      <c r="F1011">
        <v>2946</v>
      </c>
      <c r="G1011">
        <v>208.01</v>
      </c>
      <c r="H1011">
        <v>2023</v>
      </c>
      <c r="I1011" t="s">
        <v>18</v>
      </c>
      <c r="J1011" s="4">
        <v>7.0607603530210394E-2</v>
      </c>
      <c r="K1011" t="s">
        <v>40</v>
      </c>
      <c r="L1011" t="s">
        <v>52</v>
      </c>
      <c r="M1011">
        <v>11</v>
      </c>
      <c r="N1011" t="s">
        <v>58</v>
      </c>
    </row>
    <row r="1012" spans="1:14" x14ac:dyDescent="0.3">
      <c r="A1012" s="1">
        <v>45042</v>
      </c>
      <c r="B1012" t="s">
        <v>29</v>
      </c>
      <c r="C1012" t="s">
        <v>11</v>
      </c>
      <c r="D1012" t="s">
        <v>22</v>
      </c>
      <c r="E1012">
        <v>2</v>
      </c>
      <c r="F1012">
        <v>1790</v>
      </c>
      <c r="G1012">
        <v>442.75</v>
      </c>
      <c r="H1012">
        <v>2023</v>
      </c>
      <c r="I1012" t="s">
        <v>23</v>
      </c>
      <c r="J1012" s="4">
        <v>0.247346368715084</v>
      </c>
      <c r="K1012" t="s">
        <v>40</v>
      </c>
      <c r="L1012" t="s">
        <v>59</v>
      </c>
      <c r="M1012">
        <v>4</v>
      </c>
      <c r="N1012" t="s">
        <v>62</v>
      </c>
    </row>
    <row r="1013" spans="1:14" x14ac:dyDescent="0.3">
      <c r="A1013" s="1">
        <v>45200</v>
      </c>
      <c r="B1013" t="s">
        <v>29</v>
      </c>
      <c r="C1013" t="s">
        <v>11</v>
      </c>
      <c r="D1013" t="s">
        <v>17</v>
      </c>
      <c r="E1013">
        <v>9</v>
      </c>
      <c r="F1013">
        <v>8523</v>
      </c>
      <c r="G1013">
        <v>978.97</v>
      </c>
      <c r="H1013">
        <v>2023</v>
      </c>
      <c r="I1013" t="s">
        <v>14</v>
      </c>
      <c r="J1013" s="4">
        <v>0.114862137744926</v>
      </c>
      <c r="K1013" t="s">
        <v>40</v>
      </c>
      <c r="L1013" t="s">
        <v>52</v>
      </c>
      <c r="M1013">
        <v>10</v>
      </c>
      <c r="N1013" t="s">
        <v>54</v>
      </c>
    </row>
    <row r="1014" spans="1:14" x14ac:dyDescent="0.3">
      <c r="A1014" s="1">
        <v>44976</v>
      </c>
      <c r="B1014" t="s">
        <v>29</v>
      </c>
      <c r="C1014" t="s">
        <v>11</v>
      </c>
      <c r="D1014" t="s">
        <v>17</v>
      </c>
      <c r="E1014">
        <v>2</v>
      </c>
      <c r="F1014">
        <v>1874</v>
      </c>
      <c r="G1014">
        <v>333.86</v>
      </c>
      <c r="H1014">
        <v>2023</v>
      </c>
      <c r="I1014" t="s">
        <v>16</v>
      </c>
      <c r="J1014" s="4">
        <v>0.17815368196371401</v>
      </c>
      <c r="K1014" t="s">
        <v>40</v>
      </c>
      <c r="L1014" t="s">
        <v>55</v>
      </c>
      <c r="M1014">
        <v>2</v>
      </c>
      <c r="N1014" t="s">
        <v>57</v>
      </c>
    </row>
    <row r="1015" spans="1:14" x14ac:dyDescent="0.3">
      <c r="A1015" s="1">
        <v>45094</v>
      </c>
      <c r="B1015" t="s">
        <v>29</v>
      </c>
      <c r="C1015" t="s">
        <v>11</v>
      </c>
      <c r="D1015" t="s">
        <v>17</v>
      </c>
      <c r="E1015">
        <v>7</v>
      </c>
      <c r="F1015">
        <v>2457</v>
      </c>
      <c r="G1015">
        <v>690.55</v>
      </c>
      <c r="H1015">
        <v>2023</v>
      </c>
      <c r="I1015" t="s">
        <v>27</v>
      </c>
      <c r="J1015" s="4">
        <v>0.28105413105413102</v>
      </c>
      <c r="K1015" t="s">
        <v>40</v>
      </c>
      <c r="L1015" t="s">
        <v>59</v>
      </c>
      <c r="M1015">
        <v>6</v>
      </c>
      <c r="N1015" t="s">
        <v>66</v>
      </c>
    </row>
    <row r="1016" spans="1:14" x14ac:dyDescent="0.3">
      <c r="A1016" s="1">
        <v>45208</v>
      </c>
      <c r="B1016" t="s">
        <v>29</v>
      </c>
      <c r="C1016" t="s">
        <v>11</v>
      </c>
      <c r="D1016" t="s">
        <v>17</v>
      </c>
      <c r="E1016">
        <v>6</v>
      </c>
      <c r="F1016">
        <v>1128</v>
      </c>
      <c r="G1016">
        <v>207.97</v>
      </c>
      <c r="H1016">
        <v>2023</v>
      </c>
      <c r="I1016" t="s">
        <v>14</v>
      </c>
      <c r="J1016" s="4">
        <v>0.184370567375887</v>
      </c>
      <c r="K1016" t="s">
        <v>40</v>
      </c>
      <c r="L1016" t="s">
        <v>52</v>
      </c>
      <c r="M1016">
        <v>10</v>
      </c>
      <c r="N1016" t="s">
        <v>54</v>
      </c>
    </row>
    <row r="1017" spans="1:14" x14ac:dyDescent="0.3">
      <c r="A1017" s="1">
        <v>45227</v>
      </c>
      <c r="B1017" t="s">
        <v>29</v>
      </c>
      <c r="C1017" t="s">
        <v>11</v>
      </c>
      <c r="D1017" t="s">
        <v>19</v>
      </c>
      <c r="E1017">
        <v>7</v>
      </c>
      <c r="F1017">
        <v>5075</v>
      </c>
      <c r="G1017">
        <v>471.21</v>
      </c>
      <c r="H1017">
        <v>2023</v>
      </c>
      <c r="I1017" t="s">
        <v>14</v>
      </c>
      <c r="J1017" s="4">
        <v>9.2849261083743806E-2</v>
      </c>
      <c r="K1017" t="s">
        <v>40</v>
      </c>
      <c r="L1017" t="s">
        <v>52</v>
      </c>
      <c r="M1017">
        <v>10</v>
      </c>
      <c r="N1017" t="s">
        <v>54</v>
      </c>
    </row>
    <row r="1018" spans="1:14" x14ac:dyDescent="0.3">
      <c r="A1018" s="1">
        <v>45053</v>
      </c>
      <c r="B1018" t="s">
        <v>29</v>
      </c>
      <c r="C1018" t="s">
        <v>11</v>
      </c>
      <c r="D1018" t="s">
        <v>17</v>
      </c>
      <c r="E1018">
        <v>2</v>
      </c>
      <c r="F1018">
        <v>1902</v>
      </c>
      <c r="G1018">
        <v>388.83</v>
      </c>
      <c r="H1018">
        <v>2023</v>
      </c>
      <c r="I1018" t="s">
        <v>20</v>
      </c>
      <c r="J1018" s="4">
        <v>0.20443217665615099</v>
      </c>
      <c r="K1018" t="s">
        <v>40</v>
      </c>
      <c r="L1018" t="s">
        <v>59</v>
      </c>
      <c r="M1018">
        <v>5</v>
      </c>
      <c r="N1018" t="s">
        <v>20</v>
      </c>
    </row>
    <row r="1019" spans="1:14" x14ac:dyDescent="0.3">
      <c r="A1019" s="1">
        <v>45027</v>
      </c>
      <c r="B1019" t="s">
        <v>29</v>
      </c>
      <c r="C1019" t="s">
        <v>11</v>
      </c>
      <c r="D1019" t="s">
        <v>19</v>
      </c>
      <c r="E1019">
        <v>7</v>
      </c>
      <c r="F1019">
        <v>6209</v>
      </c>
      <c r="G1019">
        <v>402.78</v>
      </c>
      <c r="H1019">
        <v>2023</v>
      </c>
      <c r="I1019" t="s">
        <v>23</v>
      </c>
      <c r="J1019" s="4">
        <v>6.4870349492671897E-2</v>
      </c>
      <c r="K1019" t="s">
        <v>40</v>
      </c>
      <c r="L1019" t="s">
        <v>59</v>
      </c>
      <c r="M1019">
        <v>4</v>
      </c>
      <c r="N1019" t="s">
        <v>62</v>
      </c>
    </row>
    <row r="1020" spans="1:14" x14ac:dyDescent="0.3">
      <c r="A1020" s="1">
        <v>45129</v>
      </c>
      <c r="B1020" t="s">
        <v>29</v>
      </c>
      <c r="C1020" t="s">
        <v>11</v>
      </c>
      <c r="D1020" t="s">
        <v>22</v>
      </c>
      <c r="E1020">
        <v>1</v>
      </c>
      <c r="F1020">
        <v>569</v>
      </c>
      <c r="G1020">
        <v>141.33000000000001</v>
      </c>
      <c r="H1020">
        <v>2023</v>
      </c>
      <c r="I1020" t="s">
        <v>25</v>
      </c>
      <c r="J1020" s="4">
        <v>0.248383128295255</v>
      </c>
      <c r="K1020" t="s">
        <v>40</v>
      </c>
      <c r="L1020" t="s">
        <v>60</v>
      </c>
      <c r="M1020">
        <v>7</v>
      </c>
      <c r="N1020" t="s">
        <v>64</v>
      </c>
    </row>
    <row r="1021" spans="1:14" x14ac:dyDescent="0.3">
      <c r="A1021" s="1">
        <v>45187</v>
      </c>
      <c r="B1021" t="s">
        <v>29</v>
      </c>
      <c r="C1021" t="s">
        <v>11</v>
      </c>
      <c r="D1021" t="s">
        <v>19</v>
      </c>
      <c r="E1021">
        <v>9</v>
      </c>
      <c r="F1021">
        <v>9828</v>
      </c>
      <c r="G1021">
        <v>1300.68</v>
      </c>
      <c r="H1021">
        <v>2023</v>
      </c>
      <c r="I1021" t="s">
        <v>21</v>
      </c>
      <c r="J1021" s="4">
        <v>0.132344322344322</v>
      </c>
      <c r="K1021" t="s">
        <v>40</v>
      </c>
      <c r="L1021" t="s">
        <v>60</v>
      </c>
      <c r="M1021">
        <v>9</v>
      </c>
      <c r="N1021" t="s">
        <v>61</v>
      </c>
    </row>
    <row r="1022" spans="1:14" x14ac:dyDescent="0.3">
      <c r="A1022" s="1">
        <v>44982</v>
      </c>
      <c r="B1022" t="s">
        <v>29</v>
      </c>
      <c r="C1022" t="s">
        <v>11</v>
      </c>
      <c r="D1022" t="s">
        <v>17</v>
      </c>
      <c r="E1022">
        <v>9</v>
      </c>
      <c r="F1022">
        <v>8973</v>
      </c>
      <c r="G1022">
        <v>471.86</v>
      </c>
      <c r="H1022">
        <v>2023</v>
      </c>
      <c r="I1022" t="s">
        <v>16</v>
      </c>
      <c r="J1022" s="4">
        <v>5.25866488353951E-2</v>
      </c>
      <c r="K1022" t="s">
        <v>40</v>
      </c>
      <c r="L1022" t="s">
        <v>55</v>
      </c>
      <c r="M1022">
        <v>2</v>
      </c>
      <c r="N1022" t="s">
        <v>57</v>
      </c>
    </row>
    <row r="1023" spans="1:14" x14ac:dyDescent="0.3">
      <c r="A1023" s="1">
        <v>45091</v>
      </c>
      <c r="B1023" t="s">
        <v>29</v>
      </c>
      <c r="C1023" t="s">
        <v>11</v>
      </c>
      <c r="D1023" t="s">
        <v>17</v>
      </c>
      <c r="E1023">
        <v>3</v>
      </c>
      <c r="F1023">
        <v>1416</v>
      </c>
      <c r="G1023">
        <v>220.7</v>
      </c>
      <c r="H1023">
        <v>2023</v>
      </c>
      <c r="I1023" t="s">
        <v>27</v>
      </c>
      <c r="J1023" s="4">
        <v>0.15586158192090399</v>
      </c>
      <c r="K1023" t="s">
        <v>40</v>
      </c>
      <c r="L1023" t="s">
        <v>59</v>
      </c>
      <c r="M1023">
        <v>6</v>
      </c>
      <c r="N1023" t="s">
        <v>66</v>
      </c>
    </row>
    <row r="1024" spans="1:14" x14ac:dyDescent="0.3">
      <c r="A1024" s="1">
        <v>44942</v>
      </c>
      <c r="B1024" t="s">
        <v>29</v>
      </c>
      <c r="C1024" t="s">
        <v>11</v>
      </c>
      <c r="D1024" t="s">
        <v>22</v>
      </c>
      <c r="E1024">
        <v>5</v>
      </c>
      <c r="F1024">
        <v>2435</v>
      </c>
      <c r="G1024">
        <v>688.82</v>
      </c>
      <c r="H1024">
        <v>2023</v>
      </c>
      <c r="I1024" t="s">
        <v>26</v>
      </c>
      <c r="J1024" s="4">
        <v>0.28288295687885001</v>
      </c>
      <c r="K1024" t="s">
        <v>40</v>
      </c>
      <c r="L1024" t="s">
        <v>55</v>
      </c>
      <c r="M1024">
        <v>1</v>
      </c>
      <c r="N1024" t="s">
        <v>65</v>
      </c>
    </row>
    <row r="1025" spans="1:14" x14ac:dyDescent="0.3">
      <c r="A1025" s="1">
        <v>45001</v>
      </c>
      <c r="B1025" t="s">
        <v>29</v>
      </c>
      <c r="C1025" t="s">
        <v>11</v>
      </c>
      <c r="D1025" t="s">
        <v>22</v>
      </c>
      <c r="E1025">
        <v>9</v>
      </c>
      <c r="F1025">
        <v>9423</v>
      </c>
      <c r="G1025">
        <v>2794.89</v>
      </c>
      <c r="H1025">
        <v>2023</v>
      </c>
      <c r="I1025" t="s">
        <v>15</v>
      </c>
      <c r="J1025" s="4">
        <v>0.29660299267749102</v>
      </c>
      <c r="K1025" t="s">
        <v>40</v>
      </c>
      <c r="L1025" t="s">
        <v>55</v>
      </c>
      <c r="M1025">
        <v>3</v>
      </c>
      <c r="N1025" t="s">
        <v>56</v>
      </c>
    </row>
    <row r="1026" spans="1:14" x14ac:dyDescent="0.3">
      <c r="A1026" s="1">
        <v>45159</v>
      </c>
      <c r="B1026" t="s">
        <v>29</v>
      </c>
      <c r="C1026" t="s">
        <v>11</v>
      </c>
      <c r="D1026" t="s">
        <v>17</v>
      </c>
      <c r="E1026">
        <v>2</v>
      </c>
      <c r="F1026">
        <v>684</v>
      </c>
      <c r="G1026">
        <v>183.85</v>
      </c>
      <c r="H1026">
        <v>2023</v>
      </c>
      <c r="I1026" t="s">
        <v>24</v>
      </c>
      <c r="J1026" s="4">
        <v>0.26878654970760202</v>
      </c>
      <c r="K1026" t="s">
        <v>40</v>
      </c>
      <c r="L1026" t="s">
        <v>60</v>
      </c>
      <c r="M1026">
        <v>8</v>
      </c>
      <c r="N1026" t="s">
        <v>63</v>
      </c>
    </row>
    <row r="1027" spans="1:14" x14ac:dyDescent="0.3">
      <c r="A1027" s="1">
        <v>45181</v>
      </c>
      <c r="B1027" t="s">
        <v>29</v>
      </c>
      <c r="C1027" t="s">
        <v>11</v>
      </c>
      <c r="D1027" t="s">
        <v>19</v>
      </c>
      <c r="E1027">
        <v>7</v>
      </c>
      <c r="F1027">
        <v>5285</v>
      </c>
      <c r="G1027">
        <v>629.07000000000005</v>
      </c>
      <c r="H1027">
        <v>2023</v>
      </c>
      <c r="I1027" t="s">
        <v>21</v>
      </c>
      <c r="J1027" s="4">
        <v>0.119029328287606</v>
      </c>
      <c r="K1027" t="s">
        <v>40</v>
      </c>
      <c r="L1027" t="s">
        <v>60</v>
      </c>
      <c r="M1027">
        <v>9</v>
      </c>
      <c r="N1027" t="s">
        <v>61</v>
      </c>
    </row>
    <row r="1028" spans="1:14" x14ac:dyDescent="0.3">
      <c r="A1028" s="1">
        <v>45100</v>
      </c>
      <c r="B1028" t="s">
        <v>29</v>
      </c>
      <c r="C1028" t="s">
        <v>11</v>
      </c>
      <c r="D1028" t="s">
        <v>12</v>
      </c>
      <c r="E1028">
        <v>1</v>
      </c>
      <c r="F1028">
        <v>1081</v>
      </c>
      <c r="G1028">
        <v>229.32</v>
      </c>
      <c r="H1028">
        <v>2023</v>
      </c>
      <c r="I1028" t="s">
        <v>27</v>
      </c>
      <c r="J1028" s="4">
        <v>0.21213691026827</v>
      </c>
      <c r="K1028" t="s">
        <v>40</v>
      </c>
      <c r="L1028" t="s">
        <v>59</v>
      </c>
      <c r="M1028">
        <v>6</v>
      </c>
      <c r="N1028" t="s">
        <v>66</v>
      </c>
    </row>
    <row r="1029" spans="1:14" x14ac:dyDescent="0.3">
      <c r="A1029" s="1">
        <v>45173</v>
      </c>
      <c r="B1029" t="s">
        <v>29</v>
      </c>
      <c r="C1029" t="s">
        <v>11</v>
      </c>
      <c r="D1029" t="s">
        <v>12</v>
      </c>
      <c r="E1029">
        <v>3</v>
      </c>
      <c r="F1029">
        <v>801</v>
      </c>
      <c r="G1029">
        <v>90.34</v>
      </c>
      <c r="H1029">
        <v>2023</v>
      </c>
      <c r="I1029" t="s">
        <v>21</v>
      </c>
      <c r="J1029" s="4">
        <v>0.112784019975031</v>
      </c>
      <c r="K1029" t="s">
        <v>40</v>
      </c>
      <c r="L1029" t="s">
        <v>60</v>
      </c>
      <c r="M1029">
        <v>9</v>
      </c>
      <c r="N1029" t="s">
        <v>61</v>
      </c>
    </row>
    <row r="1030" spans="1:14" x14ac:dyDescent="0.3">
      <c r="A1030" s="1">
        <v>45036</v>
      </c>
      <c r="B1030" t="s">
        <v>29</v>
      </c>
      <c r="C1030" t="s">
        <v>11</v>
      </c>
      <c r="D1030" t="s">
        <v>22</v>
      </c>
      <c r="E1030">
        <v>3</v>
      </c>
      <c r="F1030">
        <v>3360</v>
      </c>
      <c r="G1030">
        <v>759.31</v>
      </c>
      <c r="H1030">
        <v>2023</v>
      </c>
      <c r="I1030" t="s">
        <v>23</v>
      </c>
      <c r="J1030" s="4">
        <v>0.225985119047619</v>
      </c>
      <c r="K1030" t="s">
        <v>40</v>
      </c>
      <c r="L1030" t="s">
        <v>59</v>
      </c>
      <c r="M1030">
        <v>4</v>
      </c>
      <c r="N1030" t="s">
        <v>62</v>
      </c>
    </row>
    <row r="1031" spans="1:14" x14ac:dyDescent="0.3">
      <c r="A1031" s="1">
        <v>45154</v>
      </c>
      <c r="B1031" t="s">
        <v>29</v>
      </c>
      <c r="C1031" t="s">
        <v>11</v>
      </c>
      <c r="D1031" t="s">
        <v>12</v>
      </c>
      <c r="E1031">
        <v>6</v>
      </c>
      <c r="F1031">
        <v>4584</v>
      </c>
      <c r="G1031">
        <v>473.37</v>
      </c>
      <c r="H1031">
        <v>2023</v>
      </c>
      <c r="I1031" t="s">
        <v>24</v>
      </c>
      <c r="J1031" s="4">
        <v>0.103265706806283</v>
      </c>
      <c r="K1031" t="s">
        <v>40</v>
      </c>
      <c r="L1031" t="s">
        <v>60</v>
      </c>
      <c r="M1031">
        <v>8</v>
      </c>
      <c r="N1031" t="s">
        <v>63</v>
      </c>
    </row>
    <row r="1032" spans="1:14" x14ac:dyDescent="0.3">
      <c r="A1032" s="1">
        <v>45065</v>
      </c>
      <c r="B1032" t="s">
        <v>29</v>
      </c>
      <c r="C1032" t="s">
        <v>11</v>
      </c>
      <c r="D1032" t="s">
        <v>17</v>
      </c>
      <c r="E1032">
        <v>8</v>
      </c>
      <c r="F1032">
        <v>1608</v>
      </c>
      <c r="G1032">
        <v>332.12</v>
      </c>
      <c r="H1032">
        <v>2023</v>
      </c>
      <c r="I1032" t="s">
        <v>20</v>
      </c>
      <c r="J1032" s="4">
        <v>0.20654228855721399</v>
      </c>
      <c r="K1032" t="s">
        <v>40</v>
      </c>
      <c r="L1032" t="s">
        <v>59</v>
      </c>
      <c r="M1032">
        <v>5</v>
      </c>
      <c r="N1032" t="s">
        <v>20</v>
      </c>
    </row>
    <row r="1033" spans="1:14" x14ac:dyDescent="0.3">
      <c r="A1033" s="1">
        <v>44991</v>
      </c>
      <c r="B1033" t="s">
        <v>29</v>
      </c>
      <c r="C1033" t="s">
        <v>11</v>
      </c>
      <c r="D1033" t="s">
        <v>17</v>
      </c>
      <c r="E1033">
        <v>7</v>
      </c>
      <c r="F1033">
        <v>6804</v>
      </c>
      <c r="G1033">
        <v>1383.81</v>
      </c>
      <c r="H1033">
        <v>2023</v>
      </c>
      <c r="I1033" t="s">
        <v>15</v>
      </c>
      <c r="J1033" s="4">
        <v>0.20338183421516801</v>
      </c>
      <c r="K1033" t="s">
        <v>40</v>
      </c>
      <c r="L1033" t="s">
        <v>55</v>
      </c>
      <c r="M1033">
        <v>3</v>
      </c>
      <c r="N1033" t="s">
        <v>56</v>
      </c>
    </row>
    <row r="1034" spans="1:14" x14ac:dyDescent="0.3">
      <c r="A1034" s="1">
        <v>45184</v>
      </c>
      <c r="B1034" t="s">
        <v>29</v>
      </c>
      <c r="C1034" t="s">
        <v>11</v>
      </c>
      <c r="D1034" t="s">
        <v>12</v>
      </c>
      <c r="E1034">
        <v>7</v>
      </c>
      <c r="F1034">
        <v>3164</v>
      </c>
      <c r="G1034">
        <v>166.4</v>
      </c>
      <c r="H1034">
        <v>2023</v>
      </c>
      <c r="I1034" t="s">
        <v>21</v>
      </c>
      <c r="J1034" s="4">
        <v>5.2591656131479099E-2</v>
      </c>
      <c r="K1034" t="s">
        <v>40</v>
      </c>
      <c r="L1034" t="s">
        <v>60</v>
      </c>
      <c r="M1034">
        <v>9</v>
      </c>
      <c r="N1034" t="s">
        <v>61</v>
      </c>
    </row>
    <row r="1035" spans="1:14" x14ac:dyDescent="0.3">
      <c r="A1035" s="1">
        <v>45072</v>
      </c>
      <c r="B1035" t="s">
        <v>29</v>
      </c>
      <c r="C1035" t="s">
        <v>11</v>
      </c>
      <c r="D1035" t="s">
        <v>22</v>
      </c>
      <c r="E1035">
        <v>4</v>
      </c>
      <c r="F1035">
        <v>3260</v>
      </c>
      <c r="G1035">
        <v>969.76</v>
      </c>
      <c r="H1035">
        <v>2023</v>
      </c>
      <c r="I1035" t="s">
        <v>20</v>
      </c>
      <c r="J1035" s="4">
        <v>0.29747239263803699</v>
      </c>
      <c r="K1035" t="s">
        <v>40</v>
      </c>
      <c r="L1035" t="s">
        <v>59</v>
      </c>
      <c r="M1035">
        <v>5</v>
      </c>
      <c r="N1035" t="s">
        <v>20</v>
      </c>
    </row>
    <row r="1036" spans="1:14" x14ac:dyDescent="0.3">
      <c r="A1036" s="1">
        <v>45288</v>
      </c>
      <c r="B1036" t="s">
        <v>29</v>
      </c>
      <c r="C1036" t="s">
        <v>11</v>
      </c>
      <c r="D1036" t="s">
        <v>17</v>
      </c>
      <c r="E1036">
        <v>1</v>
      </c>
      <c r="F1036">
        <v>373</v>
      </c>
      <c r="G1036">
        <v>53.15</v>
      </c>
      <c r="H1036">
        <v>2023</v>
      </c>
      <c r="I1036" t="s">
        <v>13</v>
      </c>
      <c r="J1036" s="4">
        <v>0.142493297587131</v>
      </c>
      <c r="K1036" t="s">
        <v>40</v>
      </c>
      <c r="L1036" t="s">
        <v>52</v>
      </c>
      <c r="M1036">
        <v>12</v>
      </c>
      <c r="N1036" t="s">
        <v>53</v>
      </c>
    </row>
    <row r="1037" spans="1:14" x14ac:dyDescent="0.3">
      <c r="A1037" s="1">
        <v>45288</v>
      </c>
      <c r="B1037" t="s">
        <v>29</v>
      </c>
      <c r="C1037" t="s">
        <v>11</v>
      </c>
      <c r="D1037" t="s">
        <v>22</v>
      </c>
      <c r="E1037">
        <v>7</v>
      </c>
      <c r="F1037">
        <v>2009</v>
      </c>
      <c r="G1037">
        <v>183.19</v>
      </c>
      <c r="H1037">
        <v>2023</v>
      </c>
      <c r="I1037" t="s">
        <v>13</v>
      </c>
      <c r="J1037" s="4">
        <v>9.1184668989546996E-2</v>
      </c>
      <c r="K1037" t="s">
        <v>40</v>
      </c>
      <c r="L1037" t="s">
        <v>52</v>
      </c>
      <c r="M1037">
        <v>12</v>
      </c>
      <c r="N1037" t="s">
        <v>53</v>
      </c>
    </row>
    <row r="1038" spans="1:14" x14ac:dyDescent="0.3">
      <c r="A1038" s="1">
        <v>45039</v>
      </c>
      <c r="B1038" t="s">
        <v>29</v>
      </c>
      <c r="C1038" t="s">
        <v>11</v>
      </c>
      <c r="D1038" t="s">
        <v>17</v>
      </c>
      <c r="E1038">
        <v>3</v>
      </c>
      <c r="F1038">
        <v>3471</v>
      </c>
      <c r="G1038">
        <v>200.08</v>
      </c>
      <c r="H1038">
        <v>2023</v>
      </c>
      <c r="I1038" t="s">
        <v>23</v>
      </c>
      <c r="J1038" s="4">
        <v>5.7643330452319202E-2</v>
      </c>
      <c r="K1038" t="s">
        <v>40</v>
      </c>
      <c r="L1038" t="s">
        <v>59</v>
      </c>
      <c r="M1038">
        <v>4</v>
      </c>
      <c r="N1038" t="s">
        <v>62</v>
      </c>
    </row>
    <row r="1039" spans="1:14" x14ac:dyDescent="0.3">
      <c r="A1039" s="1">
        <v>45097</v>
      </c>
      <c r="B1039" t="s">
        <v>29</v>
      </c>
      <c r="C1039" t="s">
        <v>11</v>
      </c>
      <c r="D1039" t="s">
        <v>12</v>
      </c>
      <c r="E1039">
        <v>4</v>
      </c>
      <c r="F1039">
        <v>2048</v>
      </c>
      <c r="G1039">
        <v>507.01</v>
      </c>
      <c r="H1039">
        <v>2023</v>
      </c>
      <c r="I1039" t="s">
        <v>27</v>
      </c>
      <c r="J1039" s="4">
        <v>0.2475634765625</v>
      </c>
      <c r="K1039" t="s">
        <v>40</v>
      </c>
      <c r="L1039" t="s">
        <v>59</v>
      </c>
      <c r="M1039">
        <v>6</v>
      </c>
      <c r="N1039" t="s">
        <v>66</v>
      </c>
    </row>
    <row r="1040" spans="1:14" x14ac:dyDescent="0.3">
      <c r="A1040" s="1">
        <v>44988</v>
      </c>
      <c r="B1040" t="s">
        <v>29</v>
      </c>
      <c r="C1040" t="s">
        <v>11</v>
      </c>
      <c r="D1040" t="s">
        <v>12</v>
      </c>
      <c r="E1040">
        <v>5</v>
      </c>
      <c r="F1040">
        <v>2595</v>
      </c>
      <c r="G1040">
        <v>774.2</v>
      </c>
      <c r="H1040">
        <v>2023</v>
      </c>
      <c r="I1040" t="s">
        <v>15</v>
      </c>
      <c r="J1040" s="4">
        <v>0.298342967244701</v>
      </c>
      <c r="K1040" t="s">
        <v>40</v>
      </c>
      <c r="L1040" t="s">
        <v>55</v>
      </c>
      <c r="M1040">
        <v>3</v>
      </c>
      <c r="N1040" t="s">
        <v>56</v>
      </c>
    </row>
    <row r="1041" spans="1:14" x14ac:dyDescent="0.3">
      <c r="A1041" s="1">
        <v>45168</v>
      </c>
      <c r="B1041" t="s">
        <v>29</v>
      </c>
      <c r="C1041" t="s">
        <v>11</v>
      </c>
      <c r="D1041" t="s">
        <v>19</v>
      </c>
      <c r="E1041">
        <v>1</v>
      </c>
      <c r="F1041">
        <v>610</v>
      </c>
      <c r="G1041">
        <v>44.99</v>
      </c>
      <c r="H1041">
        <v>2023</v>
      </c>
      <c r="I1041" t="s">
        <v>24</v>
      </c>
      <c r="J1041" s="4">
        <v>7.3754098360655801E-2</v>
      </c>
      <c r="K1041" t="s">
        <v>40</v>
      </c>
      <c r="L1041" t="s">
        <v>60</v>
      </c>
      <c r="M1041">
        <v>8</v>
      </c>
      <c r="N1041" t="s">
        <v>63</v>
      </c>
    </row>
    <row r="1042" spans="1:14" x14ac:dyDescent="0.3">
      <c r="A1042" s="1">
        <v>45135</v>
      </c>
      <c r="B1042" t="s">
        <v>29</v>
      </c>
      <c r="C1042" t="s">
        <v>11</v>
      </c>
      <c r="D1042" t="s">
        <v>17</v>
      </c>
      <c r="E1042">
        <v>2</v>
      </c>
      <c r="F1042">
        <v>1280</v>
      </c>
      <c r="G1042">
        <v>335.22</v>
      </c>
      <c r="H1042">
        <v>2023</v>
      </c>
      <c r="I1042" t="s">
        <v>25</v>
      </c>
      <c r="J1042" s="4">
        <v>0.26189062499999999</v>
      </c>
      <c r="K1042" t="s">
        <v>40</v>
      </c>
      <c r="L1042" t="s">
        <v>60</v>
      </c>
      <c r="M1042">
        <v>7</v>
      </c>
      <c r="N1042" t="s">
        <v>64</v>
      </c>
    </row>
    <row r="1043" spans="1:14" x14ac:dyDescent="0.3">
      <c r="A1043" s="1">
        <v>45118</v>
      </c>
      <c r="B1043" t="s">
        <v>29</v>
      </c>
      <c r="C1043" t="s">
        <v>11</v>
      </c>
      <c r="D1043" t="s">
        <v>22</v>
      </c>
      <c r="E1043">
        <v>5</v>
      </c>
      <c r="F1043">
        <v>4880</v>
      </c>
      <c r="G1043">
        <v>829.03</v>
      </c>
      <c r="H1043">
        <v>2023</v>
      </c>
      <c r="I1043" t="s">
        <v>25</v>
      </c>
      <c r="J1043" s="4">
        <v>0.169883196721311</v>
      </c>
      <c r="K1043" t="s">
        <v>40</v>
      </c>
      <c r="L1043" t="s">
        <v>60</v>
      </c>
      <c r="M1043">
        <v>7</v>
      </c>
      <c r="N1043" t="s">
        <v>64</v>
      </c>
    </row>
    <row r="1044" spans="1:14" x14ac:dyDescent="0.3">
      <c r="A1044" s="1">
        <v>45094</v>
      </c>
      <c r="B1044" t="s">
        <v>29</v>
      </c>
      <c r="C1044" t="s">
        <v>11</v>
      </c>
      <c r="D1044" t="s">
        <v>12</v>
      </c>
      <c r="E1044">
        <v>4</v>
      </c>
      <c r="F1044">
        <v>4572</v>
      </c>
      <c r="G1044">
        <v>1199.49</v>
      </c>
      <c r="H1044">
        <v>2023</v>
      </c>
      <c r="I1044" t="s">
        <v>27</v>
      </c>
      <c r="J1044" s="4">
        <v>0.262355643044619</v>
      </c>
      <c r="K1044" t="s">
        <v>40</v>
      </c>
      <c r="L1044" t="s">
        <v>59</v>
      </c>
      <c r="M1044">
        <v>6</v>
      </c>
      <c r="N1044" t="s">
        <v>66</v>
      </c>
    </row>
    <row r="1045" spans="1:14" x14ac:dyDescent="0.3">
      <c r="A1045" s="1">
        <v>45140</v>
      </c>
      <c r="B1045" t="s">
        <v>29</v>
      </c>
      <c r="C1045" t="s">
        <v>11</v>
      </c>
      <c r="D1045" t="s">
        <v>12</v>
      </c>
      <c r="E1045">
        <v>9</v>
      </c>
      <c r="F1045">
        <v>1728</v>
      </c>
      <c r="G1045">
        <v>179.64</v>
      </c>
      <c r="H1045">
        <v>2023</v>
      </c>
      <c r="I1045" t="s">
        <v>24</v>
      </c>
      <c r="J1045" s="4">
        <v>0.103958333333333</v>
      </c>
      <c r="K1045" t="s">
        <v>40</v>
      </c>
      <c r="L1045" t="s">
        <v>60</v>
      </c>
      <c r="M1045">
        <v>8</v>
      </c>
      <c r="N1045" t="s">
        <v>63</v>
      </c>
    </row>
    <row r="1046" spans="1:14" x14ac:dyDescent="0.3">
      <c r="A1046" s="1">
        <v>45097</v>
      </c>
      <c r="B1046" t="s">
        <v>29</v>
      </c>
      <c r="C1046" t="s">
        <v>11</v>
      </c>
      <c r="D1046" t="s">
        <v>17</v>
      </c>
      <c r="E1046">
        <v>2</v>
      </c>
      <c r="F1046">
        <v>1980</v>
      </c>
      <c r="G1046">
        <v>125.99</v>
      </c>
      <c r="H1046">
        <v>2023</v>
      </c>
      <c r="I1046" t="s">
        <v>27</v>
      </c>
      <c r="J1046" s="4">
        <v>6.3631313131313094E-2</v>
      </c>
      <c r="K1046" t="s">
        <v>40</v>
      </c>
      <c r="L1046" t="s">
        <v>59</v>
      </c>
      <c r="M1046">
        <v>6</v>
      </c>
      <c r="N1046" t="s">
        <v>66</v>
      </c>
    </row>
    <row r="1047" spans="1:14" x14ac:dyDescent="0.3">
      <c r="A1047" s="1">
        <v>45173</v>
      </c>
      <c r="B1047" t="s">
        <v>29</v>
      </c>
      <c r="C1047" t="s">
        <v>11</v>
      </c>
      <c r="D1047" t="s">
        <v>22</v>
      </c>
      <c r="E1047">
        <v>1</v>
      </c>
      <c r="F1047">
        <v>187</v>
      </c>
      <c r="G1047">
        <v>33.76</v>
      </c>
      <c r="H1047">
        <v>2023</v>
      </c>
      <c r="I1047" t="s">
        <v>21</v>
      </c>
      <c r="J1047" s="4">
        <v>0.180534759358289</v>
      </c>
      <c r="K1047" t="s">
        <v>40</v>
      </c>
      <c r="L1047" t="s">
        <v>60</v>
      </c>
      <c r="M1047">
        <v>9</v>
      </c>
      <c r="N1047" t="s">
        <v>61</v>
      </c>
    </row>
    <row r="1048" spans="1:14" x14ac:dyDescent="0.3">
      <c r="A1048" s="1">
        <v>45139</v>
      </c>
      <c r="B1048" t="s">
        <v>29</v>
      </c>
      <c r="C1048" t="s">
        <v>11</v>
      </c>
      <c r="D1048" t="s">
        <v>19</v>
      </c>
      <c r="E1048">
        <v>7</v>
      </c>
      <c r="F1048">
        <v>6216</v>
      </c>
      <c r="G1048">
        <v>378.24</v>
      </c>
      <c r="H1048">
        <v>2023</v>
      </c>
      <c r="I1048" t="s">
        <v>24</v>
      </c>
      <c r="J1048" s="4">
        <v>6.0849420849420799E-2</v>
      </c>
      <c r="K1048" t="s">
        <v>40</v>
      </c>
      <c r="L1048" t="s">
        <v>60</v>
      </c>
      <c r="M1048">
        <v>8</v>
      </c>
      <c r="N1048" t="s">
        <v>63</v>
      </c>
    </row>
    <row r="1049" spans="1:14" x14ac:dyDescent="0.3">
      <c r="A1049" s="1">
        <v>45071</v>
      </c>
      <c r="B1049" t="s">
        <v>29</v>
      </c>
      <c r="C1049" t="s">
        <v>11</v>
      </c>
      <c r="D1049" t="s">
        <v>19</v>
      </c>
      <c r="E1049">
        <v>7</v>
      </c>
      <c r="F1049">
        <v>4382</v>
      </c>
      <c r="G1049">
        <v>592.46</v>
      </c>
      <c r="H1049">
        <v>2023</v>
      </c>
      <c r="I1049" t="s">
        <v>20</v>
      </c>
      <c r="J1049" s="4">
        <v>0.13520310360566001</v>
      </c>
      <c r="K1049" t="s">
        <v>40</v>
      </c>
      <c r="L1049" t="s">
        <v>59</v>
      </c>
      <c r="M1049">
        <v>5</v>
      </c>
      <c r="N1049" t="s">
        <v>20</v>
      </c>
    </row>
    <row r="1050" spans="1:14" x14ac:dyDescent="0.3">
      <c r="A1050" s="1">
        <v>45002</v>
      </c>
      <c r="B1050" t="s">
        <v>29</v>
      </c>
      <c r="C1050" t="s">
        <v>11</v>
      </c>
      <c r="D1050" t="s">
        <v>12</v>
      </c>
      <c r="E1050">
        <v>6</v>
      </c>
      <c r="F1050">
        <v>606</v>
      </c>
      <c r="G1050">
        <v>127.68</v>
      </c>
      <c r="H1050">
        <v>2023</v>
      </c>
      <c r="I1050" t="s">
        <v>15</v>
      </c>
      <c r="J1050" s="4">
        <v>0.21069306930693099</v>
      </c>
      <c r="K1050" t="s">
        <v>40</v>
      </c>
      <c r="L1050" t="s">
        <v>55</v>
      </c>
      <c r="M1050">
        <v>3</v>
      </c>
      <c r="N1050" t="s">
        <v>56</v>
      </c>
    </row>
    <row r="1051" spans="1:14" x14ac:dyDescent="0.3">
      <c r="A1051" s="1">
        <v>45115</v>
      </c>
      <c r="B1051" t="s">
        <v>29</v>
      </c>
      <c r="C1051" t="s">
        <v>11</v>
      </c>
      <c r="D1051" t="s">
        <v>12</v>
      </c>
      <c r="E1051">
        <v>3</v>
      </c>
      <c r="F1051">
        <v>1887</v>
      </c>
      <c r="G1051">
        <v>363.42</v>
      </c>
      <c r="H1051">
        <v>2023</v>
      </c>
      <c r="I1051" t="s">
        <v>25</v>
      </c>
      <c r="J1051" s="4">
        <v>0.192591414944356</v>
      </c>
      <c r="K1051" t="s">
        <v>40</v>
      </c>
      <c r="L1051" t="s">
        <v>60</v>
      </c>
      <c r="M1051">
        <v>7</v>
      </c>
      <c r="N1051" t="s">
        <v>64</v>
      </c>
    </row>
    <row r="1052" spans="1:14" x14ac:dyDescent="0.3">
      <c r="A1052" s="1">
        <v>45049</v>
      </c>
      <c r="B1052" t="s">
        <v>29</v>
      </c>
      <c r="C1052" t="s">
        <v>11</v>
      </c>
      <c r="D1052" t="s">
        <v>22</v>
      </c>
      <c r="E1052">
        <v>6</v>
      </c>
      <c r="F1052">
        <v>2100</v>
      </c>
      <c r="G1052">
        <v>268.39999999999998</v>
      </c>
      <c r="H1052">
        <v>2023</v>
      </c>
      <c r="I1052" t="s">
        <v>20</v>
      </c>
      <c r="J1052" s="4">
        <v>0.12780952380952401</v>
      </c>
      <c r="K1052" t="s">
        <v>40</v>
      </c>
      <c r="L1052" t="s">
        <v>59</v>
      </c>
      <c r="M1052">
        <v>5</v>
      </c>
      <c r="N1052" t="s">
        <v>20</v>
      </c>
    </row>
    <row r="1053" spans="1:14" x14ac:dyDescent="0.3">
      <c r="A1053" s="1">
        <v>45037</v>
      </c>
      <c r="B1053" t="s">
        <v>29</v>
      </c>
      <c r="C1053" t="s">
        <v>11</v>
      </c>
      <c r="D1053" t="s">
        <v>17</v>
      </c>
      <c r="E1053">
        <v>3</v>
      </c>
      <c r="F1053">
        <v>2628</v>
      </c>
      <c r="G1053">
        <v>781.94</v>
      </c>
      <c r="H1053">
        <v>2023</v>
      </c>
      <c r="I1053" t="s">
        <v>23</v>
      </c>
      <c r="J1053" s="4">
        <v>0.29754185692541901</v>
      </c>
      <c r="K1053" t="s">
        <v>40</v>
      </c>
      <c r="L1053" t="s">
        <v>59</v>
      </c>
      <c r="M1053">
        <v>4</v>
      </c>
      <c r="N1053" t="s">
        <v>62</v>
      </c>
    </row>
    <row r="1054" spans="1:14" x14ac:dyDescent="0.3">
      <c r="A1054" s="1">
        <v>44973</v>
      </c>
      <c r="B1054" t="s">
        <v>29</v>
      </c>
      <c r="C1054" t="s">
        <v>11</v>
      </c>
      <c r="D1054" t="s">
        <v>19</v>
      </c>
      <c r="E1054">
        <v>2</v>
      </c>
      <c r="F1054">
        <v>858</v>
      </c>
      <c r="G1054">
        <v>73.489999999999995</v>
      </c>
      <c r="H1054">
        <v>2023</v>
      </c>
      <c r="I1054" t="s">
        <v>16</v>
      </c>
      <c r="J1054" s="4">
        <v>8.5652680652680599E-2</v>
      </c>
      <c r="K1054" t="s">
        <v>40</v>
      </c>
      <c r="L1054" t="s">
        <v>55</v>
      </c>
      <c r="M1054">
        <v>2</v>
      </c>
      <c r="N1054" t="s">
        <v>57</v>
      </c>
    </row>
    <row r="1055" spans="1:14" x14ac:dyDescent="0.3">
      <c r="A1055" s="1">
        <v>45079</v>
      </c>
      <c r="B1055" t="s">
        <v>29</v>
      </c>
      <c r="C1055" t="s">
        <v>11</v>
      </c>
      <c r="D1055" t="s">
        <v>12</v>
      </c>
      <c r="E1055">
        <v>6</v>
      </c>
      <c r="F1055">
        <v>6030</v>
      </c>
      <c r="G1055">
        <v>511.7</v>
      </c>
      <c r="H1055">
        <v>2023</v>
      </c>
      <c r="I1055" t="s">
        <v>27</v>
      </c>
      <c r="J1055" s="4">
        <v>8.4859038142620205E-2</v>
      </c>
      <c r="K1055" t="s">
        <v>40</v>
      </c>
      <c r="L1055" t="s">
        <v>59</v>
      </c>
      <c r="M1055">
        <v>6</v>
      </c>
      <c r="N1055" t="s">
        <v>66</v>
      </c>
    </row>
    <row r="1056" spans="1:14" x14ac:dyDescent="0.3">
      <c r="A1056" s="1">
        <v>45165</v>
      </c>
      <c r="B1056" t="s">
        <v>29</v>
      </c>
      <c r="C1056" t="s">
        <v>11</v>
      </c>
      <c r="D1056" t="s">
        <v>22</v>
      </c>
      <c r="E1056">
        <v>1</v>
      </c>
      <c r="F1056">
        <v>430</v>
      </c>
      <c r="G1056">
        <v>83.33</v>
      </c>
      <c r="H1056">
        <v>2023</v>
      </c>
      <c r="I1056" t="s">
        <v>24</v>
      </c>
      <c r="J1056" s="4">
        <v>0.193790697674419</v>
      </c>
      <c r="K1056" t="s">
        <v>40</v>
      </c>
      <c r="L1056" t="s">
        <v>60</v>
      </c>
      <c r="M1056">
        <v>8</v>
      </c>
      <c r="N1056" t="s">
        <v>63</v>
      </c>
    </row>
    <row r="1057" spans="1:14" x14ac:dyDescent="0.3">
      <c r="A1057" s="1">
        <v>45010</v>
      </c>
      <c r="B1057" t="s">
        <v>29</v>
      </c>
      <c r="C1057" t="s">
        <v>11</v>
      </c>
      <c r="D1057" t="s">
        <v>22</v>
      </c>
      <c r="E1057">
        <v>2</v>
      </c>
      <c r="F1057">
        <v>1298</v>
      </c>
      <c r="G1057">
        <v>123.9</v>
      </c>
      <c r="H1057">
        <v>2023</v>
      </c>
      <c r="I1057" t="s">
        <v>15</v>
      </c>
      <c r="J1057" s="4">
        <v>9.5454545454545403E-2</v>
      </c>
      <c r="K1057" t="s">
        <v>40</v>
      </c>
      <c r="L1057" t="s">
        <v>55</v>
      </c>
      <c r="M1057">
        <v>3</v>
      </c>
      <c r="N1057" t="s">
        <v>56</v>
      </c>
    </row>
    <row r="1058" spans="1:14" x14ac:dyDescent="0.3">
      <c r="A1058" s="1">
        <v>45245</v>
      </c>
      <c r="B1058" t="s">
        <v>29</v>
      </c>
      <c r="C1058" t="s">
        <v>11</v>
      </c>
      <c r="D1058" t="s">
        <v>12</v>
      </c>
      <c r="E1058">
        <v>3</v>
      </c>
      <c r="F1058">
        <v>813</v>
      </c>
      <c r="G1058">
        <v>188.94</v>
      </c>
      <c r="H1058">
        <v>2023</v>
      </c>
      <c r="I1058" t="s">
        <v>18</v>
      </c>
      <c r="J1058" s="4">
        <v>0.23239852398524</v>
      </c>
      <c r="K1058" t="s">
        <v>40</v>
      </c>
      <c r="L1058" t="s">
        <v>52</v>
      </c>
      <c r="M1058">
        <v>11</v>
      </c>
      <c r="N1058" t="s">
        <v>58</v>
      </c>
    </row>
    <row r="1059" spans="1:14" x14ac:dyDescent="0.3">
      <c r="A1059" s="1">
        <v>44986</v>
      </c>
      <c r="B1059" t="s">
        <v>29</v>
      </c>
      <c r="C1059" t="s">
        <v>11</v>
      </c>
      <c r="D1059" t="s">
        <v>19</v>
      </c>
      <c r="E1059">
        <v>4</v>
      </c>
      <c r="F1059">
        <v>3028</v>
      </c>
      <c r="G1059">
        <v>685.23</v>
      </c>
      <c r="H1059">
        <v>2023</v>
      </c>
      <c r="I1059" t="s">
        <v>15</v>
      </c>
      <c r="J1059" s="4">
        <v>0.226297886393659</v>
      </c>
      <c r="K1059" t="s">
        <v>40</v>
      </c>
      <c r="L1059" t="s">
        <v>55</v>
      </c>
      <c r="M1059">
        <v>3</v>
      </c>
      <c r="N1059" t="s">
        <v>56</v>
      </c>
    </row>
    <row r="1060" spans="1:14" x14ac:dyDescent="0.3">
      <c r="A1060" s="1">
        <v>45210</v>
      </c>
      <c r="B1060" t="s">
        <v>29</v>
      </c>
      <c r="C1060" t="s">
        <v>11</v>
      </c>
      <c r="D1060" t="s">
        <v>17</v>
      </c>
      <c r="E1060">
        <v>8</v>
      </c>
      <c r="F1060">
        <v>6968</v>
      </c>
      <c r="G1060">
        <v>704.55</v>
      </c>
      <c r="H1060">
        <v>2023</v>
      </c>
      <c r="I1060" t="s">
        <v>14</v>
      </c>
      <c r="J1060" s="4">
        <v>0.101112227324914</v>
      </c>
      <c r="K1060" t="s">
        <v>40</v>
      </c>
      <c r="L1060" t="s">
        <v>52</v>
      </c>
      <c r="M1060">
        <v>10</v>
      </c>
      <c r="N1060" t="s">
        <v>54</v>
      </c>
    </row>
    <row r="1061" spans="1:14" x14ac:dyDescent="0.3">
      <c r="A1061" s="1">
        <v>45002</v>
      </c>
      <c r="B1061" t="s">
        <v>29</v>
      </c>
      <c r="C1061" t="s">
        <v>11</v>
      </c>
      <c r="D1061" t="s">
        <v>12</v>
      </c>
      <c r="E1061">
        <v>8</v>
      </c>
      <c r="F1061">
        <v>1184</v>
      </c>
      <c r="G1061">
        <v>148.69</v>
      </c>
      <c r="H1061">
        <v>2023</v>
      </c>
      <c r="I1061" t="s">
        <v>15</v>
      </c>
      <c r="J1061" s="4">
        <v>0.12558277027027001</v>
      </c>
      <c r="K1061" t="s">
        <v>40</v>
      </c>
      <c r="L1061" t="s">
        <v>55</v>
      </c>
      <c r="M1061">
        <v>3</v>
      </c>
      <c r="N1061" t="s">
        <v>56</v>
      </c>
    </row>
    <row r="1062" spans="1:14" x14ac:dyDescent="0.3">
      <c r="A1062" s="1">
        <v>44954</v>
      </c>
      <c r="B1062" t="s">
        <v>29</v>
      </c>
      <c r="C1062" t="s">
        <v>11</v>
      </c>
      <c r="D1062" t="s">
        <v>19</v>
      </c>
      <c r="E1062">
        <v>1</v>
      </c>
      <c r="F1062">
        <v>169</v>
      </c>
      <c r="G1062">
        <v>22.99</v>
      </c>
      <c r="H1062">
        <v>2023</v>
      </c>
      <c r="I1062" t="s">
        <v>26</v>
      </c>
      <c r="J1062" s="4">
        <v>0.13603550295858</v>
      </c>
      <c r="K1062" t="s">
        <v>40</v>
      </c>
      <c r="L1062" t="s">
        <v>55</v>
      </c>
      <c r="M1062">
        <v>1</v>
      </c>
      <c r="N1062" t="s">
        <v>65</v>
      </c>
    </row>
    <row r="1063" spans="1:14" x14ac:dyDescent="0.3">
      <c r="A1063" s="1">
        <v>45200</v>
      </c>
      <c r="B1063" t="s">
        <v>29</v>
      </c>
      <c r="C1063" t="s">
        <v>11</v>
      </c>
      <c r="D1063" t="s">
        <v>12</v>
      </c>
      <c r="E1063">
        <v>7</v>
      </c>
      <c r="F1063">
        <v>1463</v>
      </c>
      <c r="G1063">
        <v>175.13</v>
      </c>
      <c r="H1063">
        <v>2023</v>
      </c>
      <c r="I1063" t="s">
        <v>14</v>
      </c>
      <c r="J1063" s="4">
        <v>0.119706083390294</v>
      </c>
      <c r="K1063" t="s">
        <v>40</v>
      </c>
      <c r="L1063" t="s">
        <v>52</v>
      </c>
      <c r="M1063">
        <v>10</v>
      </c>
      <c r="N1063" t="s">
        <v>54</v>
      </c>
    </row>
    <row r="1064" spans="1:14" x14ac:dyDescent="0.3">
      <c r="A1064" s="1">
        <v>44964</v>
      </c>
      <c r="B1064" t="s">
        <v>29</v>
      </c>
      <c r="C1064" t="s">
        <v>11</v>
      </c>
      <c r="D1064" t="s">
        <v>17</v>
      </c>
      <c r="E1064">
        <v>2</v>
      </c>
      <c r="F1064">
        <v>1212</v>
      </c>
      <c r="G1064">
        <v>151.07</v>
      </c>
      <c r="H1064">
        <v>2023</v>
      </c>
      <c r="I1064" t="s">
        <v>16</v>
      </c>
      <c r="J1064" s="4">
        <v>0.124645214521452</v>
      </c>
      <c r="K1064" t="s">
        <v>40</v>
      </c>
      <c r="L1064" t="s">
        <v>55</v>
      </c>
      <c r="M1064">
        <v>2</v>
      </c>
      <c r="N1064" t="s">
        <v>57</v>
      </c>
    </row>
    <row r="1065" spans="1:14" x14ac:dyDescent="0.3">
      <c r="A1065" s="1">
        <v>45034</v>
      </c>
      <c r="B1065" t="s">
        <v>29</v>
      </c>
      <c r="C1065" t="s">
        <v>11</v>
      </c>
      <c r="D1065" t="s">
        <v>19</v>
      </c>
      <c r="E1065">
        <v>8</v>
      </c>
      <c r="F1065">
        <v>3864</v>
      </c>
      <c r="G1065">
        <v>855.75</v>
      </c>
      <c r="H1065">
        <v>2023</v>
      </c>
      <c r="I1065" t="s">
        <v>23</v>
      </c>
      <c r="J1065" s="4">
        <v>0.221467391304348</v>
      </c>
      <c r="K1065" t="s">
        <v>40</v>
      </c>
      <c r="L1065" t="s">
        <v>59</v>
      </c>
      <c r="M1065">
        <v>4</v>
      </c>
      <c r="N1065" t="s">
        <v>62</v>
      </c>
    </row>
    <row r="1066" spans="1:14" x14ac:dyDescent="0.3">
      <c r="A1066" s="1">
        <v>45127</v>
      </c>
      <c r="B1066" t="s">
        <v>29</v>
      </c>
      <c r="C1066" t="s">
        <v>11</v>
      </c>
      <c r="D1066" t="s">
        <v>22</v>
      </c>
      <c r="E1066">
        <v>1</v>
      </c>
      <c r="F1066">
        <v>619</v>
      </c>
      <c r="G1066">
        <v>35.36</v>
      </c>
      <c r="H1066">
        <v>2023</v>
      </c>
      <c r="I1066" t="s">
        <v>25</v>
      </c>
      <c r="J1066" s="4">
        <v>5.7124394184168002E-2</v>
      </c>
      <c r="K1066" t="s">
        <v>40</v>
      </c>
      <c r="L1066" t="s">
        <v>60</v>
      </c>
      <c r="M1066">
        <v>7</v>
      </c>
      <c r="N1066" t="s">
        <v>64</v>
      </c>
    </row>
    <row r="1067" spans="1:14" x14ac:dyDescent="0.3">
      <c r="A1067" s="1">
        <v>45282</v>
      </c>
      <c r="B1067" t="s">
        <v>29</v>
      </c>
      <c r="C1067" t="s">
        <v>11</v>
      </c>
      <c r="D1067" t="s">
        <v>17</v>
      </c>
      <c r="E1067">
        <v>7</v>
      </c>
      <c r="F1067">
        <v>4704</v>
      </c>
      <c r="G1067">
        <v>978.81</v>
      </c>
      <c r="H1067">
        <v>2023</v>
      </c>
      <c r="I1067" t="s">
        <v>13</v>
      </c>
      <c r="J1067" s="4">
        <v>0.208080357142857</v>
      </c>
      <c r="K1067" t="s">
        <v>40</v>
      </c>
      <c r="L1067" t="s">
        <v>52</v>
      </c>
      <c r="M1067">
        <v>12</v>
      </c>
      <c r="N1067" t="s">
        <v>53</v>
      </c>
    </row>
    <row r="1068" spans="1:14" x14ac:dyDescent="0.3">
      <c r="A1068" s="1">
        <v>45259</v>
      </c>
      <c r="B1068" t="s">
        <v>29</v>
      </c>
      <c r="C1068" t="s">
        <v>11</v>
      </c>
      <c r="D1068" t="s">
        <v>17</v>
      </c>
      <c r="E1068">
        <v>5</v>
      </c>
      <c r="F1068">
        <v>1630</v>
      </c>
      <c r="G1068">
        <v>190.38</v>
      </c>
      <c r="H1068">
        <v>2023</v>
      </c>
      <c r="I1068" t="s">
        <v>18</v>
      </c>
      <c r="J1068" s="4">
        <v>0.11679754601227001</v>
      </c>
      <c r="K1068" t="s">
        <v>40</v>
      </c>
      <c r="L1068" t="s">
        <v>52</v>
      </c>
      <c r="M1068">
        <v>11</v>
      </c>
      <c r="N1068" t="s">
        <v>58</v>
      </c>
    </row>
    <row r="1069" spans="1:14" x14ac:dyDescent="0.3">
      <c r="A1069" s="1">
        <v>45050</v>
      </c>
      <c r="B1069" t="s">
        <v>29</v>
      </c>
      <c r="C1069" t="s">
        <v>11</v>
      </c>
      <c r="D1069" t="s">
        <v>19</v>
      </c>
      <c r="E1069">
        <v>7</v>
      </c>
      <c r="F1069">
        <v>707</v>
      </c>
      <c r="G1069">
        <v>124.59</v>
      </c>
      <c r="H1069">
        <v>2023</v>
      </c>
      <c r="I1069" t="s">
        <v>20</v>
      </c>
      <c r="J1069" s="4">
        <v>0.176223479490806</v>
      </c>
      <c r="K1069" t="s">
        <v>40</v>
      </c>
      <c r="L1069" t="s">
        <v>59</v>
      </c>
      <c r="M1069">
        <v>5</v>
      </c>
      <c r="N1069" t="s">
        <v>20</v>
      </c>
    </row>
    <row r="1070" spans="1:14" x14ac:dyDescent="0.3">
      <c r="A1070" s="1">
        <v>44939</v>
      </c>
      <c r="B1070" t="s">
        <v>29</v>
      </c>
      <c r="C1070" t="s">
        <v>11</v>
      </c>
      <c r="D1070" t="s">
        <v>12</v>
      </c>
      <c r="E1070">
        <v>1</v>
      </c>
      <c r="F1070">
        <v>853</v>
      </c>
      <c r="G1070">
        <v>97.5</v>
      </c>
      <c r="H1070">
        <v>2023</v>
      </c>
      <c r="I1070" t="s">
        <v>26</v>
      </c>
      <c r="J1070" s="4">
        <v>0.114302461899179</v>
      </c>
      <c r="K1070" t="s">
        <v>40</v>
      </c>
      <c r="L1070" t="s">
        <v>55</v>
      </c>
      <c r="M1070">
        <v>1</v>
      </c>
      <c r="N1070" t="s">
        <v>65</v>
      </c>
    </row>
    <row r="1071" spans="1:14" x14ac:dyDescent="0.3">
      <c r="A1071" s="1">
        <v>45137</v>
      </c>
      <c r="B1071" t="s">
        <v>29</v>
      </c>
      <c r="C1071" t="s">
        <v>11</v>
      </c>
      <c r="D1071" t="s">
        <v>17</v>
      </c>
      <c r="E1071">
        <v>6</v>
      </c>
      <c r="F1071">
        <v>6378</v>
      </c>
      <c r="G1071">
        <v>1408.28</v>
      </c>
      <c r="H1071">
        <v>2023</v>
      </c>
      <c r="I1071" t="s">
        <v>25</v>
      </c>
      <c r="J1071" s="4">
        <v>0.220802759485732</v>
      </c>
      <c r="K1071" t="s">
        <v>40</v>
      </c>
      <c r="L1071" t="s">
        <v>60</v>
      </c>
      <c r="M1071">
        <v>7</v>
      </c>
      <c r="N1071" t="s">
        <v>64</v>
      </c>
    </row>
    <row r="1072" spans="1:14" x14ac:dyDescent="0.3">
      <c r="A1072" s="1">
        <v>45048</v>
      </c>
      <c r="B1072" t="s">
        <v>29</v>
      </c>
      <c r="C1072" t="s">
        <v>11</v>
      </c>
      <c r="D1072" t="s">
        <v>19</v>
      </c>
      <c r="E1072">
        <v>1</v>
      </c>
      <c r="F1072">
        <v>1131</v>
      </c>
      <c r="G1072">
        <v>140.55000000000001</v>
      </c>
      <c r="H1072">
        <v>2023</v>
      </c>
      <c r="I1072" t="s">
        <v>20</v>
      </c>
      <c r="J1072" s="4">
        <v>0.124270557029178</v>
      </c>
      <c r="K1072" t="s">
        <v>40</v>
      </c>
      <c r="L1072" t="s">
        <v>59</v>
      </c>
      <c r="M1072">
        <v>5</v>
      </c>
      <c r="N1072" t="s">
        <v>20</v>
      </c>
    </row>
    <row r="1073" spans="1:14" x14ac:dyDescent="0.3">
      <c r="A1073" s="1">
        <v>45032</v>
      </c>
      <c r="B1073" t="s">
        <v>29</v>
      </c>
      <c r="C1073" t="s">
        <v>11</v>
      </c>
      <c r="D1073" t="s">
        <v>22</v>
      </c>
      <c r="E1073">
        <v>8</v>
      </c>
      <c r="F1073">
        <v>6328</v>
      </c>
      <c r="G1073">
        <v>1257.81</v>
      </c>
      <c r="H1073">
        <v>2023</v>
      </c>
      <c r="I1073" t="s">
        <v>23</v>
      </c>
      <c r="J1073" s="4">
        <v>0.19876896333754701</v>
      </c>
      <c r="K1073" t="s">
        <v>40</v>
      </c>
      <c r="L1073" t="s">
        <v>59</v>
      </c>
      <c r="M1073">
        <v>4</v>
      </c>
      <c r="N1073" t="s">
        <v>62</v>
      </c>
    </row>
    <row r="1074" spans="1:14" x14ac:dyDescent="0.3">
      <c r="A1074" s="1">
        <v>44947</v>
      </c>
      <c r="B1074" t="s">
        <v>29</v>
      </c>
      <c r="C1074" t="s">
        <v>11</v>
      </c>
      <c r="D1074" t="s">
        <v>17</v>
      </c>
      <c r="E1074">
        <v>1</v>
      </c>
      <c r="F1074">
        <v>607</v>
      </c>
      <c r="G1074">
        <v>33.770000000000003</v>
      </c>
      <c r="H1074">
        <v>2023</v>
      </c>
      <c r="I1074" t="s">
        <v>26</v>
      </c>
      <c r="J1074" s="4">
        <v>5.5634266886326202E-2</v>
      </c>
      <c r="K1074" t="s">
        <v>40</v>
      </c>
      <c r="L1074" t="s">
        <v>55</v>
      </c>
      <c r="M1074">
        <v>1</v>
      </c>
      <c r="N1074" t="s">
        <v>65</v>
      </c>
    </row>
    <row r="1075" spans="1:14" x14ac:dyDescent="0.3">
      <c r="A1075" s="1">
        <v>45190</v>
      </c>
      <c r="B1075" t="s">
        <v>29</v>
      </c>
      <c r="C1075" t="s">
        <v>11</v>
      </c>
      <c r="D1075" t="s">
        <v>22</v>
      </c>
      <c r="E1075">
        <v>8</v>
      </c>
      <c r="F1075">
        <v>1456</v>
      </c>
      <c r="G1075">
        <v>271.26</v>
      </c>
      <c r="H1075">
        <v>2023</v>
      </c>
      <c r="I1075" t="s">
        <v>21</v>
      </c>
      <c r="J1075" s="4">
        <v>0.18630494505494499</v>
      </c>
      <c r="K1075" t="s">
        <v>40</v>
      </c>
      <c r="L1075" t="s">
        <v>60</v>
      </c>
      <c r="M1075">
        <v>9</v>
      </c>
      <c r="N1075" t="s">
        <v>61</v>
      </c>
    </row>
    <row r="1076" spans="1:14" x14ac:dyDescent="0.3">
      <c r="A1076" s="1">
        <v>45189</v>
      </c>
      <c r="B1076" t="s">
        <v>29</v>
      </c>
      <c r="C1076" t="s">
        <v>11</v>
      </c>
      <c r="D1076" t="s">
        <v>19</v>
      </c>
      <c r="E1076">
        <v>4</v>
      </c>
      <c r="F1076">
        <v>1768</v>
      </c>
      <c r="G1076">
        <v>345.33</v>
      </c>
      <c r="H1076">
        <v>2023</v>
      </c>
      <c r="I1076" t="s">
        <v>21</v>
      </c>
      <c r="J1076" s="4">
        <v>0.19532239819004499</v>
      </c>
      <c r="K1076" t="s">
        <v>40</v>
      </c>
      <c r="L1076" t="s">
        <v>60</v>
      </c>
      <c r="M1076">
        <v>9</v>
      </c>
      <c r="N1076" t="s">
        <v>61</v>
      </c>
    </row>
    <row r="1077" spans="1:14" x14ac:dyDescent="0.3">
      <c r="A1077" s="1">
        <v>45263</v>
      </c>
      <c r="B1077" t="s">
        <v>29</v>
      </c>
      <c r="C1077" t="s">
        <v>11</v>
      </c>
      <c r="D1077" t="s">
        <v>17</v>
      </c>
      <c r="E1077">
        <v>3</v>
      </c>
      <c r="F1077">
        <v>2883</v>
      </c>
      <c r="G1077">
        <v>671.91</v>
      </c>
      <c r="H1077">
        <v>2023</v>
      </c>
      <c r="I1077" t="s">
        <v>13</v>
      </c>
      <c r="J1077" s="4">
        <v>0.23305931321540099</v>
      </c>
      <c r="K1077" t="s">
        <v>40</v>
      </c>
      <c r="L1077" t="s">
        <v>52</v>
      </c>
      <c r="M1077">
        <v>12</v>
      </c>
      <c r="N1077" t="s">
        <v>53</v>
      </c>
    </row>
    <row r="1078" spans="1:14" x14ac:dyDescent="0.3">
      <c r="A1078" s="1">
        <v>44808</v>
      </c>
      <c r="B1078" t="s">
        <v>30</v>
      </c>
      <c r="C1078" t="s">
        <v>11</v>
      </c>
      <c r="D1078" t="s">
        <v>12</v>
      </c>
      <c r="E1078">
        <v>1</v>
      </c>
      <c r="F1078">
        <v>1126</v>
      </c>
      <c r="G1078">
        <v>194.08</v>
      </c>
      <c r="H1078">
        <v>2022</v>
      </c>
      <c r="I1078" t="s">
        <v>21</v>
      </c>
      <c r="J1078" s="4">
        <v>0.172362344582593</v>
      </c>
      <c r="K1078" t="s">
        <v>42</v>
      </c>
      <c r="L1078" t="s">
        <v>60</v>
      </c>
      <c r="M1078">
        <v>9</v>
      </c>
      <c r="N1078" t="s">
        <v>61</v>
      </c>
    </row>
    <row r="1079" spans="1:14" x14ac:dyDescent="0.3">
      <c r="A1079" s="1">
        <v>44779</v>
      </c>
      <c r="B1079" t="s">
        <v>30</v>
      </c>
      <c r="C1079" t="s">
        <v>11</v>
      </c>
      <c r="D1079" t="s">
        <v>22</v>
      </c>
      <c r="E1079">
        <v>4</v>
      </c>
      <c r="F1079">
        <v>2008</v>
      </c>
      <c r="G1079">
        <v>338.44</v>
      </c>
      <c r="H1079">
        <v>2022</v>
      </c>
      <c r="I1079" t="s">
        <v>24</v>
      </c>
      <c r="J1079" s="4">
        <v>0.16854581673306801</v>
      </c>
      <c r="K1079" t="s">
        <v>42</v>
      </c>
      <c r="L1079" t="s">
        <v>60</v>
      </c>
      <c r="M1079">
        <v>8</v>
      </c>
      <c r="N1079" t="s">
        <v>63</v>
      </c>
    </row>
    <row r="1080" spans="1:14" x14ac:dyDescent="0.3">
      <c r="A1080" s="1">
        <v>44778</v>
      </c>
      <c r="B1080" t="s">
        <v>30</v>
      </c>
      <c r="C1080" t="s">
        <v>11</v>
      </c>
      <c r="D1080" t="s">
        <v>17</v>
      </c>
      <c r="E1080">
        <v>6</v>
      </c>
      <c r="F1080">
        <v>3294</v>
      </c>
      <c r="G1080">
        <v>359.61</v>
      </c>
      <c r="H1080">
        <v>2022</v>
      </c>
      <c r="I1080" t="s">
        <v>24</v>
      </c>
      <c r="J1080" s="4">
        <v>0.109171220400729</v>
      </c>
      <c r="K1080" t="s">
        <v>42</v>
      </c>
      <c r="L1080" t="s">
        <v>60</v>
      </c>
      <c r="M1080">
        <v>8</v>
      </c>
      <c r="N1080" t="s">
        <v>63</v>
      </c>
    </row>
    <row r="1081" spans="1:14" x14ac:dyDescent="0.3">
      <c r="A1081" s="1">
        <v>44628</v>
      </c>
      <c r="B1081" t="s">
        <v>30</v>
      </c>
      <c r="C1081" t="s">
        <v>11</v>
      </c>
      <c r="D1081" t="s">
        <v>17</v>
      </c>
      <c r="E1081">
        <v>4</v>
      </c>
      <c r="F1081">
        <v>296</v>
      </c>
      <c r="G1081">
        <v>65.05</v>
      </c>
      <c r="H1081">
        <v>2022</v>
      </c>
      <c r="I1081" t="s">
        <v>15</v>
      </c>
      <c r="J1081" s="4">
        <v>0.219763513513514</v>
      </c>
      <c r="K1081" t="s">
        <v>42</v>
      </c>
      <c r="L1081" t="s">
        <v>55</v>
      </c>
      <c r="M1081">
        <v>3</v>
      </c>
      <c r="N1081" t="s">
        <v>56</v>
      </c>
    </row>
    <row r="1082" spans="1:14" x14ac:dyDescent="0.3">
      <c r="A1082" s="1">
        <v>44573</v>
      </c>
      <c r="B1082" t="s">
        <v>30</v>
      </c>
      <c r="C1082" t="s">
        <v>11</v>
      </c>
      <c r="D1082" t="s">
        <v>22</v>
      </c>
      <c r="E1082">
        <v>1</v>
      </c>
      <c r="F1082">
        <v>379</v>
      </c>
      <c r="G1082">
        <v>84.38</v>
      </c>
      <c r="H1082">
        <v>2022</v>
      </c>
      <c r="I1082" t="s">
        <v>26</v>
      </c>
      <c r="J1082" s="4">
        <v>0.222638522427441</v>
      </c>
      <c r="K1082" t="s">
        <v>42</v>
      </c>
      <c r="L1082" t="s">
        <v>55</v>
      </c>
      <c r="M1082">
        <v>1</v>
      </c>
      <c r="N1082" t="s">
        <v>65</v>
      </c>
    </row>
    <row r="1083" spans="1:14" x14ac:dyDescent="0.3">
      <c r="A1083" s="1">
        <v>44899</v>
      </c>
      <c r="B1083" t="s">
        <v>30</v>
      </c>
      <c r="C1083" t="s">
        <v>11</v>
      </c>
      <c r="D1083" t="s">
        <v>22</v>
      </c>
      <c r="E1083">
        <v>8</v>
      </c>
      <c r="F1083">
        <v>2584</v>
      </c>
      <c r="G1083">
        <v>568.77</v>
      </c>
      <c r="H1083">
        <v>2022</v>
      </c>
      <c r="I1083" t="s">
        <v>13</v>
      </c>
      <c r="J1083" s="4">
        <v>0.22011222910216699</v>
      </c>
      <c r="K1083" t="s">
        <v>42</v>
      </c>
      <c r="L1083" t="s">
        <v>52</v>
      </c>
      <c r="M1083">
        <v>12</v>
      </c>
      <c r="N1083" t="s">
        <v>53</v>
      </c>
    </row>
    <row r="1084" spans="1:14" x14ac:dyDescent="0.3">
      <c r="A1084" s="1">
        <v>44570</v>
      </c>
      <c r="B1084" t="s">
        <v>30</v>
      </c>
      <c r="C1084" t="s">
        <v>11</v>
      </c>
      <c r="D1084" t="s">
        <v>22</v>
      </c>
      <c r="E1084">
        <v>8</v>
      </c>
      <c r="F1084">
        <v>2928</v>
      </c>
      <c r="G1084">
        <v>663.54</v>
      </c>
      <c r="H1084">
        <v>2022</v>
      </c>
      <c r="I1084" t="s">
        <v>26</v>
      </c>
      <c r="J1084" s="4">
        <v>0.226618852459016</v>
      </c>
      <c r="K1084" t="s">
        <v>42</v>
      </c>
      <c r="L1084" t="s">
        <v>55</v>
      </c>
      <c r="M1084">
        <v>1</v>
      </c>
      <c r="N1084" t="s">
        <v>65</v>
      </c>
    </row>
    <row r="1085" spans="1:14" x14ac:dyDescent="0.3">
      <c r="A1085" s="1">
        <v>44722</v>
      </c>
      <c r="B1085" t="s">
        <v>30</v>
      </c>
      <c r="C1085" t="s">
        <v>11</v>
      </c>
      <c r="D1085" t="s">
        <v>17</v>
      </c>
      <c r="E1085">
        <v>9</v>
      </c>
      <c r="F1085">
        <v>9621</v>
      </c>
      <c r="G1085">
        <v>1201.29</v>
      </c>
      <c r="H1085">
        <v>2022</v>
      </c>
      <c r="I1085" t="s">
        <v>27</v>
      </c>
      <c r="J1085" s="4">
        <v>0.12486124103523499</v>
      </c>
      <c r="K1085" t="s">
        <v>42</v>
      </c>
      <c r="L1085" t="s">
        <v>59</v>
      </c>
      <c r="M1085">
        <v>6</v>
      </c>
      <c r="N1085" t="s">
        <v>66</v>
      </c>
    </row>
    <row r="1086" spans="1:14" x14ac:dyDescent="0.3">
      <c r="A1086" s="1">
        <v>44893</v>
      </c>
      <c r="B1086" t="s">
        <v>30</v>
      </c>
      <c r="C1086" t="s">
        <v>11</v>
      </c>
      <c r="D1086" t="s">
        <v>22</v>
      </c>
      <c r="E1086">
        <v>8</v>
      </c>
      <c r="F1086">
        <v>3136</v>
      </c>
      <c r="G1086">
        <v>494.26</v>
      </c>
      <c r="H1086">
        <v>2022</v>
      </c>
      <c r="I1086" t="s">
        <v>18</v>
      </c>
      <c r="J1086" s="4">
        <v>0.15760841836734699</v>
      </c>
      <c r="K1086" t="s">
        <v>42</v>
      </c>
      <c r="L1086" t="s">
        <v>52</v>
      </c>
      <c r="M1086">
        <v>11</v>
      </c>
      <c r="N1086" t="s">
        <v>58</v>
      </c>
    </row>
    <row r="1087" spans="1:14" x14ac:dyDescent="0.3">
      <c r="A1087" s="1">
        <v>44883</v>
      </c>
      <c r="B1087" t="s">
        <v>30</v>
      </c>
      <c r="C1087" t="s">
        <v>11</v>
      </c>
      <c r="D1087" t="s">
        <v>22</v>
      </c>
      <c r="E1087">
        <v>7</v>
      </c>
      <c r="F1087">
        <v>1477</v>
      </c>
      <c r="G1087">
        <v>367.22</v>
      </c>
      <c r="H1087">
        <v>2022</v>
      </c>
      <c r="I1087" t="s">
        <v>18</v>
      </c>
      <c r="J1087" s="4">
        <v>0.248625592417062</v>
      </c>
      <c r="K1087" t="s">
        <v>42</v>
      </c>
      <c r="L1087" t="s">
        <v>52</v>
      </c>
      <c r="M1087">
        <v>11</v>
      </c>
      <c r="N1087" t="s">
        <v>58</v>
      </c>
    </row>
    <row r="1088" spans="1:14" x14ac:dyDescent="0.3">
      <c r="A1088" s="1">
        <v>44665</v>
      </c>
      <c r="B1088" t="s">
        <v>30</v>
      </c>
      <c r="C1088" t="s">
        <v>11</v>
      </c>
      <c r="D1088" t="s">
        <v>19</v>
      </c>
      <c r="E1088">
        <v>9</v>
      </c>
      <c r="F1088">
        <v>8496</v>
      </c>
      <c r="G1088">
        <v>2182.42</v>
      </c>
      <c r="H1088">
        <v>2022</v>
      </c>
      <c r="I1088" t="s">
        <v>23</v>
      </c>
      <c r="J1088" s="4">
        <v>0.25687617702448201</v>
      </c>
      <c r="K1088" t="s">
        <v>42</v>
      </c>
      <c r="L1088" t="s">
        <v>59</v>
      </c>
      <c r="M1088">
        <v>4</v>
      </c>
      <c r="N1088" t="s">
        <v>62</v>
      </c>
    </row>
    <row r="1089" spans="1:14" x14ac:dyDescent="0.3">
      <c r="A1089" s="1">
        <v>44856</v>
      </c>
      <c r="B1089" t="s">
        <v>30</v>
      </c>
      <c r="C1089" t="s">
        <v>11</v>
      </c>
      <c r="D1089" t="s">
        <v>12</v>
      </c>
      <c r="E1089">
        <v>5</v>
      </c>
      <c r="F1089">
        <v>4405</v>
      </c>
      <c r="G1089">
        <v>1247.8599999999999</v>
      </c>
      <c r="H1089">
        <v>2022</v>
      </c>
      <c r="I1089" t="s">
        <v>14</v>
      </c>
      <c r="J1089" s="4">
        <v>0.28328263337116899</v>
      </c>
      <c r="K1089" t="s">
        <v>42</v>
      </c>
      <c r="L1089" t="s">
        <v>52</v>
      </c>
      <c r="M1089">
        <v>10</v>
      </c>
      <c r="N1089" t="s">
        <v>54</v>
      </c>
    </row>
    <row r="1090" spans="1:14" x14ac:dyDescent="0.3">
      <c r="A1090" s="1">
        <v>44749</v>
      </c>
      <c r="B1090" t="s">
        <v>30</v>
      </c>
      <c r="C1090" t="s">
        <v>11</v>
      </c>
      <c r="D1090" t="s">
        <v>22</v>
      </c>
      <c r="E1090">
        <v>1</v>
      </c>
      <c r="F1090">
        <v>1028</v>
      </c>
      <c r="G1090">
        <v>240.61</v>
      </c>
      <c r="H1090">
        <v>2022</v>
      </c>
      <c r="I1090" t="s">
        <v>25</v>
      </c>
      <c r="J1090" s="4">
        <v>0.23405642023346299</v>
      </c>
      <c r="K1090" t="s">
        <v>42</v>
      </c>
      <c r="L1090" t="s">
        <v>60</v>
      </c>
      <c r="M1090">
        <v>7</v>
      </c>
      <c r="N1090" t="s">
        <v>64</v>
      </c>
    </row>
    <row r="1091" spans="1:14" x14ac:dyDescent="0.3">
      <c r="A1091" s="1">
        <v>44854</v>
      </c>
      <c r="B1091" t="s">
        <v>30</v>
      </c>
      <c r="C1091" t="s">
        <v>11</v>
      </c>
      <c r="D1091" t="s">
        <v>19</v>
      </c>
      <c r="E1091">
        <v>6</v>
      </c>
      <c r="F1091">
        <v>1398</v>
      </c>
      <c r="G1091">
        <v>180.88</v>
      </c>
      <c r="H1091">
        <v>2022</v>
      </c>
      <c r="I1091" t="s">
        <v>14</v>
      </c>
      <c r="J1091" s="4">
        <v>0.129384835479256</v>
      </c>
      <c r="K1091" t="s">
        <v>42</v>
      </c>
      <c r="L1091" t="s">
        <v>52</v>
      </c>
      <c r="M1091">
        <v>10</v>
      </c>
      <c r="N1091" t="s">
        <v>54</v>
      </c>
    </row>
    <row r="1092" spans="1:14" x14ac:dyDescent="0.3">
      <c r="A1092" s="1">
        <v>44811</v>
      </c>
      <c r="B1092" t="s">
        <v>30</v>
      </c>
      <c r="C1092" t="s">
        <v>11</v>
      </c>
      <c r="D1092" t="s">
        <v>22</v>
      </c>
      <c r="E1092">
        <v>4</v>
      </c>
      <c r="F1092">
        <v>1372</v>
      </c>
      <c r="G1092">
        <v>302.58</v>
      </c>
      <c r="H1092">
        <v>2022</v>
      </c>
      <c r="I1092" t="s">
        <v>21</v>
      </c>
      <c r="J1092" s="4">
        <v>0.22053935860058299</v>
      </c>
      <c r="K1092" t="s">
        <v>42</v>
      </c>
      <c r="L1092" t="s">
        <v>60</v>
      </c>
      <c r="M1092">
        <v>9</v>
      </c>
      <c r="N1092" t="s">
        <v>61</v>
      </c>
    </row>
    <row r="1093" spans="1:14" x14ac:dyDescent="0.3">
      <c r="A1093" s="1">
        <v>44727</v>
      </c>
      <c r="B1093" t="s">
        <v>30</v>
      </c>
      <c r="C1093" t="s">
        <v>11</v>
      </c>
      <c r="D1093" t="s">
        <v>17</v>
      </c>
      <c r="E1093">
        <v>1</v>
      </c>
      <c r="F1093">
        <v>651</v>
      </c>
      <c r="G1093">
        <v>57.94</v>
      </c>
      <c r="H1093">
        <v>2022</v>
      </c>
      <c r="I1093" t="s">
        <v>27</v>
      </c>
      <c r="J1093" s="4">
        <v>8.9001536098310297E-2</v>
      </c>
      <c r="K1093" t="s">
        <v>42</v>
      </c>
      <c r="L1093" t="s">
        <v>59</v>
      </c>
      <c r="M1093">
        <v>6</v>
      </c>
      <c r="N1093" t="s">
        <v>66</v>
      </c>
    </row>
    <row r="1094" spans="1:14" x14ac:dyDescent="0.3">
      <c r="A1094" s="1">
        <v>44686</v>
      </c>
      <c r="B1094" t="s">
        <v>30</v>
      </c>
      <c r="C1094" t="s">
        <v>11</v>
      </c>
      <c r="D1094" t="s">
        <v>19</v>
      </c>
      <c r="E1094">
        <v>9</v>
      </c>
      <c r="F1094">
        <v>8010</v>
      </c>
      <c r="G1094">
        <v>763.32</v>
      </c>
      <c r="H1094">
        <v>2022</v>
      </c>
      <c r="I1094" t="s">
        <v>20</v>
      </c>
      <c r="J1094" s="4">
        <v>9.5295880149812801E-2</v>
      </c>
      <c r="K1094" t="s">
        <v>42</v>
      </c>
      <c r="L1094" t="s">
        <v>59</v>
      </c>
      <c r="M1094">
        <v>5</v>
      </c>
      <c r="N1094" t="s">
        <v>20</v>
      </c>
    </row>
    <row r="1095" spans="1:14" x14ac:dyDescent="0.3">
      <c r="A1095" s="1">
        <v>44751</v>
      </c>
      <c r="B1095" t="s">
        <v>30</v>
      </c>
      <c r="C1095" t="s">
        <v>11</v>
      </c>
      <c r="D1095" t="s">
        <v>19</v>
      </c>
      <c r="E1095">
        <v>5</v>
      </c>
      <c r="F1095">
        <v>4170</v>
      </c>
      <c r="G1095">
        <v>786.42</v>
      </c>
      <c r="H1095">
        <v>2022</v>
      </c>
      <c r="I1095" t="s">
        <v>25</v>
      </c>
      <c r="J1095" s="4">
        <v>0.18858992805755401</v>
      </c>
      <c r="K1095" t="s">
        <v>42</v>
      </c>
      <c r="L1095" t="s">
        <v>60</v>
      </c>
      <c r="M1095">
        <v>7</v>
      </c>
      <c r="N1095" t="s">
        <v>64</v>
      </c>
    </row>
    <row r="1096" spans="1:14" x14ac:dyDescent="0.3">
      <c r="A1096" s="1">
        <v>44695</v>
      </c>
      <c r="B1096" t="s">
        <v>30</v>
      </c>
      <c r="C1096" t="s">
        <v>11</v>
      </c>
      <c r="D1096" t="s">
        <v>19</v>
      </c>
      <c r="E1096">
        <v>9</v>
      </c>
      <c r="F1096">
        <v>963</v>
      </c>
      <c r="G1096">
        <v>49.71</v>
      </c>
      <c r="H1096">
        <v>2022</v>
      </c>
      <c r="I1096" t="s">
        <v>20</v>
      </c>
      <c r="J1096" s="4">
        <v>5.1619937694704E-2</v>
      </c>
      <c r="K1096" t="s">
        <v>42</v>
      </c>
      <c r="L1096" t="s">
        <v>59</v>
      </c>
      <c r="M1096">
        <v>5</v>
      </c>
      <c r="N1096" t="s">
        <v>20</v>
      </c>
    </row>
    <row r="1097" spans="1:14" x14ac:dyDescent="0.3">
      <c r="A1097" s="1">
        <v>44620</v>
      </c>
      <c r="B1097" t="s">
        <v>30</v>
      </c>
      <c r="C1097" t="s">
        <v>11</v>
      </c>
      <c r="D1097" t="s">
        <v>12</v>
      </c>
      <c r="E1097">
        <v>8</v>
      </c>
      <c r="F1097">
        <v>1392</v>
      </c>
      <c r="G1097">
        <v>190.99</v>
      </c>
      <c r="H1097">
        <v>2022</v>
      </c>
      <c r="I1097" t="s">
        <v>16</v>
      </c>
      <c r="J1097" s="4">
        <v>0.137205459770115</v>
      </c>
      <c r="K1097" t="s">
        <v>42</v>
      </c>
      <c r="L1097" t="s">
        <v>55</v>
      </c>
      <c r="M1097">
        <v>2</v>
      </c>
      <c r="N1097" t="s">
        <v>57</v>
      </c>
    </row>
    <row r="1098" spans="1:14" x14ac:dyDescent="0.3">
      <c r="A1098" s="1">
        <v>44879</v>
      </c>
      <c r="B1098" t="s">
        <v>30</v>
      </c>
      <c r="C1098" t="s">
        <v>11</v>
      </c>
      <c r="D1098" t="s">
        <v>12</v>
      </c>
      <c r="E1098">
        <v>9</v>
      </c>
      <c r="F1098">
        <v>2493</v>
      </c>
      <c r="G1098">
        <v>696.69</v>
      </c>
      <c r="H1098">
        <v>2022</v>
      </c>
      <c r="I1098" t="s">
        <v>18</v>
      </c>
      <c r="J1098" s="4">
        <v>0.27945848375451299</v>
      </c>
      <c r="K1098" t="s">
        <v>42</v>
      </c>
      <c r="L1098" t="s">
        <v>52</v>
      </c>
      <c r="M1098">
        <v>11</v>
      </c>
      <c r="N1098" t="s">
        <v>58</v>
      </c>
    </row>
    <row r="1099" spans="1:14" x14ac:dyDescent="0.3">
      <c r="A1099" s="1">
        <v>44675</v>
      </c>
      <c r="B1099" t="s">
        <v>30</v>
      </c>
      <c r="C1099" t="s">
        <v>11</v>
      </c>
      <c r="D1099" t="s">
        <v>19</v>
      </c>
      <c r="E1099">
        <v>2</v>
      </c>
      <c r="F1099">
        <v>358</v>
      </c>
      <c r="G1099">
        <v>51.75</v>
      </c>
      <c r="H1099">
        <v>2022</v>
      </c>
      <c r="I1099" t="s">
        <v>23</v>
      </c>
      <c r="J1099" s="4">
        <v>0.144553072625698</v>
      </c>
      <c r="K1099" t="s">
        <v>42</v>
      </c>
      <c r="L1099" t="s">
        <v>59</v>
      </c>
      <c r="M1099">
        <v>4</v>
      </c>
      <c r="N1099" t="s">
        <v>62</v>
      </c>
    </row>
    <row r="1100" spans="1:14" x14ac:dyDescent="0.3">
      <c r="A1100" s="1">
        <v>44602</v>
      </c>
      <c r="B1100" t="s">
        <v>30</v>
      </c>
      <c r="C1100" t="s">
        <v>11</v>
      </c>
      <c r="D1100" t="s">
        <v>17</v>
      </c>
      <c r="E1100">
        <v>9</v>
      </c>
      <c r="F1100">
        <v>1350</v>
      </c>
      <c r="G1100">
        <v>189.13</v>
      </c>
      <c r="H1100">
        <v>2022</v>
      </c>
      <c r="I1100" t="s">
        <v>16</v>
      </c>
      <c r="J1100" s="4">
        <v>0.140096296296296</v>
      </c>
      <c r="K1100" t="s">
        <v>42</v>
      </c>
      <c r="L1100" t="s">
        <v>55</v>
      </c>
      <c r="M1100">
        <v>2</v>
      </c>
      <c r="N1100" t="s">
        <v>57</v>
      </c>
    </row>
    <row r="1101" spans="1:14" x14ac:dyDescent="0.3">
      <c r="A1101" s="1">
        <v>44843</v>
      </c>
      <c r="B1101" t="s">
        <v>30</v>
      </c>
      <c r="C1101" t="s">
        <v>11</v>
      </c>
      <c r="D1101" t="s">
        <v>17</v>
      </c>
      <c r="E1101">
        <v>8</v>
      </c>
      <c r="F1101">
        <v>7544</v>
      </c>
      <c r="G1101">
        <v>1219.73</v>
      </c>
      <c r="H1101">
        <v>2022</v>
      </c>
      <c r="I1101" t="s">
        <v>14</v>
      </c>
      <c r="J1101" s="4">
        <v>0.161682131495228</v>
      </c>
      <c r="K1101" t="s">
        <v>42</v>
      </c>
      <c r="L1101" t="s">
        <v>52</v>
      </c>
      <c r="M1101">
        <v>10</v>
      </c>
      <c r="N1101" t="s">
        <v>54</v>
      </c>
    </row>
    <row r="1102" spans="1:14" x14ac:dyDescent="0.3">
      <c r="A1102" s="1">
        <v>44827</v>
      </c>
      <c r="B1102" t="s">
        <v>30</v>
      </c>
      <c r="C1102" t="s">
        <v>11</v>
      </c>
      <c r="D1102" t="s">
        <v>12</v>
      </c>
      <c r="E1102">
        <v>3</v>
      </c>
      <c r="F1102">
        <v>873</v>
      </c>
      <c r="G1102">
        <v>57.42</v>
      </c>
      <c r="H1102">
        <v>2022</v>
      </c>
      <c r="I1102" t="s">
        <v>21</v>
      </c>
      <c r="J1102" s="4">
        <v>6.5773195876288604E-2</v>
      </c>
      <c r="K1102" t="s">
        <v>42</v>
      </c>
      <c r="L1102" t="s">
        <v>60</v>
      </c>
      <c r="M1102">
        <v>9</v>
      </c>
      <c r="N1102" t="s">
        <v>61</v>
      </c>
    </row>
    <row r="1103" spans="1:14" x14ac:dyDescent="0.3">
      <c r="A1103" s="1">
        <v>44913</v>
      </c>
      <c r="B1103" t="s">
        <v>30</v>
      </c>
      <c r="C1103" t="s">
        <v>11</v>
      </c>
      <c r="D1103" t="s">
        <v>12</v>
      </c>
      <c r="E1103">
        <v>2</v>
      </c>
      <c r="F1103">
        <v>1562</v>
      </c>
      <c r="G1103">
        <v>119.56</v>
      </c>
      <c r="H1103">
        <v>2022</v>
      </c>
      <c r="I1103" t="s">
        <v>13</v>
      </c>
      <c r="J1103" s="4">
        <v>7.6542893725992295E-2</v>
      </c>
      <c r="K1103" t="s">
        <v>42</v>
      </c>
      <c r="L1103" t="s">
        <v>52</v>
      </c>
      <c r="M1103">
        <v>12</v>
      </c>
      <c r="N1103" t="s">
        <v>53</v>
      </c>
    </row>
    <row r="1104" spans="1:14" x14ac:dyDescent="0.3">
      <c r="A1104" s="1">
        <v>44855</v>
      </c>
      <c r="B1104" t="s">
        <v>30</v>
      </c>
      <c r="C1104" t="s">
        <v>11</v>
      </c>
      <c r="D1104" t="s">
        <v>19</v>
      </c>
      <c r="E1104">
        <v>8</v>
      </c>
      <c r="F1104">
        <v>9304</v>
      </c>
      <c r="G1104">
        <v>1855.7</v>
      </c>
      <c r="H1104">
        <v>2022</v>
      </c>
      <c r="I1104" t="s">
        <v>14</v>
      </c>
      <c r="J1104" s="4">
        <v>0.19945184866724</v>
      </c>
      <c r="K1104" t="s">
        <v>42</v>
      </c>
      <c r="L1104" t="s">
        <v>52</v>
      </c>
      <c r="M1104">
        <v>10</v>
      </c>
      <c r="N1104" t="s">
        <v>54</v>
      </c>
    </row>
    <row r="1105" spans="1:14" x14ac:dyDescent="0.3">
      <c r="A1105" s="1">
        <v>44836</v>
      </c>
      <c r="B1105" t="s">
        <v>30</v>
      </c>
      <c r="C1105" t="s">
        <v>11</v>
      </c>
      <c r="D1105" t="s">
        <v>19</v>
      </c>
      <c r="E1105">
        <v>7</v>
      </c>
      <c r="F1105">
        <v>1750</v>
      </c>
      <c r="G1105">
        <v>90.21</v>
      </c>
      <c r="H1105">
        <v>2022</v>
      </c>
      <c r="I1105" t="s">
        <v>14</v>
      </c>
      <c r="J1105" s="4">
        <v>5.1548571428571402E-2</v>
      </c>
      <c r="K1105" t="s">
        <v>42</v>
      </c>
      <c r="L1105" t="s">
        <v>52</v>
      </c>
      <c r="M1105">
        <v>10</v>
      </c>
      <c r="N1105" t="s">
        <v>54</v>
      </c>
    </row>
    <row r="1106" spans="1:14" x14ac:dyDescent="0.3">
      <c r="A1106" s="1">
        <v>44666</v>
      </c>
      <c r="B1106" t="s">
        <v>30</v>
      </c>
      <c r="C1106" t="s">
        <v>11</v>
      </c>
      <c r="D1106" t="s">
        <v>19</v>
      </c>
      <c r="E1106">
        <v>1</v>
      </c>
      <c r="F1106">
        <v>166</v>
      </c>
      <c r="G1106">
        <v>9.69</v>
      </c>
      <c r="H1106">
        <v>2022</v>
      </c>
      <c r="I1106" t="s">
        <v>23</v>
      </c>
      <c r="J1106" s="4">
        <v>5.83734939759036E-2</v>
      </c>
      <c r="K1106" t="s">
        <v>42</v>
      </c>
      <c r="L1106" t="s">
        <v>59</v>
      </c>
      <c r="M1106">
        <v>4</v>
      </c>
      <c r="N1106" t="s">
        <v>62</v>
      </c>
    </row>
    <row r="1107" spans="1:14" x14ac:dyDescent="0.3">
      <c r="A1107" s="1">
        <v>44797</v>
      </c>
      <c r="B1107" t="s">
        <v>30</v>
      </c>
      <c r="C1107" t="s">
        <v>11</v>
      </c>
      <c r="D1107" t="s">
        <v>17</v>
      </c>
      <c r="E1107">
        <v>4</v>
      </c>
      <c r="F1107">
        <v>2276</v>
      </c>
      <c r="G1107">
        <v>399.94</v>
      </c>
      <c r="H1107">
        <v>2022</v>
      </c>
      <c r="I1107" t="s">
        <v>24</v>
      </c>
      <c r="J1107" s="4">
        <v>0.17572056239015801</v>
      </c>
      <c r="K1107" t="s">
        <v>42</v>
      </c>
      <c r="L1107" t="s">
        <v>60</v>
      </c>
      <c r="M1107">
        <v>8</v>
      </c>
      <c r="N1107" t="s">
        <v>63</v>
      </c>
    </row>
    <row r="1108" spans="1:14" x14ac:dyDescent="0.3">
      <c r="A1108" s="1">
        <v>44666</v>
      </c>
      <c r="B1108" t="s">
        <v>30</v>
      </c>
      <c r="C1108" t="s">
        <v>11</v>
      </c>
      <c r="D1108" t="s">
        <v>22</v>
      </c>
      <c r="E1108">
        <v>3</v>
      </c>
      <c r="F1108">
        <v>3285</v>
      </c>
      <c r="G1108">
        <v>292.87</v>
      </c>
      <c r="H1108">
        <v>2022</v>
      </c>
      <c r="I1108" t="s">
        <v>23</v>
      </c>
      <c r="J1108" s="4">
        <v>8.9153729071537305E-2</v>
      </c>
      <c r="K1108" t="s">
        <v>42</v>
      </c>
      <c r="L1108" t="s">
        <v>59</v>
      </c>
      <c r="M1108">
        <v>4</v>
      </c>
      <c r="N1108" t="s">
        <v>62</v>
      </c>
    </row>
    <row r="1109" spans="1:14" x14ac:dyDescent="0.3">
      <c r="A1109" s="1">
        <v>44727</v>
      </c>
      <c r="B1109" t="s">
        <v>30</v>
      </c>
      <c r="C1109" t="s">
        <v>11</v>
      </c>
      <c r="D1109" t="s">
        <v>22</v>
      </c>
      <c r="E1109">
        <v>3</v>
      </c>
      <c r="F1109">
        <v>1275</v>
      </c>
      <c r="G1109">
        <v>168.64</v>
      </c>
      <c r="H1109">
        <v>2022</v>
      </c>
      <c r="I1109" t="s">
        <v>27</v>
      </c>
      <c r="J1109" s="4">
        <v>0.132266666666667</v>
      </c>
      <c r="K1109" t="s">
        <v>42</v>
      </c>
      <c r="L1109" t="s">
        <v>59</v>
      </c>
      <c r="M1109">
        <v>6</v>
      </c>
      <c r="N1109" t="s">
        <v>66</v>
      </c>
    </row>
    <row r="1110" spans="1:14" x14ac:dyDescent="0.3">
      <c r="A1110" s="1">
        <v>44606</v>
      </c>
      <c r="B1110" t="s">
        <v>30</v>
      </c>
      <c r="C1110" t="s">
        <v>11</v>
      </c>
      <c r="D1110" t="s">
        <v>12</v>
      </c>
      <c r="E1110">
        <v>3</v>
      </c>
      <c r="F1110">
        <v>2703</v>
      </c>
      <c r="G1110">
        <v>609.75</v>
      </c>
      <c r="H1110">
        <v>2022</v>
      </c>
      <c r="I1110" t="s">
        <v>16</v>
      </c>
      <c r="J1110" s="4">
        <v>0.22558268590455</v>
      </c>
      <c r="K1110" t="s">
        <v>42</v>
      </c>
      <c r="L1110" t="s">
        <v>55</v>
      </c>
      <c r="M1110">
        <v>2</v>
      </c>
      <c r="N1110" t="s">
        <v>57</v>
      </c>
    </row>
    <row r="1111" spans="1:14" x14ac:dyDescent="0.3">
      <c r="A1111" s="1">
        <v>44614</v>
      </c>
      <c r="B1111" t="s">
        <v>30</v>
      </c>
      <c r="C1111" t="s">
        <v>11</v>
      </c>
      <c r="D1111" t="s">
        <v>12</v>
      </c>
      <c r="E1111">
        <v>5</v>
      </c>
      <c r="F1111">
        <v>3165</v>
      </c>
      <c r="G1111">
        <v>895.33</v>
      </c>
      <c r="H1111">
        <v>2022</v>
      </c>
      <c r="I1111" t="s">
        <v>16</v>
      </c>
      <c r="J1111" s="4">
        <v>0.28288467614534002</v>
      </c>
      <c r="K1111" t="s">
        <v>42</v>
      </c>
      <c r="L1111" t="s">
        <v>55</v>
      </c>
      <c r="M1111">
        <v>2</v>
      </c>
      <c r="N1111" t="s">
        <v>57</v>
      </c>
    </row>
    <row r="1112" spans="1:14" x14ac:dyDescent="0.3">
      <c r="A1112" s="1">
        <v>44910</v>
      </c>
      <c r="B1112" t="s">
        <v>30</v>
      </c>
      <c r="C1112" t="s">
        <v>11</v>
      </c>
      <c r="D1112" t="s">
        <v>19</v>
      </c>
      <c r="E1112">
        <v>5</v>
      </c>
      <c r="F1112">
        <v>660</v>
      </c>
      <c r="G1112">
        <v>90.86</v>
      </c>
      <c r="H1112">
        <v>2022</v>
      </c>
      <c r="I1112" t="s">
        <v>13</v>
      </c>
      <c r="J1112" s="4">
        <v>0.13766666666666699</v>
      </c>
      <c r="K1112" t="s">
        <v>42</v>
      </c>
      <c r="L1112" t="s">
        <v>52</v>
      </c>
      <c r="M1112">
        <v>12</v>
      </c>
      <c r="N1112" t="s">
        <v>53</v>
      </c>
    </row>
    <row r="1113" spans="1:14" x14ac:dyDescent="0.3">
      <c r="A1113" s="1">
        <v>44586</v>
      </c>
      <c r="B1113" t="s">
        <v>30</v>
      </c>
      <c r="C1113" t="s">
        <v>11</v>
      </c>
      <c r="D1113" t="s">
        <v>22</v>
      </c>
      <c r="E1113">
        <v>1</v>
      </c>
      <c r="F1113">
        <v>288</v>
      </c>
      <c r="G1113">
        <v>61.85</v>
      </c>
      <c r="H1113">
        <v>2022</v>
      </c>
      <c r="I1113" t="s">
        <v>26</v>
      </c>
      <c r="J1113" s="4">
        <v>0.21475694444444399</v>
      </c>
      <c r="K1113" t="s">
        <v>42</v>
      </c>
      <c r="L1113" t="s">
        <v>55</v>
      </c>
      <c r="M1113">
        <v>1</v>
      </c>
      <c r="N1113" t="s">
        <v>65</v>
      </c>
    </row>
    <row r="1114" spans="1:14" x14ac:dyDescent="0.3">
      <c r="A1114" s="1">
        <v>44589</v>
      </c>
      <c r="B1114" t="s">
        <v>30</v>
      </c>
      <c r="C1114" t="s">
        <v>11</v>
      </c>
      <c r="D1114" t="s">
        <v>17</v>
      </c>
      <c r="E1114">
        <v>8</v>
      </c>
      <c r="F1114">
        <v>8192</v>
      </c>
      <c r="G1114">
        <v>1822.87</v>
      </c>
      <c r="H1114">
        <v>2022</v>
      </c>
      <c r="I1114" t="s">
        <v>26</v>
      </c>
      <c r="J1114" s="4">
        <v>0.22251831054687499</v>
      </c>
      <c r="K1114" t="s">
        <v>42</v>
      </c>
      <c r="L1114" t="s">
        <v>55</v>
      </c>
      <c r="M1114">
        <v>1</v>
      </c>
      <c r="N1114" t="s">
        <v>65</v>
      </c>
    </row>
    <row r="1115" spans="1:14" x14ac:dyDescent="0.3">
      <c r="A1115" s="1">
        <v>44705</v>
      </c>
      <c r="B1115" t="s">
        <v>30</v>
      </c>
      <c r="C1115" t="s">
        <v>11</v>
      </c>
      <c r="D1115" t="s">
        <v>17</v>
      </c>
      <c r="E1115">
        <v>9</v>
      </c>
      <c r="F1115">
        <v>8460</v>
      </c>
      <c r="G1115">
        <v>1201.94</v>
      </c>
      <c r="H1115">
        <v>2022</v>
      </c>
      <c r="I1115" t="s">
        <v>20</v>
      </c>
      <c r="J1115" s="4">
        <v>0.142073286052009</v>
      </c>
      <c r="K1115" t="s">
        <v>42</v>
      </c>
      <c r="L1115" t="s">
        <v>59</v>
      </c>
      <c r="M1115">
        <v>5</v>
      </c>
      <c r="N1115" t="s">
        <v>20</v>
      </c>
    </row>
    <row r="1116" spans="1:14" x14ac:dyDescent="0.3">
      <c r="A1116" s="1">
        <v>44628</v>
      </c>
      <c r="B1116" t="s">
        <v>30</v>
      </c>
      <c r="C1116" t="s">
        <v>11</v>
      </c>
      <c r="D1116" t="s">
        <v>17</v>
      </c>
      <c r="E1116">
        <v>2</v>
      </c>
      <c r="F1116">
        <v>594</v>
      </c>
      <c r="G1116">
        <v>172.47</v>
      </c>
      <c r="H1116">
        <v>2022</v>
      </c>
      <c r="I1116" t="s">
        <v>15</v>
      </c>
      <c r="J1116" s="4">
        <v>0.29035353535353498</v>
      </c>
      <c r="K1116" t="s">
        <v>42</v>
      </c>
      <c r="L1116" t="s">
        <v>55</v>
      </c>
      <c r="M1116">
        <v>3</v>
      </c>
      <c r="N1116" t="s">
        <v>56</v>
      </c>
    </row>
    <row r="1117" spans="1:14" x14ac:dyDescent="0.3">
      <c r="A1117" s="1">
        <v>44689</v>
      </c>
      <c r="B1117" t="s">
        <v>30</v>
      </c>
      <c r="C1117" t="s">
        <v>11</v>
      </c>
      <c r="D1117" t="s">
        <v>19</v>
      </c>
      <c r="E1117">
        <v>4</v>
      </c>
      <c r="F1117">
        <v>2896</v>
      </c>
      <c r="G1117">
        <v>522.82000000000005</v>
      </c>
      <c r="H1117">
        <v>2022</v>
      </c>
      <c r="I1117" t="s">
        <v>20</v>
      </c>
      <c r="J1117" s="4">
        <v>0.180531767955801</v>
      </c>
      <c r="K1117" t="s">
        <v>42</v>
      </c>
      <c r="L1117" t="s">
        <v>59</v>
      </c>
      <c r="M1117">
        <v>5</v>
      </c>
      <c r="N1117" t="s">
        <v>20</v>
      </c>
    </row>
    <row r="1118" spans="1:14" x14ac:dyDescent="0.3">
      <c r="A1118" s="1">
        <v>44728</v>
      </c>
      <c r="B1118" t="s">
        <v>30</v>
      </c>
      <c r="C1118" t="s">
        <v>11</v>
      </c>
      <c r="D1118" t="s">
        <v>17</v>
      </c>
      <c r="E1118">
        <v>6</v>
      </c>
      <c r="F1118">
        <v>5310</v>
      </c>
      <c r="G1118">
        <v>637.80999999999995</v>
      </c>
      <c r="H1118">
        <v>2022</v>
      </c>
      <c r="I1118" t="s">
        <v>27</v>
      </c>
      <c r="J1118" s="4">
        <v>0.12011487758945399</v>
      </c>
      <c r="K1118" t="s">
        <v>42</v>
      </c>
      <c r="L1118" t="s">
        <v>59</v>
      </c>
      <c r="M1118">
        <v>6</v>
      </c>
      <c r="N1118" t="s">
        <v>66</v>
      </c>
    </row>
    <row r="1119" spans="1:14" x14ac:dyDescent="0.3">
      <c r="A1119" s="1">
        <v>44683</v>
      </c>
      <c r="B1119" t="s">
        <v>30</v>
      </c>
      <c r="C1119" t="s">
        <v>11</v>
      </c>
      <c r="D1119" t="s">
        <v>12</v>
      </c>
      <c r="E1119">
        <v>8</v>
      </c>
      <c r="F1119">
        <v>4624</v>
      </c>
      <c r="G1119">
        <v>1313.36</v>
      </c>
      <c r="H1119">
        <v>2022</v>
      </c>
      <c r="I1119" t="s">
        <v>20</v>
      </c>
      <c r="J1119" s="4">
        <v>0.28403114186851203</v>
      </c>
      <c r="K1119" t="s">
        <v>42</v>
      </c>
      <c r="L1119" t="s">
        <v>59</v>
      </c>
      <c r="M1119">
        <v>5</v>
      </c>
      <c r="N1119" t="s">
        <v>20</v>
      </c>
    </row>
    <row r="1120" spans="1:14" x14ac:dyDescent="0.3">
      <c r="A1120" s="1">
        <v>44647</v>
      </c>
      <c r="B1120" t="s">
        <v>30</v>
      </c>
      <c r="C1120" t="s">
        <v>11</v>
      </c>
      <c r="D1120" t="s">
        <v>19</v>
      </c>
      <c r="E1120">
        <v>3</v>
      </c>
      <c r="F1120">
        <v>1758</v>
      </c>
      <c r="G1120">
        <v>245.92</v>
      </c>
      <c r="H1120">
        <v>2022</v>
      </c>
      <c r="I1120" t="s">
        <v>15</v>
      </c>
      <c r="J1120" s="4">
        <v>0.139886234357224</v>
      </c>
      <c r="K1120" t="s">
        <v>42</v>
      </c>
      <c r="L1120" t="s">
        <v>55</v>
      </c>
      <c r="M1120">
        <v>3</v>
      </c>
      <c r="N1120" t="s">
        <v>56</v>
      </c>
    </row>
    <row r="1121" spans="1:14" x14ac:dyDescent="0.3">
      <c r="A1121" s="1">
        <v>44577</v>
      </c>
      <c r="B1121" t="s">
        <v>30</v>
      </c>
      <c r="C1121" t="s">
        <v>11</v>
      </c>
      <c r="D1121" t="s">
        <v>12</v>
      </c>
      <c r="E1121">
        <v>9</v>
      </c>
      <c r="F1121">
        <v>7650</v>
      </c>
      <c r="G1121">
        <v>2130.8200000000002</v>
      </c>
      <c r="H1121">
        <v>2022</v>
      </c>
      <c r="I1121" t="s">
        <v>26</v>
      </c>
      <c r="J1121" s="4">
        <v>0.27853856209150302</v>
      </c>
      <c r="K1121" t="s">
        <v>42</v>
      </c>
      <c r="L1121" t="s">
        <v>55</v>
      </c>
      <c r="M1121">
        <v>1</v>
      </c>
      <c r="N1121" t="s">
        <v>65</v>
      </c>
    </row>
    <row r="1122" spans="1:14" x14ac:dyDescent="0.3">
      <c r="A1122" s="1">
        <v>44854</v>
      </c>
      <c r="B1122" t="s">
        <v>30</v>
      </c>
      <c r="C1122" t="s">
        <v>11</v>
      </c>
      <c r="D1122" t="s">
        <v>17</v>
      </c>
      <c r="E1122">
        <v>3</v>
      </c>
      <c r="F1122">
        <v>1950</v>
      </c>
      <c r="G1122">
        <v>116.12</v>
      </c>
      <c r="H1122">
        <v>2022</v>
      </c>
      <c r="I1122" t="s">
        <v>14</v>
      </c>
      <c r="J1122" s="4">
        <v>5.9548717948718001E-2</v>
      </c>
      <c r="K1122" t="s">
        <v>42</v>
      </c>
      <c r="L1122" t="s">
        <v>52</v>
      </c>
      <c r="M1122">
        <v>10</v>
      </c>
      <c r="N1122" t="s">
        <v>54</v>
      </c>
    </row>
    <row r="1123" spans="1:14" x14ac:dyDescent="0.3">
      <c r="A1123" s="1">
        <v>44565</v>
      </c>
      <c r="B1123" t="s">
        <v>30</v>
      </c>
      <c r="C1123" t="s">
        <v>11</v>
      </c>
      <c r="D1123" t="s">
        <v>17</v>
      </c>
      <c r="E1123">
        <v>9</v>
      </c>
      <c r="F1123">
        <v>711</v>
      </c>
      <c r="G1123">
        <v>200.11</v>
      </c>
      <c r="H1123">
        <v>2022</v>
      </c>
      <c r="I1123" t="s">
        <v>26</v>
      </c>
      <c r="J1123" s="4">
        <v>0.28144866385372702</v>
      </c>
      <c r="K1123" t="s">
        <v>42</v>
      </c>
      <c r="L1123" t="s">
        <v>55</v>
      </c>
      <c r="M1123">
        <v>1</v>
      </c>
      <c r="N1123" t="s">
        <v>65</v>
      </c>
    </row>
    <row r="1124" spans="1:14" x14ac:dyDescent="0.3">
      <c r="A1124" s="1">
        <v>44639</v>
      </c>
      <c r="B1124" t="s">
        <v>30</v>
      </c>
      <c r="C1124" t="s">
        <v>11</v>
      </c>
      <c r="D1124" t="s">
        <v>22</v>
      </c>
      <c r="E1124">
        <v>5</v>
      </c>
      <c r="F1124">
        <v>4635</v>
      </c>
      <c r="G1124">
        <v>769.03</v>
      </c>
      <c r="H1124">
        <v>2022</v>
      </c>
      <c r="I1124" t="s">
        <v>15</v>
      </c>
      <c r="J1124" s="4">
        <v>0.165918015102481</v>
      </c>
      <c r="K1124" t="s">
        <v>42</v>
      </c>
      <c r="L1124" t="s">
        <v>55</v>
      </c>
      <c r="M1124">
        <v>3</v>
      </c>
      <c r="N1124" t="s">
        <v>56</v>
      </c>
    </row>
    <row r="1125" spans="1:14" x14ac:dyDescent="0.3">
      <c r="A1125" s="1">
        <v>44897</v>
      </c>
      <c r="B1125" t="s">
        <v>30</v>
      </c>
      <c r="C1125" t="s">
        <v>11</v>
      </c>
      <c r="D1125" t="s">
        <v>19</v>
      </c>
      <c r="E1125">
        <v>7</v>
      </c>
      <c r="F1125">
        <v>945</v>
      </c>
      <c r="G1125">
        <v>75.209999999999994</v>
      </c>
      <c r="H1125">
        <v>2022</v>
      </c>
      <c r="I1125" t="s">
        <v>13</v>
      </c>
      <c r="J1125" s="4">
        <v>7.9587301587301595E-2</v>
      </c>
      <c r="K1125" t="s">
        <v>42</v>
      </c>
      <c r="L1125" t="s">
        <v>52</v>
      </c>
      <c r="M1125">
        <v>12</v>
      </c>
      <c r="N1125" t="s">
        <v>53</v>
      </c>
    </row>
    <row r="1126" spans="1:14" x14ac:dyDescent="0.3">
      <c r="A1126" s="1">
        <v>44886</v>
      </c>
      <c r="B1126" t="s">
        <v>30</v>
      </c>
      <c r="C1126" t="s">
        <v>11</v>
      </c>
      <c r="D1126" t="s">
        <v>12</v>
      </c>
      <c r="E1126">
        <v>8</v>
      </c>
      <c r="F1126">
        <v>664</v>
      </c>
      <c r="G1126">
        <v>126.6</v>
      </c>
      <c r="H1126">
        <v>2022</v>
      </c>
      <c r="I1126" t="s">
        <v>18</v>
      </c>
      <c r="J1126" s="4">
        <v>0.19066265060241</v>
      </c>
      <c r="K1126" t="s">
        <v>42</v>
      </c>
      <c r="L1126" t="s">
        <v>52</v>
      </c>
      <c r="M1126">
        <v>11</v>
      </c>
      <c r="N1126" t="s">
        <v>58</v>
      </c>
    </row>
    <row r="1127" spans="1:14" x14ac:dyDescent="0.3">
      <c r="A1127" s="1">
        <v>44896</v>
      </c>
      <c r="B1127" t="s">
        <v>30</v>
      </c>
      <c r="C1127" t="s">
        <v>11</v>
      </c>
      <c r="D1127" t="s">
        <v>12</v>
      </c>
      <c r="E1127">
        <v>8</v>
      </c>
      <c r="F1127">
        <v>9512</v>
      </c>
      <c r="G1127">
        <v>663.23</v>
      </c>
      <c r="H1127">
        <v>2022</v>
      </c>
      <c r="I1127" t="s">
        <v>13</v>
      </c>
      <c r="J1127" s="4">
        <v>6.9725609756097595E-2</v>
      </c>
      <c r="K1127" t="s">
        <v>42</v>
      </c>
      <c r="L1127" t="s">
        <v>52</v>
      </c>
      <c r="M1127">
        <v>12</v>
      </c>
      <c r="N1127" t="s">
        <v>53</v>
      </c>
    </row>
    <row r="1128" spans="1:14" x14ac:dyDescent="0.3">
      <c r="A1128" s="1">
        <v>44889</v>
      </c>
      <c r="B1128" t="s">
        <v>30</v>
      </c>
      <c r="C1128" t="s">
        <v>11</v>
      </c>
      <c r="D1128" t="s">
        <v>19</v>
      </c>
      <c r="E1128">
        <v>1</v>
      </c>
      <c r="F1128">
        <v>735</v>
      </c>
      <c r="G1128">
        <v>139.31</v>
      </c>
      <c r="H1128">
        <v>2022</v>
      </c>
      <c r="I1128" t="s">
        <v>18</v>
      </c>
      <c r="J1128" s="4">
        <v>0.189537414965986</v>
      </c>
      <c r="K1128" t="s">
        <v>42</v>
      </c>
      <c r="L1128" t="s">
        <v>52</v>
      </c>
      <c r="M1128">
        <v>11</v>
      </c>
      <c r="N1128" t="s">
        <v>58</v>
      </c>
    </row>
    <row r="1129" spans="1:14" x14ac:dyDescent="0.3">
      <c r="A1129" s="1">
        <v>44633</v>
      </c>
      <c r="B1129" t="s">
        <v>30</v>
      </c>
      <c r="C1129" t="s">
        <v>11</v>
      </c>
      <c r="D1129" t="s">
        <v>19</v>
      </c>
      <c r="E1129">
        <v>5</v>
      </c>
      <c r="F1129">
        <v>1160</v>
      </c>
      <c r="G1129">
        <v>227.13</v>
      </c>
      <c r="H1129">
        <v>2022</v>
      </c>
      <c r="I1129" t="s">
        <v>15</v>
      </c>
      <c r="J1129" s="4">
        <v>0.19580172413793101</v>
      </c>
      <c r="K1129" t="s">
        <v>42</v>
      </c>
      <c r="L1129" t="s">
        <v>55</v>
      </c>
      <c r="M1129">
        <v>3</v>
      </c>
      <c r="N1129" t="s">
        <v>56</v>
      </c>
    </row>
    <row r="1130" spans="1:14" x14ac:dyDescent="0.3">
      <c r="A1130" s="1">
        <v>44854</v>
      </c>
      <c r="B1130" t="s">
        <v>30</v>
      </c>
      <c r="C1130" t="s">
        <v>11</v>
      </c>
      <c r="D1130" t="s">
        <v>12</v>
      </c>
      <c r="E1130">
        <v>2</v>
      </c>
      <c r="F1130">
        <v>2362</v>
      </c>
      <c r="G1130">
        <v>342.27</v>
      </c>
      <c r="H1130">
        <v>2022</v>
      </c>
      <c r="I1130" t="s">
        <v>14</v>
      </c>
      <c r="J1130" s="4">
        <v>0.14490685859441199</v>
      </c>
      <c r="K1130" t="s">
        <v>42</v>
      </c>
      <c r="L1130" t="s">
        <v>52</v>
      </c>
      <c r="M1130">
        <v>10</v>
      </c>
      <c r="N1130" t="s">
        <v>54</v>
      </c>
    </row>
    <row r="1131" spans="1:14" x14ac:dyDescent="0.3">
      <c r="A1131" s="1">
        <v>44765</v>
      </c>
      <c r="B1131" t="s">
        <v>30</v>
      </c>
      <c r="C1131" t="s">
        <v>11</v>
      </c>
      <c r="D1131" t="s">
        <v>22</v>
      </c>
      <c r="E1131">
        <v>8</v>
      </c>
      <c r="F1131">
        <v>1880</v>
      </c>
      <c r="G1131">
        <v>486.88</v>
      </c>
      <c r="H1131">
        <v>2022</v>
      </c>
      <c r="I1131" t="s">
        <v>25</v>
      </c>
      <c r="J1131" s="4">
        <v>0.25897872340425498</v>
      </c>
      <c r="K1131" t="s">
        <v>42</v>
      </c>
      <c r="L1131" t="s">
        <v>60</v>
      </c>
      <c r="M1131">
        <v>7</v>
      </c>
      <c r="N1131" t="s">
        <v>64</v>
      </c>
    </row>
    <row r="1132" spans="1:14" x14ac:dyDescent="0.3">
      <c r="A1132" s="1">
        <v>44900</v>
      </c>
      <c r="B1132" t="s">
        <v>30</v>
      </c>
      <c r="C1132" t="s">
        <v>11</v>
      </c>
      <c r="D1132" t="s">
        <v>17</v>
      </c>
      <c r="E1132">
        <v>3</v>
      </c>
      <c r="F1132">
        <v>3024</v>
      </c>
      <c r="G1132">
        <v>622.29</v>
      </c>
      <c r="H1132">
        <v>2022</v>
      </c>
      <c r="I1132" t="s">
        <v>13</v>
      </c>
      <c r="J1132" s="4">
        <v>0.20578373015873</v>
      </c>
      <c r="K1132" t="s">
        <v>42</v>
      </c>
      <c r="L1132" t="s">
        <v>52</v>
      </c>
      <c r="M1132">
        <v>12</v>
      </c>
      <c r="N1132" t="s">
        <v>53</v>
      </c>
    </row>
    <row r="1133" spans="1:14" x14ac:dyDescent="0.3">
      <c r="A1133" s="1">
        <v>44823</v>
      </c>
      <c r="B1133" t="s">
        <v>30</v>
      </c>
      <c r="C1133" t="s">
        <v>11</v>
      </c>
      <c r="D1133" t="s">
        <v>12</v>
      </c>
      <c r="E1133">
        <v>5</v>
      </c>
      <c r="F1133">
        <v>4580</v>
      </c>
      <c r="G1133">
        <v>1148.06</v>
      </c>
      <c r="H1133">
        <v>2022</v>
      </c>
      <c r="I1133" t="s">
        <v>21</v>
      </c>
      <c r="J1133" s="4">
        <v>0.25066812227074198</v>
      </c>
      <c r="K1133" t="s">
        <v>42</v>
      </c>
      <c r="L1133" t="s">
        <v>60</v>
      </c>
      <c r="M1133">
        <v>9</v>
      </c>
      <c r="N1133" t="s">
        <v>61</v>
      </c>
    </row>
    <row r="1134" spans="1:14" x14ac:dyDescent="0.3">
      <c r="A1134" s="1">
        <v>44566</v>
      </c>
      <c r="B1134" t="s">
        <v>30</v>
      </c>
      <c r="C1134" t="s">
        <v>11</v>
      </c>
      <c r="D1134" t="s">
        <v>22</v>
      </c>
      <c r="E1134">
        <v>5</v>
      </c>
      <c r="F1134">
        <v>3625</v>
      </c>
      <c r="G1134">
        <v>563.95000000000005</v>
      </c>
      <c r="H1134">
        <v>2022</v>
      </c>
      <c r="I1134" t="s">
        <v>26</v>
      </c>
      <c r="J1134" s="4">
        <v>0.15557241379310299</v>
      </c>
      <c r="K1134" t="s">
        <v>42</v>
      </c>
      <c r="L1134" t="s">
        <v>55</v>
      </c>
      <c r="M1134">
        <v>1</v>
      </c>
      <c r="N1134" t="s">
        <v>65</v>
      </c>
    </row>
    <row r="1135" spans="1:14" x14ac:dyDescent="0.3">
      <c r="A1135" s="1">
        <v>44861</v>
      </c>
      <c r="B1135" t="s">
        <v>30</v>
      </c>
      <c r="C1135" t="s">
        <v>11</v>
      </c>
      <c r="D1135" t="s">
        <v>17</v>
      </c>
      <c r="E1135">
        <v>4</v>
      </c>
      <c r="F1135">
        <v>4048</v>
      </c>
      <c r="G1135">
        <v>641.23</v>
      </c>
      <c r="H1135">
        <v>2022</v>
      </c>
      <c r="I1135" t="s">
        <v>14</v>
      </c>
      <c r="J1135" s="4">
        <v>0.15840662055335999</v>
      </c>
      <c r="K1135" t="s">
        <v>42</v>
      </c>
      <c r="L1135" t="s">
        <v>52</v>
      </c>
      <c r="M1135">
        <v>10</v>
      </c>
      <c r="N1135" t="s">
        <v>54</v>
      </c>
    </row>
    <row r="1136" spans="1:14" x14ac:dyDescent="0.3">
      <c r="A1136" s="1">
        <v>44592</v>
      </c>
      <c r="B1136" t="s">
        <v>30</v>
      </c>
      <c r="C1136" t="s">
        <v>11</v>
      </c>
      <c r="D1136" t="s">
        <v>17</v>
      </c>
      <c r="E1136">
        <v>8</v>
      </c>
      <c r="F1136">
        <v>7064</v>
      </c>
      <c r="G1136">
        <v>1873.02</v>
      </c>
      <c r="H1136">
        <v>2022</v>
      </c>
      <c r="I1136" t="s">
        <v>26</v>
      </c>
      <c r="J1136" s="4">
        <v>0.26515005662514202</v>
      </c>
      <c r="K1136" t="s">
        <v>42</v>
      </c>
      <c r="L1136" t="s">
        <v>55</v>
      </c>
      <c r="M1136">
        <v>1</v>
      </c>
      <c r="N1136" t="s">
        <v>65</v>
      </c>
    </row>
    <row r="1137" spans="1:14" x14ac:dyDescent="0.3">
      <c r="A1137" s="1">
        <v>44678</v>
      </c>
      <c r="B1137" t="s">
        <v>30</v>
      </c>
      <c r="C1137" t="s">
        <v>11</v>
      </c>
      <c r="D1137" t="s">
        <v>19</v>
      </c>
      <c r="E1137">
        <v>4</v>
      </c>
      <c r="F1137">
        <v>1076</v>
      </c>
      <c r="G1137">
        <v>124.56</v>
      </c>
      <c r="H1137">
        <v>2022</v>
      </c>
      <c r="I1137" t="s">
        <v>23</v>
      </c>
      <c r="J1137" s="4">
        <v>0.115762081784387</v>
      </c>
      <c r="K1137" t="s">
        <v>42</v>
      </c>
      <c r="L1137" t="s">
        <v>59</v>
      </c>
      <c r="M1137">
        <v>4</v>
      </c>
      <c r="N1137" t="s">
        <v>62</v>
      </c>
    </row>
    <row r="1138" spans="1:14" x14ac:dyDescent="0.3">
      <c r="A1138" s="1">
        <v>44742</v>
      </c>
      <c r="B1138" t="s">
        <v>30</v>
      </c>
      <c r="C1138" t="s">
        <v>11</v>
      </c>
      <c r="D1138" t="s">
        <v>17</v>
      </c>
      <c r="E1138">
        <v>6</v>
      </c>
      <c r="F1138">
        <v>1266</v>
      </c>
      <c r="G1138">
        <v>220.5</v>
      </c>
      <c r="H1138">
        <v>2022</v>
      </c>
      <c r="I1138" t="s">
        <v>27</v>
      </c>
      <c r="J1138" s="4">
        <v>0.17417061611374399</v>
      </c>
      <c r="K1138" t="s">
        <v>42</v>
      </c>
      <c r="L1138" t="s">
        <v>59</v>
      </c>
      <c r="M1138">
        <v>6</v>
      </c>
      <c r="N1138" t="s">
        <v>66</v>
      </c>
    </row>
    <row r="1139" spans="1:14" x14ac:dyDescent="0.3">
      <c r="A1139" s="1">
        <v>44709</v>
      </c>
      <c r="B1139" t="s">
        <v>30</v>
      </c>
      <c r="C1139" t="s">
        <v>11</v>
      </c>
      <c r="D1139" t="s">
        <v>12</v>
      </c>
      <c r="E1139">
        <v>8</v>
      </c>
      <c r="F1139">
        <v>5272</v>
      </c>
      <c r="G1139">
        <v>1188.1600000000001</v>
      </c>
      <c r="H1139">
        <v>2022</v>
      </c>
      <c r="I1139" t="s">
        <v>20</v>
      </c>
      <c r="J1139" s="4">
        <v>0.225371775417299</v>
      </c>
      <c r="K1139" t="s">
        <v>42</v>
      </c>
      <c r="L1139" t="s">
        <v>59</v>
      </c>
      <c r="M1139">
        <v>5</v>
      </c>
      <c r="N1139" t="s">
        <v>20</v>
      </c>
    </row>
    <row r="1140" spans="1:14" x14ac:dyDescent="0.3">
      <c r="A1140" s="1">
        <v>44596</v>
      </c>
      <c r="B1140" t="s">
        <v>30</v>
      </c>
      <c r="C1140" t="s">
        <v>11</v>
      </c>
      <c r="D1140" t="s">
        <v>17</v>
      </c>
      <c r="E1140">
        <v>8</v>
      </c>
      <c r="F1140">
        <v>2880</v>
      </c>
      <c r="G1140">
        <v>315.87</v>
      </c>
      <c r="H1140">
        <v>2022</v>
      </c>
      <c r="I1140" t="s">
        <v>16</v>
      </c>
      <c r="J1140" s="4">
        <v>0.10967708333333299</v>
      </c>
      <c r="K1140" t="s">
        <v>42</v>
      </c>
      <c r="L1140" t="s">
        <v>55</v>
      </c>
      <c r="M1140">
        <v>2</v>
      </c>
      <c r="N1140" t="s">
        <v>57</v>
      </c>
    </row>
    <row r="1141" spans="1:14" x14ac:dyDescent="0.3">
      <c r="A1141" s="1">
        <v>44739</v>
      </c>
      <c r="B1141" t="s">
        <v>30</v>
      </c>
      <c r="C1141" t="s">
        <v>11</v>
      </c>
      <c r="D1141" t="s">
        <v>19</v>
      </c>
      <c r="E1141">
        <v>9</v>
      </c>
      <c r="F1141">
        <v>10728</v>
      </c>
      <c r="G1141">
        <v>1967.84</v>
      </c>
      <c r="H1141">
        <v>2022</v>
      </c>
      <c r="I1141" t="s">
        <v>27</v>
      </c>
      <c r="J1141" s="4">
        <v>0.183430275913497</v>
      </c>
      <c r="K1141" t="s">
        <v>42</v>
      </c>
      <c r="L1141" t="s">
        <v>59</v>
      </c>
      <c r="M1141">
        <v>6</v>
      </c>
      <c r="N1141" t="s">
        <v>66</v>
      </c>
    </row>
    <row r="1142" spans="1:14" x14ac:dyDescent="0.3">
      <c r="A1142" s="1">
        <v>44733</v>
      </c>
      <c r="B1142" t="s">
        <v>30</v>
      </c>
      <c r="C1142" t="s">
        <v>11</v>
      </c>
      <c r="D1142" t="s">
        <v>17</v>
      </c>
      <c r="E1142">
        <v>8</v>
      </c>
      <c r="F1142">
        <v>8192</v>
      </c>
      <c r="G1142">
        <v>2081.7199999999998</v>
      </c>
      <c r="H1142">
        <v>2022</v>
      </c>
      <c r="I1142" t="s">
        <v>27</v>
      </c>
      <c r="J1142" s="4">
        <v>0.25411621093749998</v>
      </c>
      <c r="K1142" t="s">
        <v>42</v>
      </c>
      <c r="L1142" t="s">
        <v>59</v>
      </c>
      <c r="M1142">
        <v>6</v>
      </c>
      <c r="N1142" t="s">
        <v>66</v>
      </c>
    </row>
    <row r="1143" spans="1:14" x14ac:dyDescent="0.3">
      <c r="A1143" s="1">
        <v>44795</v>
      </c>
      <c r="B1143" t="s">
        <v>30</v>
      </c>
      <c r="C1143" t="s">
        <v>11</v>
      </c>
      <c r="D1143" t="s">
        <v>22</v>
      </c>
      <c r="E1143">
        <v>6</v>
      </c>
      <c r="F1143">
        <v>2658</v>
      </c>
      <c r="G1143">
        <v>200.79</v>
      </c>
      <c r="H1143">
        <v>2022</v>
      </c>
      <c r="I1143" t="s">
        <v>24</v>
      </c>
      <c r="J1143" s="4">
        <v>7.5541760722347598E-2</v>
      </c>
      <c r="K1143" t="s">
        <v>42</v>
      </c>
      <c r="L1143" t="s">
        <v>60</v>
      </c>
      <c r="M1143">
        <v>8</v>
      </c>
      <c r="N1143" t="s">
        <v>63</v>
      </c>
    </row>
    <row r="1144" spans="1:14" x14ac:dyDescent="0.3">
      <c r="A1144" s="1">
        <v>44787</v>
      </c>
      <c r="B1144" t="s">
        <v>30</v>
      </c>
      <c r="C1144" t="s">
        <v>11</v>
      </c>
      <c r="D1144" t="s">
        <v>17</v>
      </c>
      <c r="E1144">
        <v>9</v>
      </c>
      <c r="F1144">
        <v>7497</v>
      </c>
      <c r="G1144">
        <v>2241.59</v>
      </c>
      <c r="H1144">
        <v>2022</v>
      </c>
      <c r="I1144" t="s">
        <v>24</v>
      </c>
      <c r="J1144" s="4">
        <v>0.29899826597305601</v>
      </c>
      <c r="K1144" t="s">
        <v>42</v>
      </c>
      <c r="L1144" t="s">
        <v>60</v>
      </c>
      <c r="M1144">
        <v>8</v>
      </c>
      <c r="N1144" t="s">
        <v>63</v>
      </c>
    </row>
    <row r="1145" spans="1:14" x14ac:dyDescent="0.3">
      <c r="A1145" s="1">
        <v>44625</v>
      </c>
      <c r="B1145" t="s">
        <v>30</v>
      </c>
      <c r="C1145" t="s">
        <v>11</v>
      </c>
      <c r="D1145" t="s">
        <v>22</v>
      </c>
      <c r="E1145">
        <v>7</v>
      </c>
      <c r="F1145">
        <v>5285</v>
      </c>
      <c r="G1145">
        <v>1338.58</v>
      </c>
      <c r="H1145">
        <v>2022</v>
      </c>
      <c r="I1145" t="s">
        <v>15</v>
      </c>
      <c r="J1145" s="4">
        <v>0.25327909176915803</v>
      </c>
      <c r="K1145" t="s">
        <v>42</v>
      </c>
      <c r="L1145" t="s">
        <v>55</v>
      </c>
      <c r="M1145">
        <v>3</v>
      </c>
      <c r="N1145" t="s">
        <v>56</v>
      </c>
    </row>
    <row r="1146" spans="1:14" x14ac:dyDescent="0.3">
      <c r="A1146" s="1">
        <v>44632</v>
      </c>
      <c r="B1146" t="s">
        <v>30</v>
      </c>
      <c r="C1146" t="s">
        <v>11</v>
      </c>
      <c r="D1146" t="s">
        <v>22</v>
      </c>
      <c r="E1146">
        <v>3</v>
      </c>
      <c r="F1146">
        <v>723</v>
      </c>
      <c r="G1146">
        <v>115.25</v>
      </c>
      <c r="H1146">
        <v>2022</v>
      </c>
      <c r="I1146" t="s">
        <v>15</v>
      </c>
      <c r="J1146" s="4">
        <v>0.159405255878285</v>
      </c>
      <c r="K1146" t="s">
        <v>42</v>
      </c>
      <c r="L1146" t="s">
        <v>55</v>
      </c>
      <c r="M1146">
        <v>3</v>
      </c>
      <c r="N1146" t="s">
        <v>56</v>
      </c>
    </row>
    <row r="1147" spans="1:14" x14ac:dyDescent="0.3">
      <c r="A1147" s="1">
        <v>44877</v>
      </c>
      <c r="B1147" t="s">
        <v>30</v>
      </c>
      <c r="C1147" t="s">
        <v>11</v>
      </c>
      <c r="D1147" t="s">
        <v>12</v>
      </c>
      <c r="E1147">
        <v>4</v>
      </c>
      <c r="F1147">
        <v>4196</v>
      </c>
      <c r="G1147">
        <v>655.29</v>
      </c>
      <c r="H1147">
        <v>2022</v>
      </c>
      <c r="I1147" t="s">
        <v>18</v>
      </c>
      <c r="J1147" s="4">
        <v>0.156170162059104</v>
      </c>
      <c r="K1147" t="s">
        <v>42</v>
      </c>
      <c r="L1147" t="s">
        <v>52</v>
      </c>
      <c r="M1147">
        <v>11</v>
      </c>
      <c r="N1147" t="s">
        <v>58</v>
      </c>
    </row>
    <row r="1148" spans="1:14" x14ac:dyDescent="0.3">
      <c r="A1148" s="1">
        <v>44784</v>
      </c>
      <c r="B1148" t="s">
        <v>30</v>
      </c>
      <c r="C1148" t="s">
        <v>11</v>
      </c>
      <c r="D1148" t="s">
        <v>12</v>
      </c>
      <c r="E1148">
        <v>5</v>
      </c>
      <c r="F1148">
        <v>4380</v>
      </c>
      <c r="G1148">
        <v>275.83999999999997</v>
      </c>
      <c r="H1148">
        <v>2022</v>
      </c>
      <c r="I1148" t="s">
        <v>24</v>
      </c>
      <c r="J1148" s="4">
        <v>6.2977168949771706E-2</v>
      </c>
      <c r="K1148" t="s">
        <v>42</v>
      </c>
      <c r="L1148" t="s">
        <v>60</v>
      </c>
      <c r="M1148">
        <v>8</v>
      </c>
      <c r="N1148" t="s">
        <v>63</v>
      </c>
    </row>
    <row r="1149" spans="1:14" x14ac:dyDescent="0.3">
      <c r="A1149" s="1">
        <v>44630</v>
      </c>
      <c r="B1149" t="s">
        <v>30</v>
      </c>
      <c r="C1149" t="s">
        <v>11</v>
      </c>
      <c r="D1149" t="s">
        <v>12</v>
      </c>
      <c r="E1149">
        <v>9</v>
      </c>
      <c r="F1149">
        <v>3078</v>
      </c>
      <c r="G1149">
        <v>285.05</v>
      </c>
      <c r="H1149">
        <v>2022</v>
      </c>
      <c r="I1149" t="s">
        <v>15</v>
      </c>
      <c r="J1149" s="4">
        <v>9.2608836907082506E-2</v>
      </c>
      <c r="K1149" t="s">
        <v>42</v>
      </c>
      <c r="L1149" t="s">
        <v>55</v>
      </c>
      <c r="M1149">
        <v>3</v>
      </c>
      <c r="N1149" t="s">
        <v>56</v>
      </c>
    </row>
    <row r="1150" spans="1:14" x14ac:dyDescent="0.3">
      <c r="A1150" s="1">
        <v>44839</v>
      </c>
      <c r="B1150" t="s">
        <v>30</v>
      </c>
      <c r="C1150" t="s">
        <v>11</v>
      </c>
      <c r="D1150" t="s">
        <v>19</v>
      </c>
      <c r="E1150">
        <v>8</v>
      </c>
      <c r="F1150">
        <v>4624</v>
      </c>
      <c r="G1150">
        <v>893.74</v>
      </c>
      <c r="H1150">
        <v>2022</v>
      </c>
      <c r="I1150" t="s">
        <v>14</v>
      </c>
      <c r="J1150" s="4">
        <v>0.193282871972318</v>
      </c>
      <c r="K1150" t="s">
        <v>42</v>
      </c>
      <c r="L1150" t="s">
        <v>52</v>
      </c>
      <c r="M1150">
        <v>10</v>
      </c>
      <c r="N1150" t="s">
        <v>54</v>
      </c>
    </row>
    <row r="1151" spans="1:14" x14ac:dyDescent="0.3">
      <c r="A1151" s="1">
        <v>44676</v>
      </c>
      <c r="B1151" t="s">
        <v>30</v>
      </c>
      <c r="C1151" t="s">
        <v>11</v>
      </c>
      <c r="D1151" t="s">
        <v>22</v>
      </c>
      <c r="E1151">
        <v>5</v>
      </c>
      <c r="F1151">
        <v>5700</v>
      </c>
      <c r="G1151">
        <v>999.26</v>
      </c>
      <c r="H1151">
        <v>2022</v>
      </c>
      <c r="I1151" t="s">
        <v>23</v>
      </c>
      <c r="J1151" s="4">
        <v>0.175308771929825</v>
      </c>
      <c r="K1151" t="s">
        <v>42</v>
      </c>
      <c r="L1151" t="s">
        <v>59</v>
      </c>
      <c r="M1151">
        <v>4</v>
      </c>
      <c r="N1151" t="s">
        <v>62</v>
      </c>
    </row>
    <row r="1152" spans="1:14" x14ac:dyDescent="0.3">
      <c r="A1152" s="1">
        <v>44700</v>
      </c>
      <c r="B1152" t="s">
        <v>30</v>
      </c>
      <c r="C1152" t="s">
        <v>11</v>
      </c>
      <c r="D1152" t="s">
        <v>19</v>
      </c>
      <c r="E1152">
        <v>2</v>
      </c>
      <c r="F1152">
        <v>646</v>
      </c>
      <c r="G1152">
        <v>110.13</v>
      </c>
      <c r="H1152">
        <v>2022</v>
      </c>
      <c r="I1152" t="s">
        <v>20</v>
      </c>
      <c r="J1152" s="4">
        <v>0.170479876160991</v>
      </c>
      <c r="K1152" t="s">
        <v>42</v>
      </c>
      <c r="L1152" t="s">
        <v>59</v>
      </c>
      <c r="M1152">
        <v>5</v>
      </c>
      <c r="N1152" t="s">
        <v>20</v>
      </c>
    </row>
    <row r="1153" spans="1:14" x14ac:dyDescent="0.3">
      <c r="A1153" s="1">
        <v>44680</v>
      </c>
      <c r="B1153" t="s">
        <v>30</v>
      </c>
      <c r="C1153" t="s">
        <v>11</v>
      </c>
      <c r="D1153" t="s">
        <v>19</v>
      </c>
      <c r="E1153">
        <v>1</v>
      </c>
      <c r="F1153">
        <v>403</v>
      </c>
      <c r="G1153">
        <v>72.45</v>
      </c>
      <c r="H1153">
        <v>2022</v>
      </c>
      <c r="I1153" t="s">
        <v>23</v>
      </c>
      <c r="J1153" s="4">
        <v>0.17977667493796501</v>
      </c>
      <c r="K1153" t="s">
        <v>42</v>
      </c>
      <c r="L1153" t="s">
        <v>59</v>
      </c>
      <c r="M1153">
        <v>4</v>
      </c>
      <c r="N1153" t="s">
        <v>62</v>
      </c>
    </row>
    <row r="1154" spans="1:14" x14ac:dyDescent="0.3">
      <c r="A1154" s="1">
        <v>44786</v>
      </c>
      <c r="B1154" t="s">
        <v>30</v>
      </c>
      <c r="C1154" t="s">
        <v>11</v>
      </c>
      <c r="D1154" t="s">
        <v>17</v>
      </c>
      <c r="E1154">
        <v>9</v>
      </c>
      <c r="F1154">
        <v>1809</v>
      </c>
      <c r="G1154">
        <v>392.44</v>
      </c>
      <c r="H1154">
        <v>2022</v>
      </c>
      <c r="I1154" t="s">
        <v>24</v>
      </c>
      <c r="J1154" s="4">
        <v>0.21693753454947501</v>
      </c>
      <c r="K1154" t="s">
        <v>42</v>
      </c>
      <c r="L1154" t="s">
        <v>60</v>
      </c>
      <c r="M1154">
        <v>8</v>
      </c>
      <c r="N1154" t="s">
        <v>63</v>
      </c>
    </row>
    <row r="1155" spans="1:14" x14ac:dyDescent="0.3">
      <c r="A1155" s="1">
        <v>44872</v>
      </c>
      <c r="B1155" t="s">
        <v>30</v>
      </c>
      <c r="C1155" t="s">
        <v>11</v>
      </c>
      <c r="D1155" t="s">
        <v>19</v>
      </c>
      <c r="E1155">
        <v>9</v>
      </c>
      <c r="F1155">
        <v>4860</v>
      </c>
      <c r="G1155">
        <v>1425.54</v>
      </c>
      <c r="H1155">
        <v>2022</v>
      </c>
      <c r="I1155" t="s">
        <v>18</v>
      </c>
      <c r="J1155" s="4">
        <v>0.29332098765432102</v>
      </c>
      <c r="K1155" t="s">
        <v>42</v>
      </c>
      <c r="L1155" t="s">
        <v>52</v>
      </c>
      <c r="M1155">
        <v>11</v>
      </c>
      <c r="N1155" t="s">
        <v>58</v>
      </c>
    </row>
    <row r="1156" spans="1:14" x14ac:dyDescent="0.3">
      <c r="A1156" s="1">
        <v>44802</v>
      </c>
      <c r="B1156" t="s">
        <v>30</v>
      </c>
      <c r="C1156" t="s">
        <v>11</v>
      </c>
      <c r="D1156" t="s">
        <v>22</v>
      </c>
      <c r="E1156">
        <v>4</v>
      </c>
      <c r="F1156">
        <v>1088</v>
      </c>
      <c r="G1156">
        <v>295.08999999999997</v>
      </c>
      <c r="H1156">
        <v>2022</v>
      </c>
      <c r="I1156" t="s">
        <v>24</v>
      </c>
      <c r="J1156" s="4">
        <v>0.27122242647058797</v>
      </c>
      <c r="K1156" t="s">
        <v>42</v>
      </c>
      <c r="L1156" t="s">
        <v>60</v>
      </c>
      <c r="M1156">
        <v>8</v>
      </c>
      <c r="N1156" t="s">
        <v>63</v>
      </c>
    </row>
    <row r="1157" spans="1:14" x14ac:dyDescent="0.3">
      <c r="A1157" s="1">
        <v>44605</v>
      </c>
      <c r="B1157" t="s">
        <v>30</v>
      </c>
      <c r="C1157" t="s">
        <v>11</v>
      </c>
      <c r="D1157" t="s">
        <v>17</v>
      </c>
      <c r="E1157">
        <v>4</v>
      </c>
      <c r="F1157">
        <v>3384</v>
      </c>
      <c r="G1157">
        <v>947.52</v>
      </c>
      <c r="H1157">
        <v>2022</v>
      </c>
      <c r="I1157" t="s">
        <v>16</v>
      </c>
      <c r="J1157" s="4">
        <v>0.28000000000000003</v>
      </c>
      <c r="K1157" t="s">
        <v>42</v>
      </c>
      <c r="L1157" t="s">
        <v>55</v>
      </c>
      <c r="M1157">
        <v>2</v>
      </c>
      <c r="N1157" t="s">
        <v>57</v>
      </c>
    </row>
    <row r="1158" spans="1:14" x14ac:dyDescent="0.3">
      <c r="A1158" s="1">
        <v>44822</v>
      </c>
      <c r="B1158" t="s">
        <v>30</v>
      </c>
      <c r="C1158" t="s">
        <v>11</v>
      </c>
      <c r="D1158" t="s">
        <v>22</v>
      </c>
      <c r="E1158">
        <v>4</v>
      </c>
      <c r="F1158">
        <v>628</v>
      </c>
      <c r="G1158">
        <v>156.97999999999999</v>
      </c>
      <c r="H1158">
        <v>2022</v>
      </c>
      <c r="I1158" t="s">
        <v>21</v>
      </c>
      <c r="J1158" s="4">
        <v>0.24996815286624199</v>
      </c>
      <c r="K1158" t="s">
        <v>42</v>
      </c>
      <c r="L1158" t="s">
        <v>60</v>
      </c>
      <c r="M1158">
        <v>9</v>
      </c>
      <c r="N1158" t="s">
        <v>61</v>
      </c>
    </row>
    <row r="1159" spans="1:14" x14ac:dyDescent="0.3">
      <c r="A1159" s="1">
        <v>44668</v>
      </c>
      <c r="B1159" t="s">
        <v>30</v>
      </c>
      <c r="C1159" t="s">
        <v>11</v>
      </c>
      <c r="D1159" t="s">
        <v>17</v>
      </c>
      <c r="E1159">
        <v>4</v>
      </c>
      <c r="F1159">
        <v>328</v>
      </c>
      <c r="G1159">
        <v>90.89</v>
      </c>
      <c r="H1159">
        <v>2022</v>
      </c>
      <c r="I1159" t="s">
        <v>23</v>
      </c>
      <c r="J1159" s="4">
        <v>0.27710365853658497</v>
      </c>
      <c r="K1159" t="s">
        <v>42</v>
      </c>
      <c r="L1159" t="s">
        <v>59</v>
      </c>
      <c r="M1159">
        <v>4</v>
      </c>
      <c r="N1159" t="s">
        <v>62</v>
      </c>
    </row>
    <row r="1160" spans="1:14" x14ac:dyDescent="0.3">
      <c r="A1160" s="1">
        <v>44786</v>
      </c>
      <c r="B1160" t="s">
        <v>30</v>
      </c>
      <c r="C1160" t="s">
        <v>11</v>
      </c>
      <c r="D1160" t="s">
        <v>22</v>
      </c>
      <c r="E1160">
        <v>5</v>
      </c>
      <c r="F1160">
        <v>4445</v>
      </c>
      <c r="G1160">
        <v>642.83000000000004</v>
      </c>
      <c r="H1160">
        <v>2022</v>
      </c>
      <c r="I1160" t="s">
        <v>24</v>
      </c>
      <c r="J1160" s="4">
        <v>0.14461867266591699</v>
      </c>
      <c r="K1160" t="s">
        <v>42</v>
      </c>
      <c r="L1160" t="s">
        <v>60</v>
      </c>
      <c r="M1160">
        <v>8</v>
      </c>
      <c r="N1160" t="s">
        <v>63</v>
      </c>
    </row>
    <row r="1161" spans="1:14" x14ac:dyDescent="0.3">
      <c r="A1161" s="1">
        <v>44679</v>
      </c>
      <c r="B1161" t="s">
        <v>30</v>
      </c>
      <c r="C1161" t="s">
        <v>11</v>
      </c>
      <c r="D1161" t="s">
        <v>12</v>
      </c>
      <c r="E1161">
        <v>2</v>
      </c>
      <c r="F1161">
        <v>432</v>
      </c>
      <c r="G1161">
        <v>81.31</v>
      </c>
      <c r="H1161">
        <v>2022</v>
      </c>
      <c r="I1161" t="s">
        <v>23</v>
      </c>
      <c r="J1161" s="4">
        <v>0.18821759259259299</v>
      </c>
      <c r="K1161" t="s">
        <v>42</v>
      </c>
      <c r="L1161" t="s">
        <v>59</v>
      </c>
      <c r="M1161">
        <v>4</v>
      </c>
      <c r="N1161" t="s">
        <v>62</v>
      </c>
    </row>
    <row r="1162" spans="1:14" x14ac:dyDescent="0.3">
      <c r="A1162" s="1">
        <v>44705</v>
      </c>
      <c r="B1162" t="s">
        <v>30</v>
      </c>
      <c r="C1162" t="s">
        <v>11</v>
      </c>
      <c r="D1162" t="s">
        <v>22</v>
      </c>
      <c r="E1162">
        <v>7</v>
      </c>
      <c r="F1162">
        <v>4641</v>
      </c>
      <c r="G1162">
        <v>1341.98</v>
      </c>
      <c r="H1162">
        <v>2022</v>
      </c>
      <c r="I1162" t="s">
        <v>20</v>
      </c>
      <c r="J1162" s="4">
        <v>0.28915750915750899</v>
      </c>
      <c r="K1162" t="s">
        <v>42</v>
      </c>
      <c r="L1162" t="s">
        <v>59</v>
      </c>
      <c r="M1162">
        <v>5</v>
      </c>
      <c r="N1162" t="s">
        <v>20</v>
      </c>
    </row>
    <row r="1163" spans="1:14" x14ac:dyDescent="0.3">
      <c r="A1163" s="1">
        <v>44717</v>
      </c>
      <c r="B1163" t="s">
        <v>30</v>
      </c>
      <c r="C1163" t="s">
        <v>11</v>
      </c>
      <c r="D1163" t="s">
        <v>12</v>
      </c>
      <c r="E1163">
        <v>3</v>
      </c>
      <c r="F1163">
        <v>3561</v>
      </c>
      <c r="G1163">
        <v>206.87</v>
      </c>
      <c r="H1163">
        <v>2022</v>
      </c>
      <c r="I1163" t="s">
        <v>27</v>
      </c>
      <c r="J1163" s="4">
        <v>5.8093232238135402E-2</v>
      </c>
      <c r="K1163" t="s">
        <v>42</v>
      </c>
      <c r="L1163" t="s">
        <v>59</v>
      </c>
      <c r="M1163">
        <v>6</v>
      </c>
      <c r="N1163" t="s">
        <v>66</v>
      </c>
    </row>
    <row r="1164" spans="1:14" x14ac:dyDescent="0.3">
      <c r="A1164" s="1">
        <v>44608</v>
      </c>
      <c r="B1164" t="s">
        <v>30</v>
      </c>
      <c r="C1164" t="s">
        <v>11</v>
      </c>
      <c r="D1164" t="s">
        <v>22</v>
      </c>
      <c r="E1164">
        <v>8</v>
      </c>
      <c r="F1164">
        <v>1840</v>
      </c>
      <c r="G1164">
        <v>461.21</v>
      </c>
      <c r="H1164">
        <v>2022</v>
      </c>
      <c r="I1164" t="s">
        <v>16</v>
      </c>
      <c r="J1164" s="4">
        <v>0.25065760869565201</v>
      </c>
      <c r="K1164" t="s">
        <v>42</v>
      </c>
      <c r="L1164" t="s">
        <v>55</v>
      </c>
      <c r="M1164">
        <v>2</v>
      </c>
      <c r="N1164" t="s">
        <v>57</v>
      </c>
    </row>
    <row r="1165" spans="1:14" x14ac:dyDescent="0.3">
      <c r="A1165" s="1">
        <v>44813</v>
      </c>
      <c r="B1165" t="s">
        <v>30</v>
      </c>
      <c r="C1165" t="s">
        <v>11</v>
      </c>
      <c r="D1165" t="s">
        <v>19</v>
      </c>
      <c r="E1165">
        <v>4</v>
      </c>
      <c r="F1165">
        <v>1628</v>
      </c>
      <c r="G1165">
        <v>314.95999999999998</v>
      </c>
      <c r="H1165">
        <v>2022</v>
      </c>
      <c r="I1165" t="s">
        <v>21</v>
      </c>
      <c r="J1165" s="4">
        <v>0.19346437346437301</v>
      </c>
      <c r="K1165" t="s">
        <v>42</v>
      </c>
      <c r="L1165" t="s">
        <v>60</v>
      </c>
      <c r="M1165">
        <v>9</v>
      </c>
      <c r="N1165" t="s">
        <v>61</v>
      </c>
    </row>
    <row r="1166" spans="1:14" x14ac:dyDescent="0.3">
      <c r="A1166" s="1">
        <v>44901</v>
      </c>
      <c r="B1166" t="s">
        <v>30</v>
      </c>
      <c r="C1166" t="s">
        <v>11</v>
      </c>
      <c r="D1166" t="s">
        <v>17</v>
      </c>
      <c r="E1166">
        <v>1</v>
      </c>
      <c r="F1166">
        <v>290</v>
      </c>
      <c r="G1166">
        <v>61.14</v>
      </c>
      <c r="H1166">
        <v>2022</v>
      </c>
      <c r="I1166" t="s">
        <v>13</v>
      </c>
      <c r="J1166" s="4">
        <v>0.21082758620689701</v>
      </c>
      <c r="K1166" t="s">
        <v>42</v>
      </c>
      <c r="L1166" t="s">
        <v>52</v>
      </c>
      <c r="M1166">
        <v>12</v>
      </c>
      <c r="N1166" t="s">
        <v>53</v>
      </c>
    </row>
    <row r="1167" spans="1:14" x14ac:dyDescent="0.3">
      <c r="A1167" s="1">
        <v>44663</v>
      </c>
      <c r="B1167" t="s">
        <v>30</v>
      </c>
      <c r="C1167" t="s">
        <v>11</v>
      </c>
      <c r="D1167" t="s">
        <v>22</v>
      </c>
      <c r="E1167">
        <v>4</v>
      </c>
      <c r="F1167">
        <v>260</v>
      </c>
      <c r="G1167">
        <v>66.02</v>
      </c>
      <c r="H1167">
        <v>2022</v>
      </c>
      <c r="I1167" t="s">
        <v>23</v>
      </c>
      <c r="J1167" s="4">
        <v>0.25392307692307697</v>
      </c>
      <c r="K1167" t="s">
        <v>42</v>
      </c>
      <c r="L1167" t="s">
        <v>59</v>
      </c>
      <c r="M1167">
        <v>4</v>
      </c>
      <c r="N1167" t="s">
        <v>62</v>
      </c>
    </row>
    <row r="1168" spans="1:14" x14ac:dyDescent="0.3">
      <c r="A1168" s="1">
        <v>45271</v>
      </c>
      <c r="B1168" t="s">
        <v>30</v>
      </c>
      <c r="C1168" t="s">
        <v>11</v>
      </c>
      <c r="D1168" t="s">
        <v>12</v>
      </c>
      <c r="E1168">
        <v>9</v>
      </c>
      <c r="F1168">
        <v>6138</v>
      </c>
      <c r="G1168">
        <v>1562.14</v>
      </c>
      <c r="H1168">
        <v>2023</v>
      </c>
      <c r="I1168" t="s">
        <v>13</v>
      </c>
      <c r="J1168" s="4">
        <v>0.25450309547083699</v>
      </c>
      <c r="K1168" t="s">
        <v>40</v>
      </c>
      <c r="L1168" t="s">
        <v>52</v>
      </c>
      <c r="M1168">
        <v>12</v>
      </c>
      <c r="N1168" t="s">
        <v>53</v>
      </c>
    </row>
    <row r="1169" spans="1:14" x14ac:dyDescent="0.3">
      <c r="A1169" s="1">
        <v>45025</v>
      </c>
      <c r="B1169" t="s">
        <v>30</v>
      </c>
      <c r="C1169" t="s">
        <v>11</v>
      </c>
      <c r="D1169" t="s">
        <v>17</v>
      </c>
      <c r="E1169">
        <v>9</v>
      </c>
      <c r="F1169">
        <v>10773</v>
      </c>
      <c r="G1169">
        <v>1907.36</v>
      </c>
      <c r="H1169">
        <v>2023</v>
      </c>
      <c r="I1169" t="s">
        <v>23</v>
      </c>
      <c r="J1169" s="4">
        <v>0.17705003248862899</v>
      </c>
      <c r="K1169" t="s">
        <v>40</v>
      </c>
      <c r="L1169" t="s">
        <v>59</v>
      </c>
      <c r="M1169">
        <v>4</v>
      </c>
      <c r="N1169" t="s">
        <v>62</v>
      </c>
    </row>
    <row r="1170" spans="1:14" x14ac:dyDescent="0.3">
      <c r="A1170" s="1">
        <v>45071</v>
      </c>
      <c r="B1170" t="s">
        <v>30</v>
      </c>
      <c r="C1170" t="s">
        <v>11</v>
      </c>
      <c r="D1170" t="s">
        <v>17</v>
      </c>
      <c r="E1170">
        <v>8</v>
      </c>
      <c r="F1170">
        <v>1224</v>
      </c>
      <c r="G1170">
        <v>246.77</v>
      </c>
      <c r="H1170">
        <v>2023</v>
      </c>
      <c r="I1170" t="s">
        <v>20</v>
      </c>
      <c r="J1170" s="4">
        <v>0.20160947712418301</v>
      </c>
      <c r="K1170" t="s">
        <v>40</v>
      </c>
      <c r="L1170" t="s">
        <v>59</v>
      </c>
      <c r="M1170">
        <v>5</v>
      </c>
      <c r="N1170" t="s">
        <v>20</v>
      </c>
    </row>
    <row r="1171" spans="1:14" x14ac:dyDescent="0.3">
      <c r="A1171" s="1">
        <v>44962</v>
      </c>
      <c r="B1171" t="s">
        <v>30</v>
      </c>
      <c r="C1171" t="s">
        <v>11</v>
      </c>
      <c r="D1171" t="s">
        <v>12</v>
      </c>
      <c r="E1171">
        <v>5</v>
      </c>
      <c r="F1171">
        <v>4325</v>
      </c>
      <c r="G1171">
        <v>1023.39</v>
      </c>
      <c r="H1171">
        <v>2023</v>
      </c>
      <c r="I1171" t="s">
        <v>16</v>
      </c>
      <c r="J1171" s="4">
        <v>0.23662196531791899</v>
      </c>
      <c r="K1171" t="s">
        <v>40</v>
      </c>
      <c r="L1171" t="s">
        <v>55</v>
      </c>
      <c r="M1171">
        <v>2</v>
      </c>
      <c r="N1171" t="s">
        <v>57</v>
      </c>
    </row>
    <row r="1172" spans="1:14" x14ac:dyDescent="0.3">
      <c r="A1172" s="1">
        <v>45290</v>
      </c>
      <c r="B1172" t="s">
        <v>30</v>
      </c>
      <c r="C1172" t="s">
        <v>11</v>
      </c>
      <c r="D1172" t="s">
        <v>22</v>
      </c>
      <c r="E1172">
        <v>1</v>
      </c>
      <c r="F1172">
        <v>111</v>
      </c>
      <c r="G1172">
        <v>19.329999999999998</v>
      </c>
      <c r="H1172">
        <v>2023</v>
      </c>
      <c r="I1172" t="s">
        <v>13</v>
      </c>
      <c r="J1172" s="4">
        <v>0.174144144144144</v>
      </c>
      <c r="K1172" t="s">
        <v>40</v>
      </c>
      <c r="L1172" t="s">
        <v>52</v>
      </c>
      <c r="M1172">
        <v>12</v>
      </c>
      <c r="N1172" t="s">
        <v>53</v>
      </c>
    </row>
    <row r="1173" spans="1:14" x14ac:dyDescent="0.3">
      <c r="A1173" s="1">
        <v>45022</v>
      </c>
      <c r="B1173" t="s">
        <v>30</v>
      </c>
      <c r="C1173" t="s">
        <v>11</v>
      </c>
      <c r="D1173" t="s">
        <v>12</v>
      </c>
      <c r="E1173">
        <v>9</v>
      </c>
      <c r="F1173">
        <v>8802</v>
      </c>
      <c r="G1173">
        <v>1344.96</v>
      </c>
      <c r="H1173">
        <v>2023</v>
      </c>
      <c r="I1173" t="s">
        <v>23</v>
      </c>
      <c r="J1173" s="4">
        <v>0.15280163599182001</v>
      </c>
      <c r="K1173" t="s">
        <v>40</v>
      </c>
      <c r="L1173" t="s">
        <v>59</v>
      </c>
      <c r="M1173">
        <v>4</v>
      </c>
      <c r="N1173" t="s">
        <v>62</v>
      </c>
    </row>
    <row r="1174" spans="1:14" x14ac:dyDescent="0.3">
      <c r="A1174" s="1">
        <v>45270</v>
      </c>
      <c r="B1174" t="s">
        <v>30</v>
      </c>
      <c r="C1174" t="s">
        <v>11</v>
      </c>
      <c r="D1174" t="s">
        <v>19</v>
      </c>
      <c r="E1174">
        <v>5</v>
      </c>
      <c r="F1174">
        <v>4360</v>
      </c>
      <c r="G1174">
        <v>1160.55</v>
      </c>
      <c r="H1174">
        <v>2023</v>
      </c>
      <c r="I1174" t="s">
        <v>13</v>
      </c>
      <c r="J1174" s="4">
        <v>0.26618119266055001</v>
      </c>
      <c r="K1174" t="s">
        <v>40</v>
      </c>
      <c r="L1174" t="s">
        <v>52</v>
      </c>
      <c r="M1174">
        <v>12</v>
      </c>
      <c r="N1174" t="s">
        <v>53</v>
      </c>
    </row>
    <row r="1175" spans="1:14" x14ac:dyDescent="0.3">
      <c r="A1175" s="1">
        <v>45280</v>
      </c>
      <c r="B1175" t="s">
        <v>30</v>
      </c>
      <c r="C1175" t="s">
        <v>11</v>
      </c>
      <c r="D1175" t="s">
        <v>19</v>
      </c>
      <c r="E1175">
        <v>4</v>
      </c>
      <c r="F1175">
        <v>228</v>
      </c>
      <c r="G1175">
        <v>54.05</v>
      </c>
      <c r="H1175">
        <v>2023</v>
      </c>
      <c r="I1175" t="s">
        <v>13</v>
      </c>
      <c r="J1175" s="4">
        <v>0.237061403508772</v>
      </c>
      <c r="K1175" t="s">
        <v>40</v>
      </c>
      <c r="L1175" t="s">
        <v>52</v>
      </c>
      <c r="M1175">
        <v>12</v>
      </c>
      <c r="N1175" t="s">
        <v>53</v>
      </c>
    </row>
    <row r="1176" spans="1:14" x14ac:dyDescent="0.3">
      <c r="A1176" s="1">
        <v>44981</v>
      </c>
      <c r="B1176" t="s">
        <v>30</v>
      </c>
      <c r="C1176" t="s">
        <v>11</v>
      </c>
      <c r="D1176" t="s">
        <v>17</v>
      </c>
      <c r="E1176">
        <v>4</v>
      </c>
      <c r="F1176">
        <v>2108</v>
      </c>
      <c r="G1176">
        <v>576.48</v>
      </c>
      <c r="H1176">
        <v>2023</v>
      </c>
      <c r="I1176" t="s">
        <v>16</v>
      </c>
      <c r="J1176" s="4">
        <v>0.27347248576850097</v>
      </c>
      <c r="K1176" t="s">
        <v>40</v>
      </c>
      <c r="L1176" t="s">
        <v>55</v>
      </c>
      <c r="M1176">
        <v>2</v>
      </c>
      <c r="N1176" t="s">
        <v>57</v>
      </c>
    </row>
    <row r="1177" spans="1:14" x14ac:dyDescent="0.3">
      <c r="A1177" s="1">
        <v>45271</v>
      </c>
      <c r="B1177" t="s">
        <v>30</v>
      </c>
      <c r="C1177" t="s">
        <v>11</v>
      </c>
      <c r="D1177" t="s">
        <v>17</v>
      </c>
      <c r="E1177">
        <v>3</v>
      </c>
      <c r="F1177">
        <v>2139</v>
      </c>
      <c r="G1177">
        <v>415.84</v>
      </c>
      <c r="H1177">
        <v>2023</v>
      </c>
      <c r="I1177" t="s">
        <v>13</v>
      </c>
      <c r="J1177" s="4">
        <v>0.19440860215053801</v>
      </c>
      <c r="K1177" t="s">
        <v>40</v>
      </c>
      <c r="L1177" t="s">
        <v>52</v>
      </c>
      <c r="M1177">
        <v>12</v>
      </c>
      <c r="N1177" t="s">
        <v>53</v>
      </c>
    </row>
    <row r="1178" spans="1:14" x14ac:dyDescent="0.3">
      <c r="A1178" s="1">
        <v>45284</v>
      </c>
      <c r="B1178" t="s">
        <v>30</v>
      </c>
      <c r="C1178" t="s">
        <v>11</v>
      </c>
      <c r="D1178" t="s">
        <v>22</v>
      </c>
      <c r="E1178">
        <v>7</v>
      </c>
      <c r="F1178">
        <v>3388</v>
      </c>
      <c r="G1178">
        <v>347.19</v>
      </c>
      <c r="H1178">
        <v>2023</v>
      </c>
      <c r="I1178" t="s">
        <v>13</v>
      </c>
      <c r="J1178" s="4">
        <v>0.10247638724911499</v>
      </c>
      <c r="K1178" t="s">
        <v>40</v>
      </c>
      <c r="L1178" t="s">
        <v>52</v>
      </c>
      <c r="M1178">
        <v>12</v>
      </c>
      <c r="N1178" t="s">
        <v>53</v>
      </c>
    </row>
    <row r="1179" spans="1:14" x14ac:dyDescent="0.3">
      <c r="A1179" s="1">
        <v>45151</v>
      </c>
      <c r="B1179" t="s">
        <v>30</v>
      </c>
      <c r="C1179" t="s">
        <v>11</v>
      </c>
      <c r="D1179" t="s">
        <v>19</v>
      </c>
      <c r="E1179">
        <v>8</v>
      </c>
      <c r="F1179">
        <v>8736</v>
      </c>
      <c r="G1179">
        <v>580.30999999999995</v>
      </c>
      <c r="H1179">
        <v>2023</v>
      </c>
      <c r="I1179" t="s">
        <v>24</v>
      </c>
      <c r="J1179" s="4">
        <v>6.6427426739926701E-2</v>
      </c>
      <c r="K1179" t="s">
        <v>40</v>
      </c>
      <c r="L1179" t="s">
        <v>60</v>
      </c>
      <c r="M1179">
        <v>8</v>
      </c>
      <c r="N1179" t="s">
        <v>63</v>
      </c>
    </row>
    <row r="1180" spans="1:14" x14ac:dyDescent="0.3">
      <c r="A1180" s="1">
        <v>44938</v>
      </c>
      <c r="B1180" t="s">
        <v>30</v>
      </c>
      <c r="C1180" t="s">
        <v>11</v>
      </c>
      <c r="D1180" t="s">
        <v>22</v>
      </c>
      <c r="E1180">
        <v>5</v>
      </c>
      <c r="F1180">
        <v>3985</v>
      </c>
      <c r="G1180">
        <v>824.4</v>
      </c>
      <c r="H1180">
        <v>2023</v>
      </c>
      <c r="I1180" t="s">
        <v>26</v>
      </c>
      <c r="J1180" s="4">
        <v>0.20687578419071501</v>
      </c>
      <c r="K1180" t="s">
        <v>40</v>
      </c>
      <c r="L1180" t="s">
        <v>55</v>
      </c>
      <c r="M1180">
        <v>1</v>
      </c>
      <c r="N1180" t="s">
        <v>65</v>
      </c>
    </row>
    <row r="1181" spans="1:14" x14ac:dyDescent="0.3">
      <c r="A1181" s="1">
        <v>45266</v>
      </c>
      <c r="B1181" t="s">
        <v>30</v>
      </c>
      <c r="C1181" t="s">
        <v>11</v>
      </c>
      <c r="D1181" t="s">
        <v>22</v>
      </c>
      <c r="E1181">
        <v>6</v>
      </c>
      <c r="F1181">
        <v>2700</v>
      </c>
      <c r="G1181">
        <v>527.97</v>
      </c>
      <c r="H1181">
        <v>2023</v>
      </c>
      <c r="I1181" t="s">
        <v>13</v>
      </c>
      <c r="J1181" s="4">
        <v>0.19554444444444399</v>
      </c>
      <c r="K1181" t="s">
        <v>40</v>
      </c>
      <c r="L1181" t="s">
        <v>52</v>
      </c>
      <c r="M1181">
        <v>12</v>
      </c>
      <c r="N1181" t="s">
        <v>53</v>
      </c>
    </row>
    <row r="1182" spans="1:14" x14ac:dyDescent="0.3">
      <c r="A1182" s="1">
        <v>45286</v>
      </c>
      <c r="B1182" t="s">
        <v>30</v>
      </c>
      <c r="C1182" t="s">
        <v>11</v>
      </c>
      <c r="D1182" t="s">
        <v>19</v>
      </c>
      <c r="E1182">
        <v>8</v>
      </c>
      <c r="F1182">
        <v>6968</v>
      </c>
      <c r="G1182">
        <v>1479.09</v>
      </c>
      <c r="H1182">
        <v>2023</v>
      </c>
      <c r="I1182" t="s">
        <v>13</v>
      </c>
      <c r="J1182" s="4">
        <v>0.21226894374282401</v>
      </c>
      <c r="K1182" t="s">
        <v>40</v>
      </c>
      <c r="L1182" t="s">
        <v>52</v>
      </c>
      <c r="M1182">
        <v>12</v>
      </c>
      <c r="N1182" t="s">
        <v>53</v>
      </c>
    </row>
    <row r="1183" spans="1:14" x14ac:dyDescent="0.3">
      <c r="A1183" s="1">
        <v>45192</v>
      </c>
      <c r="B1183" t="s">
        <v>30</v>
      </c>
      <c r="C1183" t="s">
        <v>11</v>
      </c>
      <c r="D1183" t="s">
        <v>17</v>
      </c>
      <c r="E1183">
        <v>3</v>
      </c>
      <c r="F1183">
        <v>3543</v>
      </c>
      <c r="G1183">
        <v>941.37</v>
      </c>
      <c r="H1183">
        <v>2023</v>
      </c>
      <c r="I1183" t="s">
        <v>21</v>
      </c>
      <c r="J1183" s="4">
        <v>0.26569856054191399</v>
      </c>
      <c r="K1183" t="s">
        <v>40</v>
      </c>
      <c r="L1183" t="s">
        <v>60</v>
      </c>
      <c r="M1183">
        <v>9</v>
      </c>
      <c r="N1183" t="s">
        <v>61</v>
      </c>
    </row>
    <row r="1184" spans="1:14" x14ac:dyDescent="0.3">
      <c r="A1184" s="1">
        <v>45122</v>
      </c>
      <c r="B1184" t="s">
        <v>30</v>
      </c>
      <c r="C1184" t="s">
        <v>11</v>
      </c>
      <c r="D1184" t="s">
        <v>12</v>
      </c>
      <c r="E1184">
        <v>6</v>
      </c>
      <c r="F1184">
        <v>2844</v>
      </c>
      <c r="G1184">
        <v>581</v>
      </c>
      <c r="H1184">
        <v>2023</v>
      </c>
      <c r="I1184" t="s">
        <v>25</v>
      </c>
      <c r="J1184" s="4">
        <v>0.204289732770745</v>
      </c>
      <c r="K1184" t="s">
        <v>40</v>
      </c>
      <c r="L1184" t="s">
        <v>60</v>
      </c>
      <c r="M1184">
        <v>7</v>
      </c>
      <c r="N1184" t="s">
        <v>64</v>
      </c>
    </row>
    <row r="1185" spans="1:14" x14ac:dyDescent="0.3">
      <c r="A1185" s="1">
        <v>45264</v>
      </c>
      <c r="B1185" t="s">
        <v>30</v>
      </c>
      <c r="C1185" t="s">
        <v>11</v>
      </c>
      <c r="D1185" t="s">
        <v>17</v>
      </c>
      <c r="E1185">
        <v>3</v>
      </c>
      <c r="F1185">
        <v>1638</v>
      </c>
      <c r="G1185">
        <v>306.29000000000002</v>
      </c>
      <c r="H1185">
        <v>2023</v>
      </c>
      <c r="I1185" t="s">
        <v>13</v>
      </c>
      <c r="J1185" s="4">
        <v>0.18699023199023199</v>
      </c>
      <c r="K1185" t="s">
        <v>40</v>
      </c>
      <c r="L1185" t="s">
        <v>52</v>
      </c>
      <c r="M1185">
        <v>12</v>
      </c>
      <c r="N1185" t="s">
        <v>53</v>
      </c>
    </row>
    <row r="1186" spans="1:14" x14ac:dyDescent="0.3">
      <c r="A1186" s="1">
        <v>45276</v>
      </c>
      <c r="B1186" t="s">
        <v>30</v>
      </c>
      <c r="C1186" t="s">
        <v>11</v>
      </c>
      <c r="D1186" t="s">
        <v>19</v>
      </c>
      <c r="E1186">
        <v>2</v>
      </c>
      <c r="F1186">
        <v>562</v>
      </c>
      <c r="G1186">
        <v>92.94</v>
      </c>
      <c r="H1186">
        <v>2023</v>
      </c>
      <c r="I1186" t="s">
        <v>13</v>
      </c>
      <c r="J1186" s="4">
        <v>0.16537366548042701</v>
      </c>
      <c r="K1186" t="s">
        <v>40</v>
      </c>
      <c r="L1186" t="s">
        <v>52</v>
      </c>
      <c r="M1186">
        <v>12</v>
      </c>
      <c r="N1186" t="s">
        <v>53</v>
      </c>
    </row>
    <row r="1187" spans="1:14" x14ac:dyDescent="0.3">
      <c r="A1187" s="1">
        <v>45051</v>
      </c>
      <c r="B1187" t="s">
        <v>30</v>
      </c>
      <c r="C1187" t="s">
        <v>11</v>
      </c>
      <c r="D1187" t="s">
        <v>17</v>
      </c>
      <c r="E1187">
        <v>2</v>
      </c>
      <c r="F1187">
        <v>1356</v>
      </c>
      <c r="G1187">
        <v>144.18</v>
      </c>
      <c r="H1187">
        <v>2023</v>
      </c>
      <c r="I1187" t="s">
        <v>20</v>
      </c>
      <c r="J1187" s="4">
        <v>0.10632743362831901</v>
      </c>
      <c r="K1187" t="s">
        <v>40</v>
      </c>
      <c r="L1187" t="s">
        <v>59</v>
      </c>
      <c r="M1187">
        <v>5</v>
      </c>
      <c r="N1187" t="s">
        <v>20</v>
      </c>
    </row>
    <row r="1188" spans="1:14" x14ac:dyDescent="0.3">
      <c r="A1188" s="1">
        <v>45193</v>
      </c>
      <c r="B1188" t="s">
        <v>30</v>
      </c>
      <c r="C1188" t="s">
        <v>11</v>
      </c>
      <c r="D1188" t="s">
        <v>19</v>
      </c>
      <c r="E1188">
        <v>7</v>
      </c>
      <c r="F1188">
        <v>1869</v>
      </c>
      <c r="G1188">
        <v>357.27</v>
      </c>
      <c r="H1188">
        <v>2023</v>
      </c>
      <c r="I1188" t="s">
        <v>21</v>
      </c>
      <c r="J1188" s="4">
        <v>0.19115569823435</v>
      </c>
      <c r="K1188" t="s">
        <v>40</v>
      </c>
      <c r="L1188" t="s">
        <v>60</v>
      </c>
      <c r="M1188">
        <v>9</v>
      </c>
      <c r="N1188" t="s">
        <v>61</v>
      </c>
    </row>
    <row r="1189" spans="1:14" x14ac:dyDescent="0.3">
      <c r="A1189" s="1">
        <v>45094</v>
      </c>
      <c r="B1189" t="s">
        <v>30</v>
      </c>
      <c r="C1189" t="s">
        <v>11</v>
      </c>
      <c r="D1189" t="s">
        <v>12</v>
      </c>
      <c r="E1189">
        <v>4</v>
      </c>
      <c r="F1189">
        <v>1920</v>
      </c>
      <c r="G1189">
        <v>549.11</v>
      </c>
      <c r="H1189">
        <v>2023</v>
      </c>
      <c r="I1189" t="s">
        <v>27</v>
      </c>
      <c r="J1189" s="4">
        <v>0.28599479166666703</v>
      </c>
      <c r="K1189" t="s">
        <v>40</v>
      </c>
      <c r="L1189" t="s">
        <v>59</v>
      </c>
      <c r="M1189">
        <v>6</v>
      </c>
      <c r="N1189" t="s">
        <v>66</v>
      </c>
    </row>
    <row r="1190" spans="1:14" x14ac:dyDescent="0.3">
      <c r="A1190" s="1">
        <v>45120</v>
      </c>
      <c r="B1190" t="s">
        <v>30</v>
      </c>
      <c r="C1190" t="s">
        <v>11</v>
      </c>
      <c r="D1190" t="s">
        <v>19</v>
      </c>
      <c r="E1190">
        <v>4</v>
      </c>
      <c r="F1190">
        <v>4700</v>
      </c>
      <c r="G1190">
        <v>576.34</v>
      </c>
      <c r="H1190">
        <v>2023</v>
      </c>
      <c r="I1190" t="s">
        <v>25</v>
      </c>
      <c r="J1190" s="4">
        <v>0.122625531914894</v>
      </c>
      <c r="K1190" t="s">
        <v>40</v>
      </c>
      <c r="L1190" t="s">
        <v>60</v>
      </c>
      <c r="M1190">
        <v>7</v>
      </c>
      <c r="N1190" t="s">
        <v>64</v>
      </c>
    </row>
    <row r="1191" spans="1:14" x14ac:dyDescent="0.3">
      <c r="A1191" s="1">
        <v>45142</v>
      </c>
      <c r="B1191" t="s">
        <v>30</v>
      </c>
      <c r="C1191" t="s">
        <v>11</v>
      </c>
      <c r="D1191" t="s">
        <v>19</v>
      </c>
      <c r="E1191">
        <v>7</v>
      </c>
      <c r="F1191">
        <v>4739</v>
      </c>
      <c r="G1191">
        <v>740.74</v>
      </c>
      <c r="H1191">
        <v>2023</v>
      </c>
      <c r="I1191" t="s">
        <v>24</v>
      </c>
      <c r="J1191" s="4">
        <v>0.156307237813885</v>
      </c>
      <c r="K1191" t="s">
        <v>40</v>
      </c>
      <c r="L1191" t="s">
        <v>60</v>
      </c>
      <c r="M1191">
        <v>8</v>
      </c>
      <c r="N1191" t="s">
        <v>63</v>
      </c>
    </row>
    <row r="1192" spans="1:14" x14ac:dyDescent="0.3">
      <c r="A1192" s="1">
        <v>45095</v>
      </c>
      <c r="B1192" t="s">
        <v>30</v>
      </c>
      <c r="C1192" t="s">
        <v>11</v>
      </c>
      <c r="D1192" t="s">
        <v>22</v>
      </c>
      <c r="E1192">
        <v>8</v>
      </c>
      <c r="F1192">
        <v>6544</v>
      </c>
      <c r="G1192">
        <v>1086.29</v>
      </c>
      <c r="H1192">
        <v>2023</v>
      </c>
      <c r="I1192" t="s">
        <v>27</v>
      </c>
      <c r="J1192" s="4">
        <v>0.16599786063569699</v>
      </c>
      <c r="K1192" t="s">
        <v>40</v>
      </c>
      <c r="L1192" t="s">
        <v>59</v>
      </c>
      <c r="M1192">
        <v>6</v>
      </c>
      <c r="N1192" t="s">
        <v>66</v>
      </c>
    </row>
    <row r="1193" spans="1:14" x14ac:dyDescent="0.3">
      <c r="A1193" s="1">
        <v>44951</v>
      </c>
      <c r="B1193" t="s">
        <v>30</v>
      </c>
      <c r="C1193" t="s">
        <v>11</v>
      </c>
      <c r="D1193" t="s">
        <v>22</v>
      </c>
      <c r="E1193">
        <v>5</v>
      </c>
      <c r="F1193">
        <v>2365</v>
      </c>
      <c r="G1193">
        <v>667.61</v>
      </c>
      <c r="H1193">
        <v>2023</v>
      </c>
      <c r="I1193" t="s">
        <v>26</v>
      </c>
      <c r="J1193" s="4">
        <v>0.28228752642706101</v>
      </c>
      <c r="K1193" t="s">
        <v>40</v>
      </c>
      <c r="L1193" t="s">
        <v>55</v>
      </c>
      <c r="M1193">
        <v>1</v>
      </c>
      <c r="N1193" t="s">
        <v>65</v>
      </c>
    </row>
    <row r="1194" spans="1:14" x14ac:dyDescent="0.3">
      <c r="A1194" s="1">
        <v>45255</v>
      </c>
      <c r="B1194" t="s">
        <v>30</v>
      </c>
      <c r="C1194" t="s">
        <v>11</v>
      </c>
      <c r="D1194" t="s">
        <v>22</v>
      </c>
      <c r="E1194">
        <v>1</v>
      </c>
      <c r="F1194">
        <v>810</v>
      </c>
      <c r="G1194">
        <v>157.47</v>
      </c>
      <c r="H1194">
        <v>2023</v>
      </c>
      <c r="I1194" t="s">
        <v>18</v>
      </c>
      <c r="J1194" s="4">
        <v>0.194407407407407</v>
      </c>
      <c r="K1194" t="s">
        <v>40</v>
      </c>
      <c r="L1194" t="s">
        <v>52</v>
      </c>
      <c r="M1194">
        <v>11</v>
      </c>
      <c r="N1194" t="s">
        <v>58</v>
      </c>
    </row>
    <row r="1195" spans="1:14" x14ac:dyDescent="0.3">
      <c r="A1195" s="1">
        <v>44942</v>
      </c>
      <c r="B1195" t="s">
        <v>30</v>
      </c>
      <c r="C1195" t="s">
        <v>11</v>
      </c>
      <c r="D1195" t="s">
        <v>17</v>
      </c>
      <c r="E1195">
        <v>3</v>
      </c>
      <c r="F1195">
        <v>513</v>
      </c>
      <c r="G1195">
        <v>132.56</v>
      </c>
      <c r="H1195">
        <v>2023</v>
      </c>
      <c r="I1195" t="s">
        <v>26</v>
      </c>
      <c r="J1195" s="4">
        <v>0.25840155945419102</v>
      </c>
      <c r="K1195" t="s">
        <v>40</v>
      </c>
      <c r="L1195" t="s">
        <v>55</v>
      </c>
      <c r="M1195">
        <v>1</v>
      </c>
      <c r="N1195" t="s">
        <v>65</v>
      </c>
    </row>
    <row r="1196" spans="1:14" x14ac:dyDescent="0.3">
      <c r="A1196" s="1">
        <v>45217</v>
      </c>
      <c r="B1196" t="s">
        <v>30</v>
      </c>
      <c r="C1196" t="s">
        <v>11</v>
      </c>
      <c r="D1196" t="s">
        <v>22</v>
      </c>
      <c r="E1196">
        <v>3</v>
      </c>
      <c r="F1196">
        <v>1596</v>
      </c>
      <c r="G1196">
        <v>91.23</v>
      </c>
      <c r="H1196">
        <v>2023</v>
      </c>
      <c r="I1196" t="s">
        <v>14</v>
      </c>
      <c r="J1196" s="4">
        <v>5.7161654135338399E-2</v>
      </c>
      <c r="K1196" t="s">
        <v>40</v>
      </c>
      <c r="L1196" t="s">
        <v>52</v>
      </c>
      <c r="M1196">
        <v>10</v>
      </c>
      <c r="N1196" t="s">
        <v>54</v>
      </c>
    </row>
    <row r="1197" spans="1:14" x14ac:dyDescent="0.3">
      <c r="A1197" s="1">
        <v>45081</v>
      </c>
      <c r="B1197" t="s">
        <v>30</v>
      </c>
      <c r="C1197" t="s">
        <v>11</v>
      </c>
      <c r="D1197" t="s">
        <v>17</v>
      </c>
      <c r="E1197">
        <v>1</v>
      </c>
      <c r="F1197">
        <v>425</v>
      </c>
      <c r="G1197">
        <v>48.81</v>
      </c>
      <c r="H1197">
        <v>2023</v>
      </c>
      <c r="I1197" t="s">
        <v>27</v>
      </c>
      <c r="J1197" s="4">
        <v>0.114847058823529</v>
      </c>
      <c r="K1197" t="s">
        <v>40</v>
      </c>
      <c r="L1197" t="s">
        <v>59</v>
      </c>
      <c r="M1197">
        <v>6</v>
      </c>
      <c r="N1197" t="s">
        <v>66</v>
      </c>
    </row>
    <row r="1198" spans="1:14" x14ac:dyDescent="0.3">
      <c r="A1198" s="1">
        <v>45179</v>
      </c>
      <c r="B1198" t="s">
        <v>30</v>
      </c>
      <c r="C1198" t="s">
        <v>11</v>
      </c>
      <c r="D1198" t="s">
        <v>19</v>
      </c>
      <c r="E1198">
        <v>1</v>
      </c>
      <c r="F1198">
        <v>1041</v>
      </c>
      <c r="G1198">
        <v>128.58000000000001</v>
      </c>
      <c r="H1198">
        <v>2023</v>
      </c>
      <c r="I1198" t="s">
        <v>21</v>
      </c>
      <c r="J1198" s="4">
        <v>0.123515850144092</v>
      </c>
      <c r="K1198" t="s">
        <v>40</v>
      </c>
      <c r="L1198" t="s">
        <v>60</v>
      </c>
      <c r="M1198">
        <v>9</v>
      </c>
      <c r="N1198" t="s">
        <v>61</v>
      </c>
    </row>
    <row r="1199" spans="1:14" x14ac:dyDescent="0.3">
      <c r="A1199" s="1">
        <v>45242</v>
      </c>
      <c r="B1199" t="s">
        <v>30</v>
      </c>
      <c r="C1199" t="s">
        <v>11</v>
      </c>
      <c r="D1199" t="s">
        <v>22</v>
      </c>
      <c r="E1199">
        <v>7</v>
      </c>
      <c r="F1199">
        <v>2562</v>
      </c>
      <c r="G1199">
        <v>347.62</v>
      </c>
      <c r="H1199">
        <v>2023</v>
      </c>
      <c r="I1199" t="s">
        <v>18</v>
      </c>
      <c r="J1199" s="4">
        <v>0.13568306010928999</v>
      </c>
      <c r="K1199" t="s">
        <v>40</v>
      </c>
      <c r="L1199" t="s">
        <v>52</v>
      </c>
      <c r="M1199">
        <v>11</v>
      </c>
      <c r="N1199" t="s">
        <v>58</v>
      </c>
    </row>
    <row r="1200" spans="1:14" x14ac:dyDescent="0.3">
      <c r="A1200" s="1">
        <v>45127</v>
      </c>
      <c r="B1200" t="s">
        <v>30</v>
      </c>
      <c r="C1200" t="s">
        <v>11</v>
      </c>
      <c r="D1200" t="s">
        <v>12</v>
      </c>
      <c r="E1200">
        <v>4</v>
      </c>
      <c r="F1200">
        <v>3956</v>
      </c>
      <c r="G1200">
        <v>293.38</v>
      </c>
      <c r="H1200">
        <v>2023</v>
      </c>
      <c r="I1200" t="s">
        <v>25</v>
      </c>
      <c r="J1200" s="4">
        <v>7.4160768452982806E-2</v>
      </c>
      <c r="K1200" t="s">
        <v>40</v>
      </c>
      <c r="L1200" t="s">
        <v>60</v>
      </c>
      <c r="M1200">
        <v>7</v>
      </c>
      <c r="N1200" t="s">
        <v>64</v>
      </c>
    </row>
    <row r="1201" spans="1:14" x14ac:dyDescent="0.3">
      <c r="A1201" s="1">
        <v>45079</v>
      </c>
      <c r="B1201" t="s">
        <v>30</v>
      </c>
      <c r="C1201" t="s">
        <v>11</v>
      </c>
      <c r="D1201" t="s">
        <v>12</v>
      </c>
      <c r="E1201">
        <v>7</v>
      </c>
      <c r="F1201">
        <v>4165</v>
      </c>
      <c r="G1201">
        <v>493.24</v>
      </c>
      <c r="H1201">
        <v>2023</v>
      </c>
      <c r="I1201" t="s">
        <v>27</v>
      </c>
      <c r="J1201" s="4">
        <v>0.118424969987995</v>
      </c>
      <c r="K1201" t="s">
        <v>40</v>
      </c>
      <c r="L1201" t="s">
        <v>59</v>
      </c>
      <c r="M1201">
        <v>6</v>
      </c>
      <c r="N1201" t="s">
        <v>66</v>
      </c>
    </row>
    <row r="1202" spans="1:14" x14ac:dyDescent="0.3">
      <c r="A1202" s="1">
        <v>45172</v>
      </c>
      <c r="B1202" t="s">
        <v>30</v>
      </c>
      <c r="C1202" t="s">
        <v>11</v>
      </c>
      <c r="D1202" t="s">
        <v>12</v>
      </c>
      <c r="E1202">
        <v>3</v>
      </c>
      <c r="F1202">
        <v>819</v>
      </c>
      <c r="G1202">
        <v>231.88</v>
      </c>
      <c r="H1202">
        <v>2023</v>
      </c>
      <c r="I1202" t="s">
        <v>21</v>
      </c>
      <c r="J1202" s="4">
        <v>0.28312576312576299</v>
      </c>
      <c r="K1202" t="s">
        <v>40</v>
      </c>
      <c r="L1202" t="s">
        <v>60</v>
      </c>
      <c r="M1202">
        <v>9</v>
      </c>
      <c r="N1202" t="s">
        <v>61</v>
      </c>
    </row>
    <row r="1203" spans="1:14" x14ac:dyDescent="0.3">
      <c r="A1203" s="1">
        <v>45279</v>
      </c>
      <c r="B1203" t="s">
        <v>30</v>
      </c>
      <c r="C1203" t="s">
        <v>11</v>
      </c>
      <c r="D1203" t="s">
        <v>22</v>
      </c>
      <c r="E1203">
        <v>8</v>
      </c>
      <c r="F1203">
        <v>5696</v>
      </c>
      <c r="G1203">
        <v>1156.3</v>
      </c>
      <c r="H1203">
        <v>2023</v>
      </c>
      <c r="I1203" t="s">
        <v>13</v>
      </c>
      <c r="J1203" s="4">
        <v>0.20300210674157301</v>
      </c>
      <c r="K1203" t="s">
        <v>40</v>
      </c>
      <c r="L1203" t="s">
        <v>52</v>
      </c>
      <c r="M1203">
        <v>12</v>
      </c>
      <c r="N1203" t="s">
        <v>53</v>
      </c>
    </row>
    <row r="1204" spans="1:14" x14ac:dyDescent="0.3">
      <c r="A1204" s="1">
        <v>45009</v>
      </c>
      <c r="B1204" t="s">
        <v>30</v>
      </c>
      <c r="C1204" t="s">
        <v>11</v>
      </c>
      <c r="D1204" t="s">
        <v>12</v>
      </c>
      <c r="E1204">
        <v>7</v>
      </c>
      <c r="F1204">
        <v>2618</v>
      </c>
      <c r="G1204">
        <v>300.81</v>
      </c>
      <c r="H1204">
        <v>2023</v>
      </c>
      <c r="I1204" t="s">
        <v>15</v>
      </c>
      <c r="J1204" s="4">
        <v>0.114900687547746</v>
      </c>
      <c r="K1204" t="s">
        <v>40</v>
      </c>
      <c r="L1204" t="s">
        <v>55</v>
      </c>
      <c r="M1204">
        <v>3</v>
      </c>
      <c r="N1204" t="s">
        <v>56</v>
      </c>
    </row>
    <row r="1205" spans="1:14" x14ac:dyDescent="0.3">
      <c r="A1205" s="1">
        <v>45118</v>
      </c>
      <c r="B1205" t="s">
        <v>30</v>
      </c>
      <c r="C1205" t="s">
        <v>11</v>
      </c>
      <c r="D1205" t="s">
        <v>22</v>
      </c>
      <c r="E1205">
        <v>2</v>
      </c>
      <c r="F1205">
        <v>1090</v>
      </c>
      <c r="G1205">
        <v>136.65</v>
      </c>
      <c r="H1205">
        <v>2023</v>
      </c>
      <c r="I1205" t="s">
        <v>25</v>
      </c>
      <c r="J1205" s="4">
        <v>0.12536697247706399</v>
      </c>
      <c r="K1205" t="s">
        <v>40</v>
      </c>
      <c r="L1205" t="s">
        <v>60</v>
      </c>
      <c r="M1205">
        <v>7</v>
      </c>
      <c r="N1205" t="s">
        <v>64</v>
      </c>
    </row>
    <row r="1206" spans="1:14" x14ac:dyDescent="0.3">
      <c r="A1206" s="1">
        <v>44983</v>
      </c>
      <c r="B1206" t="s">
        <v>30</v>
      </c>
      <c r="C1206" t="s">
        <v>11</v>
      </c>
      <c r="D1206" t="s">
        <v>12</v>
      </c>
      <c r="E1206">
        <v>5</v>
      </c>
      <c r="F1206">
        <v>4445</v>
      </c>
      <c r="G1206">
        <v>580.15</v>
      </c>
      <c r="H1206">
        <v>2023</v>
      </c>
      <c r="I1206" t="s">
        <v>16</v>
      </c>
      <c r="J1206" s="4">
        <v>0.13051743532058499</v>
      </c>
      <c r="K1206" t="s">
        <v>40</v>
      </c>
      <c r="L1206" t="s">
        <v>55</v>
      </c>
      <c r="M1206">
        <v>2</v>
      </c>
      <c r="N1206" t="s">
        <v>57</v>
      </c>
    </row>
    <row r="1207" spans="1:14" x14ac:dyDescent="0.3">
      <c r="A1207" s="1">
        <v>45203</v>
      </c>
      <c r="B1207" t="s">
        <v>30</v>
      </c>
      <c r="C1207" t="s">
        <v>11</v>
      </c>
      <c r="D1207" t="s">
        <v>12</v>
      </c>
      <c r="E1207">
        <v>6</v>
      </c>
      <c r="F1207">
        <v>6984</v>
      </c>
      <c r="G1207">
        <v>1433.65</v>
      </c>
      <c r="H1207">
        <v>2023</v>
      </c>
      <c r="I1207" t="s">
        <v>14</v>
      </c>
      <c r="J1207" s="4">
        <v>0.205276345933562</v>
      </c>
      <c r="K1207" t="s">
        <v>40</v>
      </c>
      <c r="L1207" t="s">
        <v>52</v>
      </c>
      <c r="M1207">
        <v>10</v>
      </c>
      <c r="N1207" t="s">
        <v>54</v>
      </c>
    </row>
    <row r="1208" spans="1:14" x14ac:dyDescent="0.3">
      <c r="A1208" s="1">
        <v>44934</v>
      </c>
      <c r="B1208" t="s">
        <v>30</v>
      </c>
      <c r="C1208" t="s">
        <v>11</v>
      </c>
      <c r="D1208" t="s">
        <v>17</v>
      </c>
      <c r="E1208">
        <v>6</v>
      </c>
      <c r="F1208">
        <v>1092</v>
      </c>
      <c r="G1208">
        <v>63.98</v>
      </c>
      <c r="H1208">
        <v>2023</v>
      </c>
      <c r="I1208" t="s">
        <v>26</v>
      </c>
      <c r="J1208" s="4">
        <v>5.8589743589743601E-2</v>
      </c>
      <c r="K1208" t="s">
        <v>40</v>
      </c>
      <c r="L1208" t="s">
        <v>55</v>
      </c>
      <c r="M1208">
        <v>1</v>
      </c>
      <c r="N1208" t="s">
        <v>65</v>
      </c>
    </row>
    <row r="1209" spans="1:14" x14ac:dyDescent="0.3">
      <c r="A1209" s="1">
        <v>45266</v>
      </c>
      <c r="B1209" t="s">
        <v>30</v>
      </c>
      <c r="C1209" t="s">
        <v>11</v>
      </c>
      <c r="D1209" t="s">
        <v>19</v>
      </c>
      <c r="E1209">
        <v>3</v>
      </c>
      <c r="F1209">
        <v>2883</v>
      </c>
      <c r="G1209">
        <v>557.80999999999995</v>
      </c>
      <c r="H1209">
        <v>2023</v>
      </c>
      <c r="I1209" t="s">
        <v>13</v>
      </c>
      <c r="J1209" s="4">
        <v>0.19348248352410699</v>
      </c>
      <c r="K1209" t="s">
        <v>40</v>
      </c>
      <c r="L1209" t="s">
        <v>52</v>
      </c>
      <c r="M1209">
        <v>12</v>
      </c>
      <c r="N1209" t="s">
        <v>53</v>
      </c>
    </row>
    <row r="1210" spans="1:14" x14ac:dyDescent="0.3">
      <c r="A1210" s="1">
        <v>45085</v>
      </c>
      <c r="B1210" t="s">
        <v>30</v>
      </c>
      <c r="C1210" t="s">
        <v>11</v>
      </c>
      <c r="D1210" t="s">
        <v>19</v>
      </c>
      <c r="E1210">
        <v>7</v>
      </c>
      <c r="F1210">
        <v>7469</v>
      </c>
      <c r="G1210">
        <v>915.63</v>
      </c>
      <c r="H1210">
        <v>2023</v>
      </c>
      <c r="I1210" t="s">
        <v>27</v>
      </c>
      <c r="J1210" s="4">
        <v>0.122590708260811</v>
      </c>
      <c r="K1210" t="s">
        <v>40</v>
      </c>
      <c r="L1210" t="s">
        <v>59</v>
      </c>
      <c r="M1210">
        <v>6</v>
      </c>
      <c r="N1210" t="s">
        <v>66</v>
      </c>
    </row>
    <row r="1211" spans="1:14" x14ac:dyDescent="0.3">
      <c r="A1211" s="1">
        <v>45050</v>
      </c>
      <c r="B1211" t="s">
        <v>30</v>
      </c>
      <c r="C1211" t="s">
        <v>11</v>
      </c>
      <c r="D1211" t="s">
        <v>22</v>
      </c>
      <c r="E1211">
        <v>4</v>
      </c>
      <c r="F1211">
        <v>1264</v>
      </c>
      <c r="G1211">
        <v>267.82</v>
      </c>
      <c r="H1211">
        <v>2023</v>
      </c>
      <c r="I1211" t="s">
        <v>20</v>
      </c>
      <c r="J1211" s="4">
        <v>0.211882911392405</v>
      </c>
      <c r="K1211" t="s">
        <v>40</v>
      </c>
      <c r="L1211" t="s">
        <v>59</v>
      </c>
      <c r="M1211">
        <v>5</v>
      </c>
      <c r="N1211" t="s">
        <v>20</v>
      </c>
    </row>
    <row r="1212" spans="1:14" x14ac:dyDescent="0.3">
      <c r="A1212" s="1">
        <v>45009</v>
      </c>
      <c r="B1212" t="s">
        <v>30</v>
      </c>
      <c r="C1212" t="s">
        <v>11</v>
      </c>
      <c r="D1212" t="s">
        <v>19</v>
      </c>
      <c r="E1212">
        <v>8</v>
      </c>
      <c r="F1212">
        <v>1808</v>
      </c>
      <c r="G1212">
        <v>339.31</v>
      </c>
      <c r="H1212">
        <v>2023</v>
      </c>
      <c r="I1212" t="s">
        <v>15</v>
      </c>
      <c r="J1212" s="4">
        <v>0.18767146017699099</v>
      </c>
      <c r="K1212" t="s">
        <v>40</v>
      </c>
      <c r="L1212" t="s">
        <v>55</v>
      </c>
      <c r="M1212">
        <v>3</v>
      </c>
      <c r="N1212" t="s">
        <v>56</v>
      </c>
    </row>
    <row r="1213" spans="1:14" x14ac:dyDescent="0.3">
      <c r="A1213" s="1">
        <v>45101</v>
      </c>
      <c r="B1213" t="s">
        <v>30</v>
      </c>
      <c r="C1213" t="s">
        <v>11</v>
      </c>
      <c r="D1213" t="s">
        <v>19</v>
      </c>
      <c r="E1213">
        <v>5</v>
      </c>
      <c r="F1213">
        <v>3205</v>
      </c>
      <c r="G1213">
        <v>368.41</v>
      </c>
      <c r="H1213">
        <v>2023</v>
      </c>
      <c r="I1213" t="s">
        <v>27</v>
      </c>
      <c r="J1213" s="4">
        <v>0.114948517940718</v>
      </c>
      <c r="K1213" t="s">
        <v>40</v>
      </c>
      <c r="L1213" t="s">
        <v>59</v>
      </c>
      <c r="M1213">
        <v>6</v>
      </c>
      <c r="N1213" t="s">
        <v>66</v>
      </c>
    </row>
    <row r="1214" spans="1:14" x14ac:dyDescent="0.3">
      <c r="A1214" s="1">
        <v>45278</v>
      </c>
      <c r="B1214" t="s">
        <v>30</v>
      </c>
      <c r="C1214" t="s">
        <v>11</v>
      </c>
      <c r="D1214" t="s">
        <v>19</v>
      </c>
      <c r="E1214">
        <v>9</v>
      </c>
      <c r="F1214">
        <v>5139</v>
      </c>
      <c r="G1214">
        <v>1315.93</v>
      </c>
      <c r="H1214">
        <v>2023</v>
      </c>
      <c r="I1214" t="s">
        <v>13</v>
      </c>
      <c r="J1214" s="4">
        <v>0.25606732827398299</v>
      </c>
      <c r="K1214" t="s">
        <v>40</v>
      </c>
      <c r="L1214" t="s">
        <v>52</v>
      </c>
      <c r="M1214">
        <v>12</v>
      </c>
      <c r="N1214" t="s">
        <v>53</v>
      </c>
    </row>
    <row r="1215" spans="1:14" x14ac:dyDescent="0.3">
      <c r="A1215" s="1">
        <v>45280</v>
      </c>
      <c r="B1215" t="s">
        <v>30</v>
      </c>
      <c r="C1215" t="s">
        <v>11</v>
      </c>
      <c r="D1215" t="s">
        <v>17</v>
      </c>
      <c r="E1215">
        <v>1</v>
      </c>
      <c r="F1215">
        <v>1176</v>
      </c>
      <c r="G1215">
        <v>157.47</v>
      </c>
      <c r="H1215">
        <v>2023</v>
      </c>
      <c r="I1215" t="s">
        <v>13</v>
      </c>
      <c r="J1215" s="4">
        <v>0.13390306122449</v>
      </c>
      <c r="K1215" t="s">
        <v>40</v>
      </c>
      <c r="L1215" t="s">
        <v>52</v>
      </c>
      <c r="M1215">
        <v>12</v>
      </c>
      <c r="N1215" t="s">
        <v>53</v>
      </c>
    </row>
    <row r="1216" spans="1:14" x14ac:dyDescent="0.3">
      <c r="A1216" s="1">
        <v>45130</v>
      </c>
      <c r="B1216" t="s">
        <v>30</v>
      </c>
      <c r="C1216" t="s">
        <v>11</v>
      </c>
      <c r="D1216" t="s">
        <v>17</v>
      </c>
      <c r="E1216">
        <v>5</v>
      </c>
      <c r="F1216">
        <v>2160</v>
      </c>
      <c r="G1216">
        <v>553.41</v>
      </c>
      <c r="H1216">
        <v>2023</v>
      </c>
      <c r="I1216" t="s">
        <v>25</v>
      </c>
      <c r="J1216" s="4">
        <v>0.25620833333333298</v>
      </c>
      <c r="K1216" t="s">
        <v>40</v>
      </c>
      <c r="L1216" t="s">
        <v>60</v>
      </c>
      <c r="M1216">
        <v>7</v>
      </c>
      <c r="N1216" t="s">
        <v>64</v>
      </c>
    </row>
    <row r="1217" spans="1:14" x14ac:dyDescent="0.3">
      <c r="A1217" s="1">
        <v>44949</v>
      </c>
      <c r="B1217" t="s">
        <v>30</v>
      </c>
      <c r="C1217" t="s">
        <v>11</v>
      </c>
      <c r="D1217" t="s">
        <v>17</v>
      </c>
      <c r="E1217">
        <v>4</v>
      </c>
      <c r="F1217">
        <v>952</v>
      </c>
      <c r="G1217">
        <v>264.61</v>
      </c>
      <c r="H1217">
        <v>2023</v>
      </c>
      <c r="I1217" t="s">
        <v>26</v>
      </c>
      <c r="J1217" s="4">
        <v>0.277951680672269</v>
      </c>
      <c r="K1217" t="s">
        <v>40</v>
      </c>
      <c r="L1217" t="s">
        <v>55</v>
      </c>
      <c r="M1217">
        <v>1</v>
      </c>
      <c r="N1217" t="s">
        <v>65</v>
      </c>
    </row>
    <row r="1218" spans="1:14" x14ac:dyDescent="0.3">
      <c r="A1218" s="1">
        <v>45067</v>
      </c>
      <c r="B1218" t="s">
        <v>30</v>
      </c>
      <c r="C1218" t="s">
        <v>11</v>
      </c>
      <c r="D1218" t="s">
        <v>17</v>
      </c>
      <c r="E1218">
        <v>3</v>
      </c>
      <c r="F1218">
        <v>1308</v>
      </c>
      <c r="G1218">
        <v>141.04</v>
      </c>
      <c r="H1218">
        <v>2023</v>
      </c>
      <c r="I1218" t="s">
        <v>20</v>
      </c>
      <c r="J1218" s="4">
        <v>0.10782874617737</v>
      </c>
      <c r="K1218" t="s">
        <v>40</v>
      </c>
      <c r="L1218" t="s">
        <v>59</v>
      </c>
      <c r="M1218">
        <v>5</v>
      </c>
      <c r="N1218" t="s">
        <v>20</v>
      </c>
    </row>
    <row r="1219" spans="1:14" x14ac:dyDescent="0.3">
      <c r="A1219" s="1">
        <v>45063</v>
      </c>
      <c r="B1219" t="s">
        <v>30</v>
      </c>
      <c r="C1219" t="s">
        <v>11</v>
      </c>
      <c r="D1219" t="s">
        <v>19</v>
      </c>
      <c r="E1219">
        <v>9</v>
      </c>
      <c r="F1219">
        <v>7272</v>
      </c>
      <c r="G1219">
        <v>500.32</v>
      </c>
      <c r="H1219">
        <v>2023</v>
      </c>
      <c r="I1219" t="s">
        <v>20</v>
      </c>
      <c r="J1219" s="4">
        <v>6.8800880088008803E-2</v>
      </c>
      <c r="K1219" t="s">
        <v>40</v>
      </c>
      <c r="L1219" t="s">
        <v>59</v>
      </c>
      <c r="M1219">
        <v>5</v>
      </c>
      <c r="N1219" t="s">
        <v>20</v>
      </c>
    </row>
    <row r="1220" spans="1:14" x14ac:dyDescent="0.3">
      <c r="A1220" s="1">
        <v>45064</v>
      </c>
      <c r="B1220" t="s">
        <v>30</v>
      </c>
      <c r="C1220" t="s">
        <v>11</v>
      </c>
      <c r="D1220" t="s">
        <v>19</v>
      </c>
      <c r="E1220">
        <v>3</v>
      </c>
      <c r="F1220">
        <v>1947</v>
      </c>
      <c r="G1220">
        <v>239.63</v>
      </c>
      <c r="H1220">
        <v>2023</v>
      </c>
      <c r="I1220" t="s">
        <v>20</v>
      </c>
      <c r="J1220" s="4">
        <v>0.12307652799178199</v>
      </c>
      <c r="K1220" t="s">
        <v>40</v>
      </c>
      <c r="L1220" t="s">
        <v>59</v>
      </c>
      <c r="M1220">
        <v>5</v>
      </c>
      <c r="N1220" t="s">
        <v>20</v>
      </c>
    </row>
    <row r="1221" spans="1:14" x14ac:dyDescent="0.3">
      <c r="A1221" s="1">
        <v>44990</v>
      </c>
      <c r="B1221" t="s">
        <v>30</v>
      </c>
      <c r="C1221" t="s">
        <v>11</v>
      </c>
      <c r="D1221" t="s">
        <v>19</v>
      </c>
      <c r="E1221">
        <v>9</v>
      </c>
      <c r="F1221">
        <v>4158</v>
      </c>
      <c r="G1221">
        <v>672.32</v>
      </c>
      <c r="H1221">
        <v>2023</v>
      </c>
      <c r="I1221" t="s">
        <v>15</v>
      </c>
      <c r="J1221" s="4">
        <v>0.161693121693122</v>
      </c>
      <c r="K1221" t="s">
        <v>40</v>
      </c>
      <c r="L1221" t="s">
        <v>55</v>
      </c>
      <c r="M1221">
        <v>3</v>
      </c>
      <c r="N1221" t="s">
        <v>56</v>
      </c>
    </row>
    <row r="1222" spans="1:14" x14ac:dyDescent="0.3">
      <c r="A1222" s="1">
        <v>45156</v>
      </c>
      <c r="B1222" t="s">
        <v>30</v>
      </c>
      <c r="C1222" t="s">
        <v>11</v>
      </c>
      <c r="D1222" t="s">
        <v>17</v>
      </c>
      <c r="E1222">
        <v>8</v>
      </c>
      <c r="F1222">
        <v>7520</v>
      </c>
      <c r="G1222">
        <v>1201.4000000000001</v>
      </c>
      <c r="H1222">
        <v>2023</v>
      </c>
      <c r="I1222" t="s">
        <v>24</v>
      </c>
      <c r="J1222" s="4">
        <v>0.15976063829787199</v>
      </c>
      <c r="K1222" t="s">
        <v>40</v>
      </c>
      <c r="L1222" t="s">
        <v>60</v>
      </c>
      <c r="M1222">
        <v>8</v>
      </c>
      <c r="N1222" t="s">
        <v>63</v>
      </c>
    </row>
    <row r="1223" spans="1:14" x14ac:dyDescent="0.3">
      <c r="A1223" s="1">
        <v>45108</v>
      </c>
      <c r="B1223" t="s">
        <v>30</v>
      </c>
      <c r="C1223" t="s">
        <v>11</v>
      </c>
      <c r="D1223" t="s">
        <v>19</v>
      </c>
      <c r="E1223">
        <v>4</v>
      </c>
      <c r="F1223">
        <v>3216</v>
      </c>
      <c r="G1223">
        <v>962.49</v>
      </c>
      <c r="H1223">
        <v>2023</v>
      </c>
      <c r="I1223" t="s">
        <v>25</v>
      </c>
      <c r="J1223" s="4">
        <v>0.29928171641791002</v>
      </c>
      <c r="K1223" t="s">
        <v>40</v>
      </c>
      <c r="L1223" t="s">
        <v>60</v>
      </c>
      <c r="M1223">
        <v>7</v>
      </c>
      <c r="N1223" t="s">
        <v>64</v>
      </c>
    </row>
    <row r="1224" spans="1:14" x14ac:dyDescent="0.3">
      <c r="A1224" s="1">
        <v>45153</v>
      </c>
      <c r="B1224" t="s">
        <v>30</v>
      </c>
      <c r="C1224" t="s">
        <v>11</v>
      </c>
      <c r="D1224" t="s">
        <v>22</v>
      </c>
      <c r="E1224">
        <v>8</v>
      </c>
      <c r="F1224">
        <v>1800</v>
      </c>
      <c r="G1224">
        <v>142.86000000000001</v>
      </c>
      <c r="H1224">
        <v>2023</v>
      </c>
      <c r="I1224" t="s">
        <v>24</v>
      </c>
      <c r="J1224" s="4">
        <v>7.9366666666666696E-2</v>
      </c>
      <c r="K1224" t="s">
        <v>40</v>
      </c>
      <c r="L1224" t="s">
        <v>60</v>
      </c>
      <c r="M1224">
        <v>8</v>
      </c>
      <c r="N1224" t="s">
        <v>63</v>
      </c>
    </row>
    <row r="1225" spans="1:14" x14ac:dyDescent="0.3">
      <c r="A1225" s="1">
        <v>45234</v>
      </c>
      <c r="B1225" t="s">
        <v>30</v>
      </c>
      <c r="C1225" t="s">
        <v>11</v>
      </c>
      <c r="D1225" t="s">
        <v>19</v>
      </c>
      <c r="E1225">
        <v>4</v>
      </c>
      <c r="F1225">
        <v>2892</v>
      </c>
      <c r="G1225">
        <v>863.47</v>
      </c>
      <c r="H1225">
        <v>2023</v>
      </c>
      <c r="I1225" t="s">
        <v>18</v>
      </c>
      <c r="J1225" s="4">
        <v>0.29857192254495202</v>
      </c>
      <c r="K1225" t="s">
        <v>40</v>
      </c>
      <c r="L1225" t="s">
        <v>52</v>
      </c>
      <c r="M1225">
        <v>11</v>
      </c>
      <c r="N1225" t="s">
        <v>58</v>
      </c>
    </row>
    <row r="1226" spans="1:14" x14ac:dyDescent="0.3">
      <c r="A1226" s="1">
        <v>45268</v>
      </c>
      <c r="B1226" t="s">
        <v>30</v>
      </c>
      <c r="C1226" t="s">
        <v>11</v>
      </c>
      <c r="D1226" t="s">
        <v>19</v>
      </c>
      <c r="E1226">
        <v>6</v>
      </c>
      <c r="F1226">
        <v>5112</v>
      </c>
      <c r="G1226">
        <v>1289.47</v>
      </c>
      <c r="H1226">
        <v>2023</v>
      </c>
      <c r="I1226" t="s">
        <v>13</v>
      </c>
      <c r="J1226" s="4">
        <v>0.25224374021909202</v>
      </c>
      <c r="K1226" t="s">
        <v>40</v>
      </c>
      <c r="L1226" t="s">
        <v>52</v>
      </c>
      <c r="M1226">
        <v>12</v>
      </c>
      <c r="N1226" t="s">
        <v>53</v>
      </c>
    </row>
    <row r="1227" spans="1:14" x14ac:dyDescent="0.3">
      <c r="A1227" s="1">
        <v>45044</v>
      </c>
      <c r="B1227" t="s">
        <v>30</v>
      </c>
      <c r="C1227" t="s">
        <v>11</v>
      </c>
      <c r="D1227" t="s">
        <v>22</v>
      </c>
      <c r="E1227">
        <v>2</v>
      </c>
      <c r="F1227">
        <v>570</v>
      </c>
      <c r="G1227">
        <v>94.39</v>
      </c>
      <c r="H1227">
        <v>2023</v>
      </c>
      <c r="I1227" t="s">
        <v>23</v>
      </c>
      <c r="J1227" s="4">
        <v>0.16559649122806999</v>
      </c>
      <c r="K1227" t="s">
        <v>40</v>
      </c>
      <c r="L1227" t="s">
        <v>59</v>
      </c>
      <c r="M1227">
        <v>4</v>
      </c>
      <c r="N1227" t="s">
        <v>62</v>
      </c>
    </row>
    <row r="1228" spans="1:14" x14ac:dyDescent="0.3">
      <c r="A1228" s="1">
        <v>45053</v>
      </c>
      <c r="B1228" t="s">
        <v>30</v>
      </c>
      <c r="C1228" t="s">
        <v>11</v>
      </c>
      <c r="D1228" t="s">
        <v>12</v>
      </c>
      <c r="E1228">
        <v>6</v>
      </c>
      <c r="F1228">
        <v>3486</v>
      </c>
      <c r="G1228">
        <v>320.91000000000003</v>
      </c>
      <c r="H1228">
        <v>2023</v>
      </c>
      <c r="I1228" t="s">
        <v>20</v>
      </c>
      <c r="J1228" s="4">
        <v>9.2056798623063693E-2</v>
      </c>
      <c r="K1228" t="s">
        <v>40</v>
      </c>
      <c r="L1228" t="s">
        <v>59</v>
      </c>
      <c r="M1228">
        <v>5</v>
      </c>
      <c r="N1228" t="s">
        <v>20</v>
      </c>
    </row>
    <row r="1229" spans="1:14" x14ac:dyDescent="0.3">
      <c r="A1229" s="1">
        <v>44931</v>
      </c>
      <c r="B1229" t="s">
        <v>30</v>
      </c>
      <c r="C1229" t="s">
        <v>11</v>
      </c>
      <c r="D1229" t="s">
        <v>19</v>
      </c>
      <c r="E1229">
        <v>9</v>
      </c>
      <c r="F1229">
        <v>8136</v>
      </c>
      <c r="G1229">
        <v>1923.89</v>
      </c>
      <c r="H1229">
        <v>2023</v>
      </c>
      <c r="I1229" t="s">
        <v>26</v>
      </c>
      <c r="J1229" s="4">
        <v>0.23646632251720701</v>
      </c>
      <c r="K1229" t="s">
        <v>40</v>
      </c>
      <c r="L1229" t="s">
        <v>55</v>
      </c>
      <c r="M1229">
        <v>1</v>
      </c>
      <c r="N1229" t="s">
        <v>65</v>
      </c>
    </row>
    <row r="1230" spans="1:14" x14ac:dyDescent="0.3">
      <c r="A1230" s="1">
        <v>44940</v>
      </c>
      <c r="B1230" t="s">
        <v>30</v>
      </c>
      <c r="C1230" t="s">
        <v>11</v>
      </c>
      <c r="D1230" t="s">
        <v>19</v>
      </c>
      <c r="E1230">
        <v>3</v>
      </c>
      <c r="F1230">
        <v>426</v>
      </c>
      <c r="G1230">
        <v>50.8</v>
      </c>
      <c r="H1230">
        <v>2023</v>
      </c>
      <c r="I1230" t="s">
        <v>26</v>
      </c>
      <c r="J1230" s="4">
        <v>0.11924882629108</v>
      </c>
      <c r="K1230" t="s">
        <v>40</v>
      </c>
      <c r="L1230" t="s">
        <v>55</v>
      </c>
      <c r="M1230">
        <v>1</v>
      </c>
      <c r="N1230" t="s">
        <v>65</v>
      </c>
    </row>
    <row r="1231" spans="1:14" x14ac:dyDescent="0.3">
      <c r="A1231" s="1">
        <v>45254</v>
      </c>
      <c r="B1231" t="s">
        <v>30</v>
      </c>
      <c r="C1231" t="s">
        <v>11</v>
      </c>
      <c r="D1231" t="s">
        <v>19</v>
      </c>
      <c r="E1231">
        <v>9</v>
      </c>
      <c r="F1231">
        <v>7731</v>
      </c>
      <c r="G1231">
        <v>1459.74</v>
      </c>
      <c r="H1231">
        <v>2023</v>
      </c>
      <c r="I1231" t="s">
        <v>18</v>
      </c>
      <c r="J1231" s="4">
        <v>0.18881645324020199</v>
      </c>
      <c r="K1231" t="s">
        <v>40</v>
      </c>
      <c r="L1231" t="s">
        <v>52</v>
      </c>
      <c r="M1231">
        <v>11</v>
      </c>
      <c r="N1231" t="s">
        <v>58</v>
      </c>
    </row>
    <row r="1232" spans="1:14" x14ac:dyDescent="0.3">
      <c r="A1232" s="1">
        <v>44929</v>
      </c>
      <c r="B1232" t="s">
        <v>30</v>
      </c>
      <c r="C1232" t="s">
        <v>11</v>
      </c>
      <c r="D1232" t="s">
        <v>19</v>
      </c>
      <c r="E1232">
        <v>9</v>
      </c>
      <c r="F1232">
        <v>2655</v>
      </c>
      <c r="G1232">
        <v>701.11</v>
      </c>
      <c r="H1232">
        <v>2023</v>
      </c>
      <c r="I1232" t="s">
        <v>26</v>
      </c>
      <c r="J1232" s="4">
        <v>0.26407156308851198</v>
      </c>
      <c r="K1232" t="s">
        <v>40</v>
      </c>
      <c r="L1232" t="s">
        <v>55</v>
      </c>
      <c r="M1232">
        <v>1</v>
      </c>
      <c r="N1232" t="s">
        <v>65</v>
      </c>
    </row>
    <row r="1233" spans="1:14" x14ac:dyDescent="0.3">
      <c r="A1233" s="1">
        <v>45015</v>
      </c>
      <c r="B1233" t="s">
        <v>30</v>
      </c>
      <c r="C1233" t="s">
        <v>11</v>
      </c>
      <c r="D1233" t="s">
        <v>17</v>
      </c>
      <c r="E1233">
        <v>6</v>
      </c>
      <c r="F1233">
        <v>3924</v>
      </c>
      <c r="G1233">
        <v>762.96</v>
      </c>
      <c r="H1233">
        <v>2023</v>
      </c>
      <c r="I1233" t="s">
        <v>15</v>
      </c>
      <c r="J1233" s="4">
        <v>0.194434250764526</v>
      </c>
      <c r="K1233" t="s">
        <v>40</v>
      </c>
      <c r="L1233" t="s">
        <v>55</v>
      </c>
      <c r="M1233">
        <v>3</v>
      </c>
      <c r="N1233" t="s">
        <v>56</v>
      </c>
    </row>
    <row r="1234" spans="1:14" x14ac:dyDescent="0.3">
      <c r="A1234" s="1">
        <v>45005</v>
      </c>
      <c r="B1234" t="s">
        <v>30</v>
      </c>
      <c r="C1234" t="s">
        <v>11</v>
      </c>
      <c r="D1234" t="s">
        <v>19</v>
      </c>
      <c r="E1234">
        <v>1</v>
      </c>
      <c r="F1234">
        <v>920</v>
      </c>
      <c r="G1234">
        <v>98.31</v>
      </c>
      <c r="H1234">
        <v>2023</v>
      </c>
      <c r="I1234" t="s">
        <v>15</v>
      </c>
      <c r="J1234" s="4">
        <v>0.106858695652174</v>
      </c>
      <c r="K1234" t="s">
        <v>40</v>
      </c>
      <c r="L1234" t="s">
        <v>55</v>
      </c>
      <c r="M1234">
        <v>3</v>
      </c>
      <c r="N1234" t="s">
        <v>56</v>
      </c>
    </row>
    <row r="1235" spans="1:14" x14ac:dyDescent="0.3">
      <c r="A1235" s="1">
        <v>44968</v>
      </c>
      <c r="B1235" t="s">
        <v>30</v>
      </c>
      <c r="C1235" t="s">
        <v>11</v>
      </c>
      <c r="D1235" t="s">
        <v>17</v>
      </c>
      <c r="E1235">
        <v>2</v>
      </c>
      <c r="F1235">
        <v>330</v>
      </c>
      <c r="G1235">
        <v>66.569999999999993</v>
      </c>
      <c r="H1235">
        <v>2023</v>
      </c>
      <c r="I1235" t="s">
        <v>16</v>
      </c>
      <c r="J1235" s="4">
        <v>0.201727272727273</v>
      </c>
      <c r="K1235" t="s">
        <v>40</v>
      </c>
      <c r="L1235" t="s">
        <v>55</v>
      </c>
      <c r="M1235">
        <v>2</v>
      </c>
      <c r="N1235" t="s">
        <v>57</v>
      </c>
    </row>
    <row r="1236" spans="1:14" x14ac:dyDescent="0.3">
      <c r="A1236" s="1">
        <v>45011</v>
      </c>
      <c r="B1236" t="s">
        <v>30</v>
      </c>
      <c r="C1236" t="s">
        <v>11</v>
      </c>
      <c r="D1236" t="s">
        <v>12</v>
      </c>
      <c r="E1236">
        <v>2</v>
      </c>
      <c r="F1236">
        <v>2162</v>
      </c>
      <c r="G1236">
        <v>355.45</v>
      </c>
      <c r="H1236">
        <v>2023</v>
      </c>
      <c r="I1236" t="s">
        <v>15</v>
      </c>
      <c r="J1236" s="4">
        <v>0.16440795559667001</v>
      </c>
      <c r="K1236" t="s">
        <v>40</v>
      </c>
      <c r="L1236" t="s">
        <v>55</v>
      </c>
      <c r="M1236">
        <v>3</v>
      </c>
      <c r="N1236" t="s">
        <v>56</v>
      </c>
    </row>
    <row r="1237" spans="1:14" x14ac:dyDescent="0.3">
      <c r="A1237" s="1">
        <v>44928</v>
      </c>
      <c r="B1237" t="s">
        <v>30</v>
      </c>
      <c r="C1237" t="s">
        <v>11</v>
      </c>
      <c r="D1237" t="s">
        <v>12</v>
      </c>
      <c r="E1237">
        <v>4</v>
      </c>
      <c r="F1237">
        <v>3216</v>
      </c>
      <c r="G1237">
        <v>213.81</v>
      </c>
      <c r="H1237">
        <v>2023</v>
      </c>
      <c r="I1237" t="s">
        <v>26</v>
      </c>
      <c r="J1237" s="4">
        <v>6.6483208955223902E-2</v>
      </c>
      <c r="K1237" t="s">
        <v>40</v>
      </c>
      <c r="L1237" t="s">
        <v>55</v>
      </c>
      <c r="M1237">
        <v>1</v>
      </c>
      <c r="N1237" t="s">
        <v>65</v>
      </c>
    </row>
    <row r="1238" spans="1:14" x14ac:dyDescent="0.3">
      <c r="A1238" s="1">
        <v>45120</v>
      </c>
      <c r="B1238" t="s">
        <v>30</v>
      </c>
      <c r="C1238" t="s">
        <v>11</v>
      </c>
      <c r="D1238" t="s">
        <v>22</v>
      </c>
      <c r="E1238">
        <v>2</v>
      </c>
      <c r="F1238">
        <v>162</v>
      </c>
      <c r="G1238">
        <v>16.510000000000002</v>
      </c>
      <c r="H1238">
        <v>2023</v>
      </c>
      <c r="I1238" t="s">
        <v>25</v>
      </c>
      <c r="J1238" s="4">
        <v>0.10191358024691401</v>
      </c>
      <c r="K1238" t="s">
        <v>40</v>
      </c>
      <c r="L1238" t="s">
        <v>60</v>
      </c>
      <c r="M1238">
        <v>7</v>
      </c>
      <c r="N1238" t="s">
        <v>64</v>
      </c>
    </row>
    <row r="1239" spans="1:14" x14ac:dyDescent="0.3">
      <c r="A1239" s="1">
        <v>44980</v>
      </c>
      <c r="B1239" t="s">
        <v>30</v>
      </c>
      <c r="C1239" t="s">
        <v>11</v>
      </c>
      <c r="D1239" t="s">
        <v>22</v>
      </c>
      <c r="E1239">
        <v>2</v>
      </c>
      <c r="F1239">
        <v>120</v>
      </c>
      <c r="G1239">
        <v>7.74</v>
      </c>
      <c r="H1239">
        <v>2023</v>
      </c>
      <c r="I1239" t="s">
        <v>16</v>
      </c>
      <c r="J1239" s="4">
        <v>6.4500000000000002E-2</v>
      </c>
      <c r="K1239" t="s">
        <v>40</v>
      </c>
      <c r="L1239" t="s">
        <v>55</v>
      </c>
      <c r="M1239">
        <v>2</v>
      </c>
      <c r="N1239" t="s">
        <v>57</v>
      </c>
    </row>
    <row r="1240" spans="1:14" x14ac:dyDescent="0.3">
      <c r="A1240" s="1">
        <v>44981</v>
      </c>
      <c r="B1240" t="s">
        <v>30</v>
      </c>
      <c r="C1240" t="s">
        <v>11</v>
      </c>
      <c r="D1240" t="s">
        <v>12</v>
      </c>
      <c r="E1240">
        <v>6</v>
      </c>
      <c r="F1240">
        <v>3096</v>
      </c>
      <c r="G1240">
        <v>277.68</v>
      </c>
      <c r="H1240">
        <v>2023</v>
      </c>
      <c r="I1240" t="s">
        <v>16</v>
      </c>
      <c r="J1240" s="4">
        <v>8.9689922480620202E-2</v>
      </c>
      <c r="K1240" t="s">
        <v>40</v>
      </c>
      <c r="L1240" t="s">
        <v>55</v>
      </c>
      <c r="M1240">
        <v>2</v>
      </c>
      <c r="N1240" t="s">
        <v>57</v>
      </c>
    </row>
    <row r="1241" spans="1:14" x14ac:dyDescent="0.3">
      <c r="A1241" s="1">
        <v>45107</v>
      </c>
      <c r="B1241" t="s">
        <v>30</v>
      </c>
      <c r="C1241" t="s">
        <v>11</v>
      </c>
      <c r="D1241" t="s">
        <v>17</v>
      </c>
      <c r="E1241">
        <v>5</v>
      </c>
      <c r="F1241">
        <v>5640</v>
      </c>
      <c r="G1241">
        <v>1227.77</v>
      </c>
      <c r="H1241">
        <v>2023</v>
      </c>
      <c r="I1241" t="s">
        <v>27</v>
      </c>
      <c r="J1241" s="4">
        <v>0.217689716312057</v>
      </c>
      <c r="K1241" t="s">
        <v>40</v>
      </c>
      <c r="L1241" t="s">
        <v>59</v>
      </c>
      <c r="M1241">
        <v>6</v>
      </c>
      <c r="N1241" t="s">
        <v>66</v>
      </c>
    </row>
    <row r="1242" spans="1:14" x14ac:dyDescent="0.3">
      <c r="A1242" s="1">
        <v>45160</v>
      </c>
      <c r="B1242" t="s">
        <v>30</v>
      </c>
      <c r="C1242" t="s">
        <v>11</v>
      </c>
      <c r="D1242" t="s">
        <v>12</v>
      </c>
      <c r="E1242">
        <v>8</v>
      </c>
      <c r="F1242">
        <v>8296</v>
      </c>
      <c r="G1242">
        <v>1884.18</v>
      </c>
      <c r="H1242">
        <v>2023</v>
      </c>
      <c r="I1242" t="s">
        <v>24</v>
      </c>
      <c r="J1242" s="4">
        <v>0.22711909353905499</v>
      </c>
      <c r="K1242" t="s">
        <v>40</v>
      </c>
      <c r="L1242" t="s">
        <v>60</v>
      </c>
      <c r="M1242">
        <v>8</v>
      </c>
      <c r="N1242" t="s">
        <v>63</v>
      </c>
    </row>
    <row r="1243" spans="1:14" x14ac:dyDescent="0.3">
      <c r="A1243" s="1">
        <v>45065</v>
      </c>
      <c r="B1243" t="s">
        <v>30</v>
      </c>
      <c r="C1243" t="s">
        <v>11</v>
      </c>
      <c r="D1243" t="s">
        <v>19</v>
      </c>
      <c r="E1243">
        <v>2</v>
      </c>
      <c r="F1243">
        <v>990</v>
      </c>
      <c r="G1243">
        <v>76.87</v>
      </c>
      <c r="H1243">
        <v>2023</v>
      </c>
      <c r="I1243" t="s">
        <v>20</v>
      </c>
      <c r="J1243" s="4">
        <v>7.7646464646464602E-2</v>
      </c>
      <c r="K1243" t="s">
        <v>40</v>
      </c>
      <c r="L1243" t="s">
        <v>59</v>
      </c>
      <c r="M1243">
        <v>5</v>
      </c>
      <c r="N1243" t="s">
        <v>20</v>
      </c>
    </row>
    <row r="1244" spans="1:14" x14ac:dyDescent="0.3">
      <c r="A1244" s="1">
        <v>45143</v>
      </c>
      <c r="B1244" t="s">
        <v>30</v>
      </c>
      <c r="C1244" t="s">
        <v>11</v>
      </c>
      <c r="D1244" t="s">
        <v>12</v>
      </c>
      <c r="E1244">
        <v>1</v>
      </c>
      <c r="F1244">
        <v>733</v>
      </c>
      <c r="G1244">
        <v>54.11</v>
      </c>
      <c r="H1244">
        <v>2023</v>
      </c>
      <c r="I1244" t="s">
        <v>24</v>
      </c>
      <c r="J1244" s="4">
        <v>7.3819918144611196E-2</v>
      </c>
      <c r="K1244" t="s">
        <v>40</v>
      </c>
      <c r="L1244" t="s">
        <v>60</v>
      </c>
      <c r="M1244">
        <v>8</v>
      </c>
      <c r="N1244" t="s">
        <v>63</v>
      </c>
    </row>
    <row r="1245" spans="1:14" x14ac:dyDescent="0.3">
      <c r="A1245" s="1">
        <v>45278</v>
      </c>
      <c r="B1245" t="s">
        <v>30</v>
      </c>
      <c r="C1245" t="s">
        <v>11</v>
      </c>
      <c r="D1245" t="s">
        <v>17</v>
      </c>
      <c r="E1245">
        <v>2</v>
      </c>
      <c r="F1245">
        <v>1346</v>
      </c>
      <c r="G1245">
        <v>196.5</v>
      </c>
      <c r="H1245">
        <v>2023</v>
      </c>
      <c r="I1245" t="s">
        <v>13</v>
      </c>
      <c r="J1245" s="4">
        <v>0.14598811292719199</v>
      </c>
      <c r="K1245" t="s">
        <v>40</v>
      </c>
      <c r="L1245" t="s">
        <v>52</v>
      </c>
      <c r="M1245">
        <v>12</v>
      </c>
      <c r="N1245" t="s">
        <v>53</v>
      </c>
    </row>
    <row r="1246" spans="1:14" x14ac:dyDescent="0.3">
      <c r="A1246" s="1">
        <v>45055</v>
      </c>
      <c r="B1246" t="s">
        <v>30</v>
      </c>
      <c r="C1246" t="s">
        <v>11</v>
      </c>
      <c r="D1246" t="s">
        <v>22</v>
      </c>
      <c r="E1246">
        <v>5</v>
      </c>
      <c r="F1246">
        <v>4485</v>
      </c>
      <c r="G1246">
        <v>347.99</v>
      </c>
      <c r="H1246">
        <v>2023</v>
      </c>
      <c r="I1246" t="s">
        <v>20</v>
      </c>
      <c r="J1246" s="4">
        <v>7.7589743589743604E-2</v>
      </c>
      <c r="K1246" t="s">
        <v>40</v>
      </c>
      <c r="L1246" t="s">
        <v>59</v>
      </c>
      <c r="M1246">
        <v>5</v>
      </c>
      <c r="N1246" t="s">
        <v>20</v>
      </c>
    </row>
    <row r="1247" spans="1:14" x14ac:dyDescent="0.3">
      <c r="A1247" s="1">
        <v>45043</v>
      </c>
      <c r="B1247" t="s">
        <v>30</v>
      </c>
      <c r="C1247" t="s">
        <v>11</v>
      </c>
      <c r="D1247" t="s">
        <v>17</v>
      </c>
      <c r="E1247">
        <v>1</v>
      </c>
      <c r="F1247">
        <v>448</v>
      </c>
      <c r="G1247">
        <v>53.2</v>
      </c>
      <c r="H1247">
        <v>2023</v>
      </c>
      <c r="I1247" t="s">
        <v>23</v>
      </c>
      <c r="J1247" s="4">
        <v>0.11874999999999999</v>
      </c>
      <c r="K1247" t="s">
        <v>40</v>
      </c>
      <c r="L1247" t="s">
        <v>59</v>
      </c>
      <c r="M1247">
        <v>4</v>
      </c>
      <c r="N1247" t="s">
        <v>62</v>
      </c>
    </row>
    <row r="1248" spans="1:14" x14ac:dyDescent="0.3">
      <c r="A1248" s="1">
        <v>45036</v>
      </c>
      <c r="B1248" t="s">
        <v>30</v>
      </c>
      <c r="C1248" t="s">
        <v>11</v>
      </c>
      <c r="D1248" t="s">
        <v>12</v>
      </c>
      <c r="E1248">
        <v>8</v>
      </c>
      <c r="F1248">
        <v>4544</v>
      </c>
      <c r="G1248">
        <v>727.05</v>
      </c>
      <c r="H1248">
        <v>2023</v>
      </c>
      <c r="I1248" t="s">
        <v>23</v>
      </c>
      <c r="J1248" s="4">
        <v>0.16000220070422499</v>
      </c>
      <c r="K1248" t="s">
        <v>40</v>
      </c>
      <c r="L1248" t="s">
        <v>59</v>
      </c>
      <c r="M1248">
        <v>4</v>
      </c>
      <c r="N1248" t="s">
        <v>62</v>
      </c>
    </row>
    <row r="1249" spans="1:14" x14ac:dyDescent="0.3">
      <c r="A1249" s="1">
        <v>45260</v>
      </c>
      <c r="B1249" t="s">
        <v>30</v>
      </c>
      <c r="C1249" t="s">
        <v>11</v>
      </c>
      <c r="D1249" t="s">
        <v>17</v>
      </c>
      <c r="E1249">
        <v>5</v>
      </c>
      <c r="F1249">
        <v>505</v>
      </c>
      <c r="G1249">
        <v>71.97</v>
      </c>
      <c r="H1249">
        <v>2023</v>
      </c>
      <c r="I1249" t="s">
        <v>18</v>
      </c>
      <c r="J1249" s="4">
        <v>0.142514851485148</v>
      </c>
      <c r="K1249" t="s">
        <v>40</v>
      </c>
      <c r="L1249" t="s">
        <v>52</v>
      </c>
      <c r="M1249">
        <v>11</v>
      </c>
      <c r="N1249" t="s">
        <v>58</v>
      </c>
    </row>
    <row r="1250" spans="1:14" x14ac:dyDescent="0.3">
      <c r="A1250" s="1">
        <v>44989</v>
      </c>
      <c r="B1250" t="s">
        <v>30</v>
      </c>
      <c r="C1250" t="s">
        <v>11</v>
      </c>
      <c r="D1250" t="s">
        <v>19</v>
      </c>
      <c r="E1250">
        <v>4</v>
      </c>
      <c r="F1250">
        <v>944</v>
      </c>
      <c r="G1250">
        <v>176.56</v>
      </c>
      <c r="H1250">
        <v>2023</v>
      </c>
      <c r="I1250" t="s">
        <v>15</v>
      </c>
      <c r="J1250" s="4">
        <v>0.18703389830508499</v>
      </c>
      <c r="K1250" t="s">
        <v>40</v>
      </c>
      <c r="L1250" t="s">
        <v>55</v>
      </c>
      <c r="M1250">
        <v>3</v>
      </c>
      <c r="N1250" t="s">
        <v>56</v>
      </c>
    </row>
    <row r="1251" spans="1:14" x14ac:dyDescent="0.3">
      <c r="A1251" s="1">
        <v>44959</v>
      </c>
      <c r="B1251" t="s">
        <v>30</v>
      </c>
      <c r="C1251" t="s">
        <v>11</v>
      </c>
      <c r="D1251" t="s">
        <v>22</v>
      </c>
      <c r="E1251">
        <v>9</v>
      </c>
      <c r="F1251">
        <v>10620</v>
      </c>
      <c r="G1251">
        <v>2946.93</v>
      </c>
      <c r="H1251">
        <v>2023</v>
      </c>
      <c r="I1251" t="s">
        <v>16</v>
      </c>
      <c r="J1251" s="4">
        <v>0.27748870056497199</v>
      </c>
      <c r="K1251" t="s">
        <v>40</v>
      </c>
      <c r="L1251" t="s">
        <v>55</v>
      </c>
      <c r="M1251">
        <v>2</v>
      </c>
      <c r="N1251" t="s">
        <v>57</v>
      </c>
    </row>
    <row r="1252" spans="1:14" x14ac:dyDescent="0.3">
      <c r="A1252" s="1">
        <v>44993</v>
      </c>
      <c r="B1252" t="s">
        <v>30</v>
      </c>
      <c r="C1252" t="s">
        <v>11</v>
      </c>
      <c r="D1252" t="s">
        <v>12</v>
      </c>
      <c r="E1252">
        <v>1</v>
      </c>
      <c r="F1252">
        <v>589</v>
      </c>
      <c r="G1252">
        <v>158.85</v>
      </c>
      <c r="H1252">
        <v>2023</v>
      </c>
      <c r="I1252" t="s">
        <v>15</v>
      </c>
      <c r="J1252" s="4">
        <v>0.26969439728353101</v>
      </c>
      <c r="K1252" t="s">
        <v>40</v>
      </c>
      <c r="L1252" t="s">
        <v>55</v>
      </c>
      <c r="M1252">
        <v>3</v>
      </c>
      <c r="N1252" t="s">
        <v>56</v>
      </c>
    </row>
    <row r="1253" spans="1:14" x14ac:dyDescent="0.3">
      <c r="A1253" s="1">
        <v>45272</v>
      </c>
      <c r="B1253" t="s">
        <v>30</v>
      </c>
      <c r="C1253" t="s">
        <v>11</v>
      </c>
      <c r="D1253" t="s">
        <v>12</v>
      </c>
      <c r="E1253">
        <v>3</v>
      </c>
      <c r="F1253">
        <v>2598</v>
      </c>
      <c r="G1253">
        <v>560.82000000000005</v>
      </c>
      <c r="H1253">
        <v>2023</v>
      </c>
      <c r="I1253" t="s">
        <v>13</v>
      </c>
      <c r="J1253" s="4">
        <v>0.215866050808314</v>
      </c>
      <c r="K1253" t="s">
        <v>40</v>
      </c>
      <c r="L1253" t="s">
        <v>52</v>
      </c>
      <c r="M1253">
        <v>12</v>
      </c>
      <c r="N1253" t="s">
        <v>53</v>
      </c>
    </row>
    <row r="1254" spans="1:14" x14ac:dyDescent="0.3">
      <c r="A1254" s="1">
        <v>44928</v>
      </c>
      <c r="B1254" t="s">
        <v>30</v>
      </c>
      <c r="C1254" t="s">
        <v>11</v>
      </c>
      <c r="D1254" t="s">
        <v>12</v>
      </c>
      <c r="E1254">
        <v>9</v>
      </c>
      <c r="F1254">
        <v>9315</v>
      </c>
      <c r="G1254">
        <v>1808.68</v>
      </c>
      <c r="H1254">
        <v>2023</v>
      </c>
      <c r="I1254" t="s">
        <v>26</v>
      </c>
      <c r="J1254" s="4">
        <v>0.19416854535695099</v>
      </c>
      <c r="K1254" t="s">
        <v>40</v>
      </c>
      <c r="L1254" t="s">
        <v>55</v>
      </c>
      <c r="M1254">
        <v>1</v>
      </c>
      <c r="N1254" t="s">
        <v>65</v>
      </c>
    </row>
    <row r="1255" spans="1:14" x14ac:dyDescent="0.3">
      <c r="A1255" s="1">
        <v>45018</v>
      </c>
      <c r="B1255" t="s">
        <v>30</v>
      </c>
      <c r="C1255" t="s">
        <v>11</v>
      </c>
      <c r="D1255" t="s">
        <v>12</v>
      </c>
      <c r="E1255">
        <v>4</v>
      </c>
      <c r="F1255">
        <v>280</v>
      </c>
      <c r="G1255">
        <v>24.9</v>
      </c>
      <c r="H1255">
        <v>2023</v>
      </c>
      <c r="I1255" t="s">
        <v>23</v>
      </c>
      <c r="J1255" s="4">
        <v>8.8928571428571399E-2</v>
      </c>
      <c r="K1255" t="s">
        <v>40</v>
      </c>
      <c r="L1255" t="s">
        <v>59</v>
      </c>
      <c r="M1255">
        <v>4</v>
      </c>
      <c r="N1255" t="s">
        <v>62</v>
      </c>
    </row>
    <row r="1256" spans="1:14" x14ac:dyDescent="0.3">
      <c r="A1256" s="1">
        <v>45250</v>
      </c>
      <c r="B1256" t="s">
        <v>30</v>
      </c>
      <c r="C1256" t="s">
        <v>11</v>
      </c>
      <c r="D1256" t="s">
        <v>22</v>
      </c>
      <c r="E1256">
        <v>7</v>
      </c>
      <c r="F1256">
        <v>8141</v>
      </c>
      <c r="G1256">
        <v>651.16</v>
      </c>
      <c r="H1256">
        <v>2023</v>
      </c>
      <c r="I1256" t="s">
        <v>18</v>
      </c>
      <c r="J1256" s="4">
        <v>7.9985259796093805E-2</v>
      </c>
      <c r="K1256" t="s">
        <v>40</v>
      </c>
      <c r="L1256" t="s">
        <v>52</v>
      </c>
      <c r="M1256">
        <v>11</v>
      </c>
      <c r="N1256" t="s">
        <v>58</v>
      </c>
    </row>
    <row r="1257" spans="1:14" x14ac:dyDescent="0.3">
      <c r="A1257" s="1">
        <v>45150</v>
      </c>
      <c r="B1257" t="s">
        <v>30</v>
      </c>
      <c r="C1257" t="s">
        <v>11</v>
      </c>
      <c r="D1257" t="s">
        <v>22</v>
      </c>
      <c r="E1257">
        <v>4</v>
      </c>
      <c r="F1257">
        <v>1224</v>
      </c>
      <c r="G1257">
        <v>348.91</v>
      </c>
      <c r="H1257">
        <v>2023</v>
      </c>
      <c r="I1257" t="s">
        <v>24</v>
      </c>
      <c r="J1257" s="4">
        <v>0.28505718954248399</v>
      </c>
      <c r="K1257" t="s">
        <v>40</v>
      </c>
      <c r="L1257" t="s">
        <v>60</v>
      </c>
      <c r="M1257">
        <v>8</v>
      </c>
      <c r="N1257" t="s">
        <v>63</v>
      </c>
    </row>
    <row r="1258" spans="1:14" x14ac:dyDescent="0.3">
      <c r="A1258" s="1">
        <v>45070</v>
      </c>
      <c r="B1258" t="s">
        <v>30</v>
      </c>
      <c r="C1258" t="s">
        <v>11</v>
      </c>
      <c r="D1258" t="s">
        <v>19</v>
      </c>
      <c r="E1258">
        <v>8</v>
      </c>
      <c r="F1258">
        <v>3944</v>
      </c>
      <c r="G1258">
        <v>296.35000000000002</v>
      </c>
      <c r="H1258">
        <v>2023</v>
      </c>
      <c r="I1258" t="s">
        <v>20</v>
      </c>
      <c r="J1258" s="4">
        <v>7.5139452332657203E-2</v>
      </c>
      <c r="K1258" t="s">
        <v>40</v>
      </c>
      <c r="L1258" t="s">
        <v>59</v>
      </c>
      <c r="M1258">
        <v>5</v>
      </c>
      <c r="N1258" t="s">
        <v>20</v>
      </c>
    </row>
    <row r="1259" spans="1:14" x14ac:dyDescent="0.3">
      <c r="A1259" s="1">
        <v>45204</v>
      </c>
      <c r="B1259" t="s">
        <v>30</v>
      </c>
      <c r="C1259" t="s">
        <v>11</v>
      </c>
      <c r="D1259" t="s">
        <v>22</v>
      </c>
      <c r="E1259">
        <v>1</v>
      </c>
      <c r="F1259">
        <v>575</v>
      </c>
      <c r="G1259">
        <v>104.31</v>
      </c>
      <c r="H1259">
        <v>2023</v>
      </c>
      <c r="I1259" t="s">
        <v>14</v>
      </c>
      <c r="J1259" s="4">
        <v>0.18140869565217399</v>
      </c>
      <c r="K1259" t="s">
        <v>40</v>
      </c>
      <c r="L1259" t="s">
        <v>52</v>
      </c>
      <c r="M1259">
        <v>10</v>
      </c>
      <c r="N1259" t="s">
        <v>54</v>
      </c>
    </row>
    <row r="1260" spans="1:14" x14ac:dyDescent="0.3">
      <c r="A1260" s="1">
        <v>44953</v>
      </c>
      <c r="B1260" t="s">
        <v>30</v>
      </c>
      <c r="C1260" t="s">
        <v>11</v>
      </c>
      <c r="D1260" t="s">
        <v>12</v>
      </c>
      <c r="E1260">
        <v>6</v>
      </c>
      <c r="F1260">
        <v>5448</v>
      </c>
      <c r="G1260">
        <v>963.82</v>
      </c>
      <c r="H1260">
        <v>2023</v>
      </c>
      <c r="I1260" t="s">
        <v>26</v>
      </c>
      <c r="J1260" s="4">
        <v>0.17691262848751799</v>
      </c>
      <c r="K1260" t="s">
        <v>40</v>
      </c>
      <c r="L1260" t="s">
        <v>55</v>
      </c>
      <c r="M1260">
        <v>1</v>
      </c>
      <c r="N1260" t="s">
        <v>65</v>
      </c>
    </row>
    <row r="1261" spans="1:14" x14ac:dyDescent="0.3">
      <c r="A1261" s="1">
        <v>45264</v>
      </c>
      <c r="B1261" t="s">
        <v>30</v>
      </c>
      <c r="C1261" t="s">
        <v>11</v>
      </c>
      <c r="D1261" t="s">
        <v>17</v>
      </c>
      <c r="E1261">
        <v>8</v>
      </c>
      <c r="F1261">
        <v>3528</v>
      </c>
      <c r="G1261">
        <v>593.11</v>
      </c>
      <c r="H1261">
        <v>2023</v>
      </c>
      <c r="I1261" t="s">
        <v>13</v>
      </c>
      <c r="J1261" s="4">
        <v>0.168115079365079</v>
      </c>
      <c r="K1261" t="s">
        <v>40</v>
      </c>
      <c r="L1261" t="s">
        <v>52</v>
      </c>
      <c r="M1261">
        <v>12</v>
      </c>
      <c r="N1261" t="s">
        <v>53</v>
      </c>
    </row>
    <row r="1262" spans="1:14" x14ac:dyDescent="0.3">
      <c r="A1262" s="1">
        <v>45213</v>
      </c>
      <c r="B1262" t="s">
        <v>30</v>
      </c>
      <c r="C1262" t="s">
        <v>11</v>
      </c>
      <c r="D1262" t="s">
        <v>17</v>
      </c>
      <c r="E1262">
        <v>4</v>
      </c>
      <c r="F1262">
        <v>908</v>
      </c>
      <c r="G1262">
        <v>219.79</v>
      </c>
      <c r="H1262">
        <v>2023</v>
      </c>
      <c r="I1262" t="s">
        <v>14</v>
      </c>
      <c r="J1262" s="4">
        <v>0.24205947136563899</v>
      </c>
      <c r="K1262" t="s">
        <v>40</v>
      </c>
      <c r="L1262" t="s">
        <v>52</v>
      </c>
      <c r="M1262">
        <v>10</v>
      </c>
      <c r="N1262" t="s">
        <v>54</v>
      </c>
    </row>
    <row r="1263" spans="1:14" x14ac:dyDescent="0.3">
      <c r="A1263" s="1">
        <v>45161</v>
      </c>
      <c r="B1263" t="s">
        <v>30</v>
      </c>
      <c r="C1263" t="s">
        <v>11</v>
      </c>
      <c r="D1263" t="s">
        <v>17</v>
      </c>
      <c r="E1263">
        <v>7</v>
      </c>
      <c r="F1263">
        <v>3654</v>
      </c>
      <c r="G1263">
        <v>871.81</v>
      </c>
      <c r="H1263">
        <v>2023</v>
      </c>
      <c r="I1263" t="s">
        <v>24</v>
      </c>
      <c r="J1263" s="4">
        <v>0.23859058565955099</v>
      </c>
      <c r="K1263" t="s">
        <v>40</v>
      </c>
      <c r="L1263" t="s">
        <v>60</v>
      </c>
      <c r="M1263">
        <v>8</v>
      </c>
      <c r="N1263" t="s">
        <v>63</v>
      </c>
    </row>
    <row r="1264" spans="1:14" x14ac:dyDescent="0.3">
      <c r="A1264" s="1">
        <v>44978</v>
      </c>
      <c r="B1264" t="s">
        <v>30</v>
      </c>
      <c r="C1264" t="s">
        <v>11</v>
      </c>
      <c r="D1264" t="s">
        <v>19</v>
      </c>
      <c r="E1264">
        <v>9</v>
      </c>
      <c r="F1264">
        <v>9225</v>
      </c>
      <c r="G1264">
        <v>2526.27</v>
      </c>
      <c r="H1264">
        <v>2023</v>
      </c>
      <c r="I1264" t="s">
        <v>16</v>
      </c>
      <c r="J1264" s="4">
        <v>0.273850406504065</v>
      </c>
      <c r="K1264" t="s">
        <v>40</v>
      </c>
      <c r="L1264" t="s">
        <v>55</v>
      </c>
      <c r="M1264">
        <v>2</v>
      </c>
      <c r="N1264" t="s">
        <v>57</v>
      </c>
    </row>
    <row r="1265" spans="1:14" x14ac:dyDescent="0.3">
      <c r="A1265" s="1">
        <v>44978</v>
      </c>
      <c r="B1265" t="s">
        <v>30</v>
      </c>
      <c r="C1265" t="s">
        <v>11</v>
      </c>
      <c r="D1265" t="s">
        <v>22</v>
      </c>
      <c r="E1265">
        <v>5</v>
      </c>
      <c r="F1265">
        <v>880</v>
      </c>
      <c r="G1265">
        <v>255.9</v>
      </c>
      <c r="H1265">
        <v>2023</v>
      </c>
      <c r="I1265" t="s">
        <v>16</v>
      </c>
      <c r="J1265" s="4">
        <v>0.29079545454545502</v>
      </c>
      <c r="K1265" t="s">
        <v>40</v>
      </c>
      <c r="L1265" t="s">
        <v>55</v>
      </c>
      <c r="M1265">
        <v>2</v>
      </c>
      <c r="N1265" t="s">
        <v>57</v>
      </c>
    </row>
    <row r="1266" spans="1:14" x14ac:dyDescent="0.3">
      <c r="A1266" s="1">
        <v>45142</v>
      </c>
      <c r="B1266" t="s">
        <v>30</v>
      </c>
      <c r="C1266" t="s">
        <v>11</v>
      </c>
      <c r="D1266" t="s">
        <v>22</v>
      </c>
      <c r="E1266">
        <v>4</v>
      </c>
      <c r="F1266">
        <v>1792</v>
      </c>
      <c r="G1266">
        <v>506.56</v>
      </c>
      <c r="H1266">
        <v>2023</v>
      </c>
      <c r="I1266" t="s">
        <v>24</v>
      </c>
      <c r="J1266" s="4">
        <v>0.282678571428571</v>
      </c>
      <c r="K1266" t="s">
        <v>40</v>
      </c>
      <c r="L1266" t="s">
        <v>60</v>
      </c>
      <c r="M1266">
        <v>8</v>
      </c>
      <c r="N1266" t="s">
        <v>63</v>
      </c>
    </row>
    <row r="1267" spans="1:14" x14ac:dyDescent="0.3">
      <c r="A1267" s="1">
        <v>45121</v>
      </c>
      <c r="B1267" t="s">
        <v>30</v>
      </c>
      <c r="C1267" t="s">
        <v>11</v>
      </c>
      <c r="D1267" t="s">
        <v>19</v>
      </c>
      <c r="E1267">
        <v>9</v>
      </c>
      <c r="F1267">
        <v>468</v>
      </c>
      <c r="G1267">
        <v>58.98</v>
      </c>
      <c r="H1267">
        <v>2023</v>
      </c>
      <c r="I1267" t="s">
        <v>25</v>
      </c>
      <c r="J1267" s="4">
        <v>0.12602564102564101</v>
      </c>
      <c r="K1267" t="s">
        <v>40</v>
      </c>
      <c r="L1267" t="s">
        <v>60</v>
      </c>
      <c r="M1267">
        <v>7</v>
      </c>
      <c r="N1267" t="s">
        <v>64</v>
      </c>
    </row>
    <row r="1268" spans="1:14" x14ac:dyDescent="0.3">
      <c r="A1268" s="1">
        <v>45170</v>
      </c>
      <c r="B1268" t="s">
        <v>30</v>
      </c>
      <c r="C1268" t="s">
        <v>11</v>
      </c>
      <c r="D1268" t="s">
        <v>22</v>
      </c>
      <c r="E1268">
        <v>3</v>
      </c>
      <c r="F1268">
        <v>1227</v>
      </c>
      <c r="G1268">
        <v>229.75</v>
      </c>
      <c r="H1268">
        <v>2023</v>
      </c>
      <c r="I1268" t="s">
        <v>21</v>
      </c>
      <c r="J1268" s="4">
        <v>0.18724531377343101</v>
      </c>
      <c r="K1268" t="s">
        <v>40</v>
      </c>
      <c r="L1268" t="s">
        <v>60</v>
      </c>
      <c r="M1268">
        <v>9</v>
      </c>
      <c r="N1268" t="s">
        <v>61</v>
      </c>
    </row>
    <row r="1269" spans="1:14" x14ac:dyDescent="0.3">
      <c r="A1269" s="1">
        <v>45127</v>
      </c>
      <c r="B1269" t="s">
        <v>30</v>
      </c>
      <c r="C1269" t="s">
        <v>11</v>
      </c>
      <c r="D1269" t="s">
        <v>22</v>
      </c>
      <c r="E1269">
        <v>6</v>
      </c>
      <c r="F1269">
        <v>2040</v>
      </c>
      <c r="G1269">
        <v>124.65</v>
      </c>
      <c r="H1269">
        <v>2023</v>
      </c>
      <c r="I1269" t="s">
        <v>25</v>
      </c>
      <c r="J1269" s="4">
        <v>6.1102941176470603E-2</v>
      </c>
      <c r="K1269" t="s">
        <v>40</v>
      </c>
      <c r="L1269" t="s">
        <v>60</v>
      </c>
      <c r="M1269">
        <v>7</v>
      </c>
      <c r="N1269" t="s">
        <v>64</v>
      </c>
    </row>
    <row r="1270" spans="1:14" x14ac:dyDescent="0.3">
      <c r="A1270" s="1">
        <v>45060</v>
      </c>
      <c r="B1270" t="s">
        <v>30</v>
      </c>
      <c r="C1270" t="s">
        <v>11</v>
      </c>
      <c r="D1270" t="s">
        <v>22</v>
      </c>
      <c r="E1270">
        <v>1</v>
      </c>
      <c r="F1270">
        <v>1188</v>
      </c>
      <c r="G1270">
        <v>110.32</v>
      </c>
      <c r="H1270">
        <v>2023</v>
      </c>
      <c r="I1270" t="s">
        <v>20</v>
      </c>
      <c r="J1270" s="4">
        <v>9.2861952861952896E-2</v>
      </c>
      <c r="K1270" t="s">
        <v>40</v>
      </c>
      <c r="L1270" t="s">
        <v>59</v>
      </c>
      <c r="M1270">
        <v>5</v>
      </c>
      <c r="N1270" t="s">
        <v>20</v>
      </c>
    </row>
    <row r="1271" spans="1:14" x14ac:dyDescent="0.3">
      <c r="A1271" s="1">
        <v>45010</v>
      </c>
      <c r="B1271" t="s">
        <v>30</v>
      </c>
      <c r="C1271" t="s">
        <v>11</v>
      </c>
      <c r="D1271" t="s">
        <v>22</v>
      </c>
      <c r="E1271">
        <v>9</v>
      </c>
      <c r="F1271">
        <v>5553</v>
      </c>
      <c r="G1271">
        <v>1432.76</v>
      </c>
      <c r="H1271">
        <v>2023</v>
      </c>
      <c r="I1271" t="s">
        <v>15</v>
      </c>
      <c r="J1271" s="4">
        <v>0.25801548712407701</v>
      </c>
      <c r="K1271" t="s">
        <v>40</v>
      </c>
      <c r="L1271" t="s">
        <v>55</v>
      </c>
      <c r="M1271">
        <v>3</v>
      </c>
      <c r="N1271" t="s">
        <v>56</v>
      </c>
    </row>
    <row r="1272" spans="1:14" x14ac:dyDescent="0.3">
      <c r="A1272" s="1">
        <v>44999</v>
      </c>
      <c r="B1272" t="s">
        <v>30</v>
      </c>
      <c r="C1272" t="s">
        <v>11</v>
      </c>
      <c r="D1272" t="s">
        <v>12</v>
      </c>
      <c r="E1272">
        <v>1</v>
      </c>
      <c r="F1272">
        <v>879</v>
      </c>
      <c r="G1272">
        <v>149.52000000000001</v>
      </c>
      <c r="H1272">
        <v>2023</v>
      </c>
      <c r="I1272" t="s">
        <v>15</v>
      </c>
      <c r="J1272" s="4">
        <v>0.17010238907849801</v>
      </c>
      <c r="K1272" t="s">
        <v>40</v>
      </c>
      <c r="L1272" t="s">
        <v>55</v>
      </c>
      <c r="M1272">
        <v>3</v>
      </c>
      <c r="N1272" t="s">
        <v>56</v>
      </c>
    </row>
    <row r="1273" spans="1:14" x14ac:dyDescent="0.3">
      <c r="A1273" s="1">
        <v>45247</v>
      </c>
      <c r="B1273" t="s">
        <v>30</v>
      </c>
      <c r="C1273" t="s">
        <v>11</v>
      </c>
      <c r="D1273" t="s">
        <v>17</v>
      </c>
      <c r="E1273">
        <v>3</v>
      </c>
      <c r="F1273">
        <v>2415</v>
      </c>
      <c r="G1273">
        <v>538.39</v>
      </c>
      <c r="H1273">
        <v>2023</v>
      </c>
      <c r="I1273" t="s">
        <v>18</v>
      </c>
      <c r="J1273" s="4">
        <v>0.22293581780538299</v>
      </c>
      <c r="K1273" t="s">
        <v>40</v>
      </c>
      <c r="L1273" t="s">
        <v>52</v>
      </c>
      <c r="M1273">
        <v>11</v>
      </c>
      <c r="N1273" t="s">
        <v>58</v>
      </c>
    </row>
    <row r="1274" spans="1:14" x14ac:dyDescent="0.3">
      <c r="A1274" s="1">
        <v>45225</v>
      </c>
      <c r="B1274" t="s">
        <v>30</v>
      </c>
      <c r="C1274" t="s">
        <v>11</v>
      </c>
      <c r="D1274" t="s">
        <v>12</v>
      </c>
      <c r="E1274">
        <v>6</v>
      </c>
      <c r="F1274">
        <v>3306</v>
      </c>
      <c r="G1274">
        <v>697.74</v>
      </c>
      <c r="H1274">
        <v>2023</v>
      </c>
      <c r="I1274" t="s">
        <v>14</v>
      </c>
      <c r="J1274" s="4">
        <v>0.21105263157894699</v>
      </c>
      <c r="K1274" t="s">
        <v>40</v>
      </c>
      <c r="L1274" t="s">
        <v>52</v>
      </c>
      <c r="M1274">
        <v>10</v>
      </c>
      <c r="N1274" t="s">
        <v>54</v>
      </c>
    </row>
    <row r="1275" spans="1:14" x14ac:dyDescent="0.3">
      <c r="A1275" s="1">
        <v>45252</v>
      </c>
      <c r="B1275" t="s">
        <v>30</v>
      </c>
      <c r="C1275" t="s">
        <v>11</v>
      </c>
      <c r="D1275" t="s">
        <v>17</v>
      </c>
      <c r="E1275">
        <v>2</v>
      </c>
      <c r="F1275">
        <v>750</v>
      </c>
      <c r="G1275">
        <v>77.680000000000007</v>
      </c>
      <c r="H1275">
        <v>2023</v>
      </c>
      <c r="I1275" t="s">
        <v>18</v>
      </c>
      <c r="J1275" s="4">
        <v>0.103573333333333</v>
      </c>
      <c r="K1275" t="s">
        <v>40</v>
      </c>
      <c r="L1275" t="s">
        <v>52</v>
      </c>
      <c r="M1275">
        <v>11</v>
      </c>
      <c r="N1275" t="s">
        <v>58</v>
      </c>
    </row>
    <row r="1276" spans="1:14" x14ac:dyDescent="0.3">
      <c r="A1276" s="1">
        <v>44992</v>
      </c>
      <c r="B1276" t="s">
        <v>30</v>
      </c>
      <c r="C1276" t="s">
        <v>11</v>
      </c>
      <c r="D1276" t="s">
        <v>12</v>
      </c>
      <c r="E1276">
        <v>6</v>
      </c>
      <c r="F1276">
        <v>4302</v>
      </c>
      <c r="G1276">
        <v>276.35000000000002</v>
      </c>
      <c r="H1276">
        <v>2023</v>
      </c>
      <c r="I1276" t="s">
        <v>15</v>
      </c>
      <c r="J1276" s="4">
        <v>6.4237563923756402E-2</v>
      </c>
      <c r="K1276" t="s">
        <v>40</v>
      </c>
      <c r="L1276" t="s">
        <v>55</v>
      </c>
      <c r="M1276">
        <v>3</v>
      </c>
      <c r="N1276" t="s">
        <v>56</v>
      </c>
    </row>
    <row r="1277" spans="1:14" x14ac:dyDescent="0.3">
      <c r="A1277" s="1">
        <v>44953</v>
      </c>
      <c r="B1277" t="s">
        <v>30</v>
      </c>
      <c r="C1277" t="s">
        <v>11</v>
      </c>
      <c r="D1277" t="s">
        <v>19</v>
      </c>
      <c r="E1277">
        <v>9</v>
      </c>
      <c r="F1277">
        <v>6345</v>
      </c>
      <c r="G1277">
        <v>1627.26</v>
      </c>
      <c r="H1277">
        <v>2023</v>
      </c>
      <c r="I1277" t="s">
        <v>26</v>
      </c>
      <c r="J1277" s="4">
        <v>0.25646335697399503</v>
      </c>
      <c r="K1277" t="s">
        <v>40</v>
      </c>
      <c r="L1277" t="s">
        <v>55</v>
      </c>
      <c r="M1277">
        <v>1</v>
      </c>
      <c r="N1277" t="s">
        <v>65</v>
      </c>
    </row>
    <row r="1278" spans="1:14" x14ac:dyDescent="0.3">
      <c r="A1278" s="1">
        <v>44979</v>
      </c>
      <c r="B1278" t="s">
        <v>30</v>
      </c>
      <c r="C1278" t="s">
        <v>11</v>
      </c>
      <c r="D1278" t="s">
        <v>12</v>
      </c>
      <c r="E1278">
        <v>3</v>
      </c>
      <c r="F1278">
        <v>867</v>
      </c>
      <c r="G1278">
        <v>58.2</v>
      </c>
      <c r="H1278">
        <v>2023</v>
      </c>
      <c r="I1278" t="s">
        <v>16</v>
      </c>
      <c r="J1278" s="4">
        <v>6.7128027681660901E-2</v>
      </c>
      <c r="K1278" t="s">
        <v>40</v>
      </c>
      <c r="L1278" t="s">
        <v>55</v>
      </c>
      <c r="M1278">
        <v>2</v>
      </c>
      <c r="N1278" t="s">
        <v>57</v>
      </c>
    </row>
    <row r="1279" spans="1:14" x14ac:dyDescent="0.3">
      <c r="A1279" s="1">
        <v>45252</v>
      </c>
      <c r="B1279" t="s">
        <v>30</v>
      </c>
      <c r="C1279" t="s">
        <v>11</v>
      </c>
      <c r="D1279" t="s">
        <v>12</v>
      </c>
      <c r="E1279">
        <v>6</v>
      </c>
      <c r="F1279">
        <v>438</v>
      </c>
      <c r="G1279">
        <v>26.03</v>
      </c>
      <c r="H1279">
        <v>2023</v>
      </c>
      <c r="I1279" t="s">
        <v>18</v>
      </c>
      <c r="J1279" s="4">
        <v>5.9429223744292201E-2</v>
      </c>
      <c r="K1279" t="s">
        <v>40</v>
      </c>
      <c r="L1279" t="s">
        <v>52</v>
      </c>
      <c r="M1279">
        <v>11</v>
      </c>
      <c r="N1279" t="s">
        <v>58</v>
      </c>
    </row>
    <row r="1280" spans="1:14" x14ac:dyDescent="0.3">
      <c r="A1280" s="1">
        <v>45164</v>
      </c>
      <c r="B1280" t="s">
        <v>30</v>
      </c>
      <c r="C1280" t="s">
        <v>11</v>
      </c>
      <c r="D1280" t="s">
        <v>17</v>
      </c>
      <c r="E1280">
        <v>1</v>
      </c>
      <c r="F1280">
        <v>1027</v>
      </c>
      <c r="G1280">
        <v>259.92</v>
      </c>
      <c r="H1280">
        <v>2023</v>
      </c>
      <c r="I1280" t="s">
        <v>24</v>
      </c>
      <c r="J1280" s="4">
        <v>0.25308666017526799</v>
      </c>
      <c r="K1280" t="s">
        <v>40</v>
      </c>
      <c r="L1280" t="s">
        <v>60</v>
      </c>
      <c r="M1280">
        <v>8</v>
      </c>
      <c r="N1280" t="s">
        <v>63</v>
      </c>
    </row>
    <row r="1281" spans="1:14" x14ac:dyDescent="0.3">
      <c r="A1281" s="1">
        <v>45265</v>
      </c>
      <c r="B1281" t="s">
        <v>30</v>
      </c>
      <c r="C1281" t="s">
        <v>11</v>
      </c>
      <c r="D1281" t="s">
        <v>17</v>
      </c>
      <c r="E1281">
        <v>4</v>
      </c>
      <c r="F1281">
        <v>3824</v>
      </c>
      <c r="G1281">
        <v>711.92</v>
      </c>
      <c r="H1281">
        <v>2023</v>
      </c>
      <c r="I1281" t="s">
        <v>13</v>
      </c>
      <c r="J1281" s="4">
        <v>0.186171548117155</v>
      </c>
      <c r="K1281" t="s">
        <v>40</v>
      </c>
      <c r="L1281" t="s">
        <v>52</v>
      </c>
      <c r="M1281">
        <v>12</v>
      </c>
      <c r="N1281" t="s">
        <v>53</v>
      </c>
    </row>
    <row r="1282" spans="1:14" x14ac:dyDescent="0.3">
      <c r="A1282" s="1">
        <v>45027</v>
      </c>
      <c r="B1282" t="s">
        <v>30</v>
      </c>
      <c r="C1282" t="s">
        <v>11</v>
      </c>
      <c r="D1282" t="s">
        <v>12</v>
      </c>
      <c r="E1282">
        <v>6</v>
      </c>
      <c r="F1282">
        <v>5136</v>
      </c>
      <c r="G1282">
        <v>1225.4000000000001</v>
      </c>
      <c r="H1282">
        <v>2023</v>
      </c>
      <c r="I1282" t="s">
        <v>23</v>
      </c>
      <c r="J1282" s="4">
        <v>0.23859034267912799</v>
      </c>
      <c r="K1282" t="s">
        <v>40</v>
      </c>
      <c r="L1282" t="s">
        <v>59</v>
      </c>
      <c r="M1282">
        <v>4</v>
      </c>
      <c r="N1282" t="s">
        <v>62</v>
      </c>
    </row>
    <row r="1283" spans="1:14" x14ac:dyDescent="0.3">
      <c r="A1283" s="1">
        <v>45143</v>
      </c>
      <c r="B1283" t="s">
        <v>30</v>
      </c>
      <c r="C1283" t="s">
        <v>11</v>
      </c>
      <c r="D1283" t="s">
        <v>17</v>
      </c>
      <c r="E1283">
        <v>3</v>
      </c>
      <c r="F1283">
        <v>2031</v>
      </c>
      <c r="G1283">
        <v>450.23</v>
      </c>
      <c r="H1283">
        <v>2023</v>
      </c>
      <c r="I1283" t="s">
        <v>24</v>
      </c>
      <c r="J1283" s="4">
        <v>0.22167897587395399</v>
      </c>
      <c r="K1283" t="s">
        <v>40</v>
      </c>
      <c r="L1283" t="s">
        <v>60</v>
      </c>
      <c r="M1283">
        <v>8</v>
      </c>
      <c r="N1283" t="s">
        <v>63</v>
      </c>
    </row>
    <row r="1284" spans="1:14" x14ac:dyDescent="0.3">
      <c r="A1284" s="1">
        <v>45185</v>
      </c>
      <c r="B1284" t="s">
        <v>30</v>
      </c>
      <c r="C1284" t="s">
        <v>11</v>
      </c>
      <c r="D1284" t="s">
        <v>17</v>
      </c>
      <c r="E1284">
        <v>7</v>
      </c>
      <c r="F1284">
        <v>6818</v>
      </c>
      <c r="G1284">
        <v>1348.26</v>
      </c>
      <c r="H1284">
        <v>2023</v>
      </c>
      <c r="I1284" t="s">
        <v>21</v>
      </c>
      <c r="J1284" s="4">
        <v>0.19775007333528899</v>
      </c>
      <c r="K1284" t="s">
        <v>40</v>
      </c>
      <c r="L1284" t="s">
        <v>60</v>
      </c>
      <c r="M1284">
        <v>9</v>
      </c>
      <c r="N1284" t="s">
        <v>61</v>
      </c>
    </row>
    <row r="1285" spans="1:14" x14ac:dyDescent="0.3">
      <c r="A1285" s="1">
        <v>45258</v>
      </c>
      <c r="B1285" t="s">
        <v>30</v>
      </c>
      <c r="C1285" t="s">
        <v>11</v>
      </c>
      <c r="D1285" t="s">
        <v>19</v>
      </c>
      <c r="E1285">
        <v>9</v>
      </c>
      <c r="F1285">
        <v>5481</v>
      </c>
      <c r="G1285">
        <v>1540.75</v>
      </c>
      <c r="H1285">
        <v>2023</v>
      </c>
      <c r="I1285" t="s">
        <v>18</v>
      </c>
      <c r="J1285" s="4">
        <v>0.28110746214194499</v>
      </c>
      <c r="K1285" t="s">
        <v>40</v>
      </c>
      <c r="L1285" t="s">
        <v>52</v>
      </c>
      <c r="M1285">
        <v>11</v>
      </c>
      <c r="N1285" t="s">
        <v>58</v>
      </c>
    </row>
    <row r="1286" spans="1:14" x14ac:dyDescent="0.3">
      <c r="A1286" s="1">
        <v>45086</v>
      </c>
      <c r="B1286" t="s">
        <v>30</v>
      </c>
      <c r="C1286" t="s">
        <v>11</v>
      </c>
      <c r="D1286" t="s">
        <v>19</v>
      </c>
      <c r="E1286">
        <v>1</v>
      </c>
      <c r="F1286">
        <v>1060</v>
      </c>
      <c r="G1286">
        <v>57.26</v>
      </c>
      <c r="H1286">
        <v>2023</v>
      </c>
      <c r="I1286" t="s">
        <v>27</v>
      </c>
      <c r="J1286" s="4">
        <v>5.4018867924528299E-2</v>
      </c>
      <c r="K1286" t="s">
        <v>40</v>
      </c>
      <c r="L1286" t="s">
        <v>59</v>
      </c>
      <c r="M1286">
        <v>6</v>
      </c>
      <c r="N1286" t="s">
        <v>66</v>
      </c>
    </row>
    <row r="1287" spans="1:14" x14ac:dyDescent="0.3">
      <c r="A1287" s="1">
        <v>45042</v>
      </c>
      <c r="B1287" t="s">
        <v>30</v>
      </c>
      <c r="C1287" t="s">
        <v>11</v>
      </c>
      <c r="D1287" t="s">
        <v>22</v>
      </c>
      <c r="E1287">
        <v>5</v>
      </c>
      <c r="F1287">
        <v>275</v>
      </c>
      <c r="G1287">
        <v>64.900000000000006</v>
      </c>
      <c r="H1287">
        <v>2023</v>
      </c>
      <c r="I1287" t="s">
        <v>23</v>
      </c>
      <c r="J1287" s="4">
        <v>0.23599999999999999</v>
      </c>
      <c r="K1287" t="s">
        <v>40</v>
      </c>
      <c r="L1287" t="s">
        <v>59</v>
      </c>
      <c r="M1287">
        <v>4</v>
      </c>
      <c r="N1287" t="s">
        <v>62</v>
      </c>
    </row>
    <row r="1288" spans="1:14" x14ac:dyDescent="0.3">
      <c r="A1288" s="1">
        <v>45219</v>
      </c>
      <c r="B1288" t="s">
        <v>30</v>
      </c>
      <c r="C1288" t="s">
        <v>11</v>
      </c>
      <c r="D1288" t="s">
        <v>22</v>
      </c>
      <c r="E1288">
        <v>4</v>
      </c>
      <c r="F1288">
        <v>2656</v>
      </c>
      <c r="G1288">
        <v>687.63</v>
      </c>
      <c r="H1288">
        <v>2023</v>
      </c>
      <c r="I1288" t="s">
        <v>14</v>
      </c>
      <c r="J1288" s="4">
        <v>0.258896837349398</v>
      </c>
      <c r="K1288" t="s">
        <v>40</v>
      </c>
      <c r="L1288" t="s">
        <v>52</v>
      </c>
      <c r="M1288">
        <v>10</v>
      </c>
      <c r="N1288" t="s">
        <v>54</v>
      </c>
    </row>
    <row r="1289" spans="1:14" x14ac:dyDescent="0.3">
      <c r="A1289" s="1">
        <v>44950</v>
      </c>
      <c r="B1289" t="s">
        <v>30</v>
      </c>
      <c r="C1289" t="s">
        <v>11</v>
      </c>
      <c r="D1289" t="s">
        <v>17</v>
      </c>
      <c r="E1289">
        <v>5</v>
      </c>
      <c r="F1289">
        <v>2410</v>
      </c>
      <c r="G1289">
        <v>636.83000000000004</v>
      </c>
      <c r="H1289">
        <v>2023</v>
      </c>
      <c r="I1289" t="s">
        <v>26</v>
      </c>
      <c r="J1289" s="4">
        <v>0.26424481327800797</v>
      </c>
      <c r="K1289" t="s">
        <v>40</v>
      </c>
      <c r="L1289" t="s">
        <v>55</v>
      </c>
      <c r="M1289">
        <v>1</v>
      </c>
      <c r="N1289" t="s">
        <v>65</v>
      </c>
    </row>
    <row r="1290" spans="1:14" x14ac:dyDescent="0.3">
      <c r="A1290" s="1">
        <v>45060</v>
      </c>
      <c r="B1290" t="s">
        <v>30</v>
      </c>
      <c r="C1290" t="s">
        <v>11</v>
      </c>
      <c r="D1290" t="s">
        <v>12</v>
      </c>
      <c r="E1290">
        <v>9</v>
      </c>
      <c r="F1290">
        <v>9702</v>
      </c>
      <c r="G1290">
        <v>2771.49</v>
      </c>
      <c r="H1290">
        <v>2023</v>
      </c>
      <c r="I1290" t="s">
        <v>20</v>
      </c>
      <c r="J1290" s="4">
        <v>0.28566171923314798</v>
      </c>
      <c r="K1290" t="s">
        <v>40</v>
      </c>
      <c r="L1290" t="s">
        <v>59</v>
      </c>
      <c r="M1290">
        <v>5</v>
      </c>
      <c r="N1290" t="s">
        <v>20</v>
      </c>
    </row>
    <row r="1291" spans="1:14" x14ac:dyDescent="0.3">
      <c r="A1291" s="1">
        <v>45416</v>
      </c>
      <c r="B1291" t="s">
        <v>30</v>
      </c>
      <c r="C1291" t="s">
        <v>11</v>
      </c>
      <c r="D1291" t="s">
        <v>17</v>
      </c>
      <c r="E1291">
        <v>2</v>
      </c>
      <c r="F1291">
        <v>1382</v>
      </c>
      <c r="G1291">
        <v>211.11</v>
      </c>
      <c r="H1291">
        <v>2024</v>
      </c>
      <c r="I1291" t="s">
        <v>20</v>
      </c>
      <c r="J1291" s="4">
        <v>0.152756874095514</v>
      </c>
      <c r="K1291" t="s">
        <v>41</v>
      </c>
      <c r="L1291" t="s">
        <v>59</v>
      </c>
      <c r="M1291">
        <v>5</v>
      </c>
      <c r="N1291" t="s">
        <v>20</v>
      </c>
    </row>
    <row r="1292" spans="1:14" x14ac:dyDescent="0.3">
      <c r="A1292" s="1">
        <v>45311</v>
      </c>
      <c r="B1292" t="s">
        <v>30</v>
      </c>
      <c r="C1292" t="s">
        <v>11</v>
      </c>
      <c r="D1292" t="s">
        <v>22</v>
      </c>
      <c r="E1292">
        <v>3</v>
      </c>
      <c r="F1292">
        <v>1557</v>
      </c>
      <c r="G1292">
        <v>181.08</v>
      </c>
      <c r="H1292">
        <v>2024</v>
      </c>
      <c r="I1292" t="s">
        <v>26</v>
      </c>
      <c r="J1292" s="4">
        <v>0.116300578034682</v>
      </c>
      <c r="K1292" t="s">
        <v>41</v>
      </c>
      <c r="L1292" t="s">
        <v>55</v>
      </c>
      <c r="M1292">
        <v>1</v>
      </c>
      <c r="N1292" t="s">
        <v>65</v>
      </c>
    </row>
    <row r="1293" spans="1:14" x14ac:dyDescent="0.3">
      <c r="A1293" s="1">
        <v>45554</v>
      </c>
      <c r="B1293" t="s">
        <v>30</v>
      </c>
      <c r="C1293" t="s">
        <v>11</v>
      </c>
      <c r="D1293" t="s">
        <v>12</v>
      </c>
      <c r="E1293">
        <v>5</v>
      </c>
      <c r="F1293">
        <v>3280</v>
      </c>
      <c r="G1293">
        <v>954.17</v>
      </c>
      <c r="H1293">
        <v>2024</v>
      </c>
      <c r="I1293" t="s">
        <v>21</v>
      </c>
      <c r="J1293" s="4">
        <v>0.29090548780487802</v>
      </c>
      <c r="K1293" t="s">
        <v>41</v>
      </c>
      <c r="L1293" t="s">
        <v>60</v>
      </c>
      <c r="M1293">
        <v>9</v>
      </c>
      <c r="N1293" t="s">
        <v>61</v>
      </c>
    </row>
    <row r="1294" spans="1:14" x14ac:dyDescent="0.3">
      <c r="A1294" s="1">
        <v>45532</v>
      </c>
      <c r="B1294" t="s">
        <v>30</v>
      </c>
      <c r="C1294" t="s">
        <v>11</v>
      </c>
      <c r="D1294" t="s">
        <v>12</v>
      </c>
      <c r="E1294">
        <v>1</v>
      </c>
      <c r="F1294">
        <v>705</v>
      </c>
      <c r="G1294">
        <v>165.16</v>
      </c>
      <c r="H1294">
        <v>2024</v>
      </c>
      <c r="I1294" t="s">
        <v>24</v>
      </c>
      <c r="J1294" s="4">
        <v>0.23426950354609899</v>
      </c>
      <c r="K1294" t="s">
        <v>41</v>
      </c>
      <c r="L1294" t="s">
        <v>60</v>
      </c>
      <c r="M1294">
        <v>8</v>
      </c>
      <c r="N1294" t="s">
        <v>63</v>
      </c>
    </row>
    <row r="1295" spans="1:14" x14ac:dyDescent="0.3">
      <c r="A1295" s="1">
        <v>45593</v>
      </c>
      <c r="B1295" t="s">
        <v>30</v>
      </c>
      <c r="C1295" t="s">
        <v>11</v>
      </c>
      <c r="D1295" t="s">
        <v>17</v>
      </c>
      <c r="E1295">
        <v>7</v>
      </c>
      <c r="F1295">
        <v>728</v>
      </c>
      <c r="G1295">
        <v>64.819999999999993</v>
      </c>
      <c r="H1295">
        <v>2024</v>
      </c>
      <c r="I1295" t="s">
        <v>14</v>
      </c>
      <c r="J1295" s="4">
        <v>8.9038461538461497E-2</v>
      </c>
      <c r="K1295" t="s">
        <v>41</v>
      </c>
      <c r="L1295" t="s">
        <v>52</v>
      </c>
      <c r="M1295">
        <v>10</v>
      </c>
      <c r="N1295" t="s">
        <v>54</v>
      </c>
    </row>
    <row r="1296" spans="1:14" x14ac:dyDescent="0.3">
      <c r="A1296" s="1">
        <v>45525</v>
      </c>
      <c r="B1296" t="s">
        <v>30</v>
      </c>
      <c r="C1296" t="s">
        <v>11</v>
      </c>
      <c r="D1296" t="s">
        <v>12</v>
      </c>
      <c r="E1296">
        <v>5</v>
      </c>
      <c r="F1296">
        <v>3170</v>
      </c>
      <c r="G1296">
        <v>245.25</v>
      </c>
      <c r="H1296">
        <v>2024</v>
      </c>
      <c r="I1296" t="s">
        <v>24</v>
      </c>
      <c r="J1296" s="4">
        <v>7.7365930599369095E-2</v>
      </c>
      <c r="K1296" t="s">
        <v>41</v>
      </c>
      <c r="L1296" t="s">
        <v>60</v>
      </c>
      <c r="M1296">
        <v>8</v>
      </c>
      <c r="N1296" t="s">
        <v>63</v>
      </c>
    </row>
    <row r="1297" spans="1:14" x14ac:dyDescent="0.3">
      <c r="A1297" s="1">
        <v>45508</v>
      </c>
      <c r="B1297" t="s">
        <v>30</v>
      </c>
      <c r="C1297" t="s">
        <v>11</v>
      </c>
      <c r="D1297" t="s">
        <v>19</v>
      </c>
      <c r="E1297">
        <v>6</v>
      </c>
      <c r="F1297">
        <v>5568</v>
      </c>
      <c r="G1297">
        <v>958.59</v>
      </c>
      <c r="H1297">
        <v>2024</v>
      </c>
      <c r="I1297" t="s">
        <v>24</v>
      </c>
      <c r="J1297" s="4">
        <v>0.17216056034482799</v>
      </c>
      <c r="K1297" t="s">
        <v>41</v>
      </c>
      <c r="L1297" t="s">
        <v>60</v>
      </c>
      <c r="M1297">
        <v>8</v>
      </c>
      <c r="N1297" t="s">
        <v>63</v>
      </c>
    </row>
    <row r="1298" spans="1:14" x14ac:dyDescent="0.3">
      <c r="A1298" s="1">
        <v>45389</v>
      </c>
      <c r="B1298" t="s">
        <v>30</v>
      </c>
      <c r="C1298" t="s">
        <v>11</v>
      </c>
      <c r="D1298" t="s">
        <v>17</v>
      </c>
      <c r="E1298">
        <v>7</v>
      </c>
      <c r="F1298">
        <v>1344</v>
      </c>
      <c r="G1298">
        <v>300.88</v>
      </c>
      <c r="H1298">
        <v>2024</v>
      </c>
      <c r="I1298" t="s">
        <v>23</v>
      </c>
      <c r="J1298" s="4">
        <v>0.22386904761904799</v>
      </c>
      <c r="K1298" t="s">
        <v>41</v>
      </c>
      <c r="L1298" t="s">
        <v>59</v>
      </c>
      <c r="M1298">
        <v>4</v>
      </c>
      <c r="N1298" t="s">
        <v>62</v>
      </c>
    </row>
    <row r="1299" spans="1:14" x14ac:dyDescent="0.3">
      <c r="A1299" s="1">
        <v>45549</v>
      </c>
      <c r="B1299" t="s">
        <v>30</v>
      </c>
      <c r="C1299" t="s">
        <v>11</v>
      </c>
      <c r="D1299" t="s">
        <v>19</v>
      </c>
      <c r="E1299">
        <v>6</v>
      </c>
      <c r="F1299">
        <v>5124</v>
      </c>
      <c r="G1299">
        <v>1078.57</v>
      </c>
      <c r="H1299">
        <v>2024</v>
      </c>
      <c r="I1299" t="s">
        <v>21</v>
      </c>
      <c r="J1299" s="4">
        <v>0.21049375487900099</v>
      </c>
      <c r="K1299" t="s">
        <v>41</v>
      </c>
      <c r="L1299" t="s">
        <v>60</v>
      </c>
      <c r="M1299">
        <v>9</v>
      </c>
      <c r="N1299" t="s">
        <v>61</v>
      </c>
    </row>
    <row r="1300" spans="1:14" x14ac:dyDescent="0.3">
      <c r="A1300" s="1">
        <v>45602</v>
      </c>
      <c r="B1300" t="s">
        <v>30</v>
      </c>
      <c r="C1300" t="s">
        <v>11</v>
      </c>
      <c r="D1300" t="s">
        <v>17</v>
      </c>
      <c r="E1300">
        <v>3</v>
      </c>
      <c r="F1300">
        <v>1371</v>
      </c>
      <c r="G1300">
        <v>104.66</v>
      </c>
      <c r="H1300">
        <v>2024</v>
      </c>
      <c r="I1300" t="s">
        <v>18</v>
      </c>
      <c r="J1300" s="4">
        <v>7.63384390955507E-2</v>
      </c>
      <c r="K1300" t="s">
        <v>41</v>
      </c>
      <c r="L1300" t="s">
        <v>52</v>
      </c>
      <c r="M1300">
        <v>11</v>
      </c>
      <c r="N1300" t="s">
        <v>58</v>
      </c>
    </row>
    <row r="1301" spans="1:14" x14ac:dyDescent="0.3">
      <c r="A1301" s="1">
        <v>45523</v>
      </c>
      <c r="B1301" t="s">
        <v>30</v>
      </c>
      <c r="C1301" t="s">
        <v>11</v>
      </c>
      <c r="D1301" t="s">
        <v>19</v>
      </c>
      <c r="E1301">
        <v>8</v>
      </c>
      <c r="F1301">
        <v>3272</v>
      </c>
      <c r="G1301">
        <v>674.57</v>
      </c>
      <c r="H1301">
        <v>2024</v>
      </c>
      <c r="I1301" t="s">
        <v>24</v>
      </c>
      <c r="J1301" s="4">
        <v>0.206164425427873</v>
      </c>
      <c r="K1301" t="s">
        <v>41</v>
      </c>
      <c r="L1301" t="s">
        <v>60</v>
      </c>
      <c r="M1301">
        <v>8</v>
      </c>
      <c r="N1301" t="s">
        <v>63</v>
      </c>
    </row>
    <row r="1302" spans="1:14" x14ac:dyDescent="0.3">
      <c r="A1302" s="1">
        <v>45382</v>
      </c>
      <c r="B1302" t="s">
        <v>30</v>
      </c>
      <c r="C1302" t="s">
        <v>11</v>
      </c>
      <c r="D1302" t="s">
        <v>19</v>
      </c>
      <c r="E1302">
        <v>8</v>
      </c>
      <c r="F1302">
        <v>6952</v>
      </c>
      <c r="G1302">
        <v>871.2</v>
      </c>
      <c r="H1302">
        <v>2024</v>
      </c>
      <c r="I1302" t="s">
        <v>15</v>
      </c>
      <c r="J1302" s="4">
        <v>0.12531645569620301</v>
      </c>
      <c r="K1302" t="s">
        <v>41</v>
      </c>
      <c r="L1302" t="s">
        <v>55</v>
      </c>
      <c r="M1302">
        <v>3</v>
      </c>
      <c r="N1302" t="s">
        <v>56</v>
      </c>
    </row>
    <row r="1303" spans="1:14" x14ac:dyDescent="0.3">
      <c r="A1303" s="1">
        <v>45310</v>
      </c>
      <c r="B1303" t="s">
        <v>30</v>
      </c>
      <c r="C1303" t="s">
        <v>11</v>
      </c>
      <c r="D1303" t="s">
        <v>12</v>
      </c>
      <c r="E1303">
        <v>3</v>
      </c>
      <c r="F1303">
        <v>573</v>
      </c>
      <c r="G1303">
        <v>116.14</v>
      </c>
      <c r="H1303">
        <v>2024</v>
      </c>
      <c r="I1303" t="s">
        <v>26</v>
      </c>
      <c r="J1303" s="4">
        <v>0.20268760907504399</v>
      </c>
      <c r="K1303" t="s">
        <v>41</v>
      </c>
      <c r="L1303" t="s">
        <v>55</v>
      </c>
      <c r="M1303">
        <v>1</v>
      </c>
      <c r="N1303" t="s">
        <v>65</v>
      </c>
    </row>
    <row r="1304" spans="1:14" x14ac:dyDescent="0.3">
      <c r="A1304" s="1">
        <v>45426</v>
      </c>
      <c r="B1304" t="s">
        <v>30</v>
      </c>
      <c r="C1304" t="s">
        <v>11</v>
      </c>
      <c r="D1304" t="s">
        <v>22</v>
      </c>
      <c r="E1304">
        <v>8</v>
      </c>
      <c r="F1304">
        <v>4832</v>
      </c>
      <c r="G1304">
        <v>1261.06</v>
      </c>
      <c r="H1304">
        <v>2024</v>
      </c>
      <c r="I1304" t="s">
        <v>20</v>
      </c>
      <c r="J1304" s="4">
        <v>0.26098096026490097</v>
      </c>
      <c r="K1304" t="s">
        <v>41</v>
      </c>
      <c r="L1304" t="s">
        <v>59</v>
      </c>
      <c r="M1304">
        <v>5</v>
      </c>
      <c r="N1304" t="s">
        <v>20</v>
      </c>
    </row>
    <row r="1305" spans="1:14" x14ac:dyDescent="0.3">
      <c r="A1305" s="1">
        <v>45547</v>
      </c>
      <c r="B1305" t="s">
        <v>30</v>
      </c>
      <c r="C1305" t="s">
        <v>11</v>
      </c>
      <c r="D1305" t="s">
        <v>17</v>
      </c>
      <c r="E1305">
        <v>9</v>
      </c>
      <c r="F1305">
        <v>2853</v>
      </c>
      <c r="G1305">
        <v>353.09</v>
      </c>
      <c r="H1305">
        <v>2024</v>
      </c>
      <c r="I1305" t="s">
        <v>21</v>
      </c>
      <c r="J1305" s="4">
        <v>0.123760953382404</v>
      </c>
      <c r="K1305" t="s">
        <v>41</v>
      </c>
      <c r="L1305" t="s">
        <v>60</v>
      </c>
      <c r="M1305">
        <v>9</v>
      </c>
      <c r="N1305" t="s">
        <v>61</v>
      </c>
    </row>
    <row r="1306" spans="1:14" x14ac:dyDescent="0.3">
      <c r="A1306" s="1">
        <v>45491</v>
      </c>
      <c r="B1306" t="s">
        <v>30</v>
      </c>
      <c r="C1306" t="s">
        <v>11</v>
      </c>
      <c r="D1306" t="s">
        <v>12</v>
      </c>
      <c r="E1306">
        <v>1</v>
      </c>
      <c r="F1306">
        <v>625</v>
      </c>
      <c r="G1306">
        <v>125.9</v>
      </c>
      <c r="H1306">
        <v>2024</v>
      </c>
      <c r="I1306" t="s">
        <v>25</v>
      </c>
      <c r="J1306" s="4">
        <v>0.20144000000000001</v>
      </c>
      <c r="K1306" t="s">
        <v>41</v>
      </c>
      <c r="L1306" t="s">
        <v>60</v>
      </c>
      <c r="M1306">
        <v>7</v>
      </c>
      <c r="N1306" t="s">
        <v>64</v>
      </c>
    </row>
    <row r="1307" spans="1:14" x14ac:dyDescent="0.3">
      <c r="A1307" s="1">
        <v>45427</v>
      </c>
      <c r="B1307" t="s">
        <v>30</v>
      </c>
      <c r="C1307" t="s">
        <v>11</v>
      </c>
      <c r="D1307" t="s">
        <v>19</v>
      </c>
      <c r="E1307">
        <v>8</v>
      </c>
      <c r="F1307">
        <v>4256</v>
      </c>
      <c r="G1307">
        <v>372.95</v>
      </c>
      <c r="H1307">
        <v>2024</v>
      </c>
      <c r="I1307" t="s">
        <v>20</v>
      </c>
      <c r="J1307" s="4">
        <v>8.76292293233083E-2</v>
      </c>
      <c r="K1307" t="s">
        <v>41</v>
      </c>
      <c r="L1307" t="s">
        <v>59</v>
      </c>
      <c r="M1307">
        <v>5</v>
      </c>
      <c r="N1307" t="s">
        <v>20</v>
      </c>
    </row>
    <row r="1308" spans="1:14" x14ac:dyDescent="0.3">
      <c r="A1308" s="1">
        <v>45595</v>
      </c>
      <c r="B1308" t="s">
        <v>30</v>
      </c>
      <c r="C1308" t="s">
        <v>11</v>
      </c>
      <c r="D1308" t="s">
        <v>12</v>
      </c>
      <c r="E1308">
        <v>7</v>
      </c>
      <c r="F1308">
        <v>7672</v>
      </c>
      <c r="G1308">
        <v>2046.38</v>
      </c>
      <c r="H1308">
        <v>2024</v>
      </c>
      <c r="I1308" t="s">
        <v>14</v>
      </c>
      <c r="J1308" s="4">
        <v>0.26673357664233599</v>
      </c>
      <c r="K1308" t="s">
        <v>41</v>
      </c>
      <c r="L1308" t="s">
        <v>52</v>
      </c>
      <c r="M1308">
        <v>10</v>
      </c>
      <c r="N1308" t="s">
        <v>54</v>
      </c>
    </row>
    <row r="1309" spans="1:14" x14ac:dyDescent="0.3">
      <c r="A1309" s="1">
        <v>45424</v>
      </c>
      <c r="B1309" t="s">
        <v>30</v>
      </c>
      <c r="C1309" t="s">
        <v>11</v>
      </c>
      <c r="D1309" t="s">
        <v>12</v>
      </c>
      <c r="E1309">
        <v>1</v>
      </c>
      <c r="F1309">
        <v>380</v>
      </c>
      <c r="G1309">
        <v>94.35</v>
      </c>
      <c r="H1309">
        <v>2024</v>
      </c>
      <c r="I1309" t="s">
        <v>20</v>
      </c>
      <c r="J1309" s="4">
        <v>0.24828947368421</v>
      </c>
      <c r="K1309" t="s">
        <v>41</v>
      </c>
      <c r="L1309" t="s">
        <v>59</v>
      </c>
      <c r="M1309">
        <v>5</v>
      </c>
      <c r="N1309" t="s">
        <v>20</v>
      </c>
    </row>
    <row r="1310" spans="1:14" x14ac:dyDescent="0.3">
      <c r="A1310" s="1">
        <v>45561</v>
      </c>
      <c r="B1310" t="s">
        <v>30</v>
      </c>
      <c r="C1310" t="s">
        <v>11</v>
      </c>
      <c r="D1310" t="s">
        <v>17</v>
      </c>
      <c r="E1310">
        <v>5</v>
      </c>
      <c r="F1310">
        <v>1660</v>
      </c>
      <c r="G1310">
        <v>283.14</v>
      </c>
      <c r="H1310">
        <v>2024</v>
      </c>
      <c r="I1310" t="s">
        <v>21</v>
      </c>
      <c r="J1310" s="4">
        <v>0.170566265060241</v>
      </c>
      <c r="K1310" t="s">
        <v>41</v>
      </c>
      <c r="L1310" t="s">
        <v>60</v>
      </c>
      <c r="M1310">
        <v>9</v>
      </c>
      <c r="N1310" t="s">
        <v>61</v>
      </c>
    </row>
    <row r="1311" spans="1:14" x14ac:dyDescent="0.3">
      <c r="A1311" s="1">
        <v>45363</v>
      </c>
      <c r="B1311" t="s">
        <v>30</v>
      </c>
      <c r="C1311" t="s">
        <v>11</v>
      </c>
      <c r="D1311" t="s">
        <v>12</v>
      </c>
      <c r="E1311">
        <v>9</v>
      </c>
      <c r="F1311">
        <v>1062</v>
      </c>
      <c r="G1311">
        <v>73.58</v>
      </c>
      <c r="H1311">
        <v>2024</v>
      </c>
      <c r="I1311" t="s">
        <v>15</v>
      </c>
      <c r="J1311" s="4">
        <v>6.9284369114877606E-2</v>
      </c>
      <c r="K1311" t="s">
        <v>41</v>
      </c>
      <c r="L1311" t="s">
        <v>55</v>
      </c>
      <c r="M1311">
        <v>3</v>
      </c>
      <c r="N1311" t="s">
        <v>56</v>
      </c>
    </row>
    <row r="1312" spans="1:14" x14ac:dyDescent="0.3">
      <c r="A1312" s="1">
        <v>45390</v>
      </c>
      <c r="B1312" t="s">
        <v>30</v>
      </c>
      <c r="C1312" t="s">
        <v>11</v>
      </c>
      <c r="D1312" t="s">
        <v>17</v>
      </c>
      <c r="E1312">
        <v>7</v>
      </c>
      <c r="F1312">
        <v>6279</v>
      </c>
      <c r="G1312">
        <v>1689.55</v>
      </c>
      <c r="H1312">
        <v>2024</v>
      </c>
      <c r="I1312" t="s">
        <v>23</v>
      </c>
      <c r="J1312" s="4">
        <v>0.26907947125338399</v>
      </c>
      <c r="K1312" t="s">
        <v>41</v>
      </c>
      <c r="L1312" t="s">
        <v>59</v>
      </c>
      <c r="M1312">
        <v>4</v>
      </c>
      <c r="N1312" t="s">
        <v>62</v>
      </c>
    </row>
    <row r="1313" spans="1:14" x14ac:dyDescent="0.3">
      <c r="A1313" s="1">
        <v>45499</v>
      </c>
      <c r="B1313" t="s">
        <v>30</v>
      </c>
      <c r="C1313" t="s">
        <v>11</v>
      </c>
      <c r="D1313" t="s">
        <v>19</v>
      </c>
      <c r="E1313">
        <v>1</v>
      </c>
      <c r="F1313">
        <v>687</v>
      </c>
      <c r="G1313">
        <v>62.82</v>
      </c>
      <c r="H1313">
        <v>2024</v>
      </c>
      <c r="I1313" t="s">
        <v>25</v>
      </c>
      <c r="J1313" s="4">
        <v>9.1441048034934497E-2</v>
      </c>
      <c r="K1313" t="s">
        <v>41</v>
      </c>
      <c r="L1313" t="s">
        <v>60</v>
      </c>
      <c r="M1313">
        <v>7</v>
      </c>
      <c r="N1313" t="s">
        <v>64</v>
      </c>
    </row>
    <row r="1314" spans="1:14" x14ac:dyDescent="0.3">
      <c r="A1314" s="1">
        <v>45419</v>
      </c>
      <c r="B1314" t="s">
        <v>30</v>
      </c>
      <c r="C1314" t="s">
        <v>11</v>
      </c>
      <c r="D1314" t="s">
        <v>12</v>
      </c>
      <c r="E1314">
        <v>7</v>
      </c>
      <c r="F1314">
        <v>7280</v>
      </c>
      <c r="G1314">
        <v>1450.82</v>
      </c>
      <c r="H1314">
        <v>2024</v>
      </c>
      <c r="I1314" t="s">
        <v>20</v>
      </c>
      <c r="J1314" s="4">
        <v>0.199288461538462</v>
      </c>
      <c r="K1314" t="s">
        <v>41</v>
      </c>
      <c r="L1314" t="s">
        <v>59</v>
      </c>
      <c r="M1314">
        <v>5</v>
      </c>
      <c r="N1314" t="s">
        <v>20</v>
      </c>
    </row>
    <row r="1315" spans="1:14" x14ac:dyDescent="0.3">
      <c r="A1315" s="1">
        <v>45478</v>
      </c>
      <c r="B1315" t="s">
        <v>30</v>
      </c>
      <c r="C1315" t="s">
        <v>11</v>
      </c>
      <c r="D1315" t="s">
        <v>19</v>
      </c>
      <c r="E1315">
        <v>3</v>
      </c>
      <c r="F1315">
        <v>3183</v>
      </c>
      <c r="G1315">
        <v>868.73</v>
      </c>
      <c r="H1315">
        <v>2024</v>
      </c>
      <c r="I1315" t="s">
        <v>25</v>
      </c>
      <c r="J1315" s="4">
        <v>0.27292805529374797</v>
      </c>
      <c r="K1315" t="s">
        <v>41</v>
      </c>
      <c r="L1315" t="s">
        <v>60</v>
      </c>
      <c r="M1315">
        <v>7</v>
      </c>
      <c r="N1315" t="s">
        <v>64</v>
      </c>
    </row>
    <row r="1316" spans="1:14" x14ac:dyDescent="0.3">
      <c r="A1316" s="1">
        <v>45503</v>
      </c>
      <c r="B1316" t="s">
        <v>30</v>
      </c>
      <c r="C1316" t="s">
        <v>11</v>
      </c>
      <c r="D1316" t="s">
        <v>22</v>
      </c>
      <c r="E1316">
        <v>4</v>
      </c>
      <c r="F1316">
        <v>2708</v>
      </c>
      <c r="G1316">
        <v>302.14</v>
      </c>
      <c r="H1316">
        <v>2024</v>
      </c>
      <c r="I1316" t="s">
        <v>25</v>
      </c>
      <c r="J1316" s="4">
        <v>0.111573116691285</v>
      </c>
      <c r="K1316" t="s">
        <v>41</v>
      </c>
      <c r="L1316" t="s">
        <v>60</v>
      </c>
      <c r="M1316">
        <v>7</v>
      </c>
      <c r="N1316" t="s">
        <v>64</v>
      </c>
    </row>
    <row r="1317" spans="1:14" x14ac:dyDescent="0.3">
      <c r="A1317" s="1">
        <v>45617</v>
      </c>
      <c r="B1317" t="s">
        <v>30</v>
      </c>
      <c r="C1317" t="s">
        <v>11</v>
      </c>
      <c r="D1317" t="s">
        <v>17</v>
      </c>
      <c r="E1317">
        <v>7</v>
      </c>
      <c r="F1317">
        <v>5096</v>
      </c>
      <c r="G1317">
        <v>971.5</v>
      </c>
      <c r="H1317">
        <v>2024</v>
      </c>
      <c r="I1317" t="s">
        <v>18</v>
      </c>
      <c r="J1317" s="4">
        <v>0.19063971742543201</v>
      </c>
      <c r="K1317" t="s">
        <v>41</v>
      </c>
      <c r="L1317" t="s">
        <v>52</v>
      </c>
      <c r="M1317">
        <v>11</v>
      </c>
      <c r="N1317" t="s">
        <v>58</v>
      </c>
    </row>
    <row r="1318" spans="1:14" x14ac:dyDescent="0.3">
      <c r="A1318" s="1">
        <v>45339</v>
      </c>
      <c r="B1318" t="s">
        <v>30</v>
      </c>
      <c r="C1318" t="s">
        <v>11</v>
      </c>
      <c r="D1318" t="s">
        <v>12</v>
      </c>
      <c r="E1318">
        <v>2</v>
      </c>
      <c r="F1318">
        <v>1486</v>
      </c>
      <c r="G1318">
        <v>233.7</v>
      </c>
      <c r="H1318">
        <v>2024</v>
      </c>
      <c r="I1318" t="s">
        <v>16</v>
      </c>
      <c r="J1318" s="4">
        <v>0.15726783310901801</v>
      </c>
      <c r="K1318" t="s">
        <v>41</v>
      </c>
      <c r="L1318" t="s">
        <v>55</v>
      </c>
      <c r="M1318">
        <v>2</v>
      </c>
      <c r="N1318" t="s">
        <v>57</v>
      </c>
    </row>
    <row r="1319" spans="1:14" x14ac:dyDescent="0.3">
      <c r="A1319" s="1">
        <v>45450</v>
      </c>
      <c r="B1319" t="s">
        <v>30</v>
      </c>
      <c r="C1319" t="s">
        <v>11</v>
      </c>
      <c r="D1319" t="s">
        <v>17</v>
      </c>
      <c r="E1319">
        <v>2</v>
      </c>
      <c r="F1319">
        <v>256</v>
      </c>
      <c r="G1319">
        <v>35.659999999999997</v>
      </c>
      <c r="H1319">
        <v>2024</v>
      </c>
      <c r="I1319" t="s">
        <v>27</v>
      </c>
      <c r="J1319" s="4">
        <v>0.13929687499999999</v>
      </c>
      <c r="K1319" t="s">
        <v>41</v>
      </c>
      <c r="L1319" t="s">
        <v>59</v>
      </c>
      <c r="M1319">
        <v>6</v>
      </c>
      <c r="N1319" t="s">
        <v>66</v>
      </c>
    </row>
    <row r="1320" spans="1:14" x14ac:dyDescent="0.3">
      <c r="A1320" s="1">
        <v>45478</v>
      </c>
      <c r="B1320" t="s">
        <v>30</v>
      </c>
      <c r="C1320" t="s">
        <v>11</v>
      </c>
      <c r="D1320" t="s">
        <v>22</v>
      </c>
      <c r="E1320">
        <v>4</v>
      </c>
      <c r="F1320">
        <v>3724</v>
      </c>
      <c r="G1320">
        <v>276.85000000000002</v>
      </c>
      <c r="H1320">
        <v>2024</v>
      </c>
      <c r="I1320" t="s">
        <v>25</v>
      </c>
      <c r="J1320" s="4">
        <v>7.4342105263157904E-2</v>
      </c>
      <c r="K1320" t="s">
        <v>41</v>
      </c>
      <c r="L1320" t="s">
        <v>60</v>
      </c>
      <c r="M1320">
        <v>7</v>
      </c>
      <c r="N1320" t="s">
        <v>64</v>
      </c>
    </row>
    <row r="1321" spans="1:14" x14ac:dyDescent="0.3">
      <c r="A1321" s="1">
        <v>45296</v>
      </c>
      <c r="B1321" t="s">
        <v>30</v>
      </c>
      <c r="C1321" t="s">
        <v>11</v>
      </c>
      <c r="D1321" t="s">
        <v>12</v>
      </c>
      <c r="E1321">
        <v>9</v>
      </c>
      <c r="F1321">
        <v>9783</v>
      </c>
      <c r="G1321">
        <v>2347.4899999999998</v>
      </c>
      <c r="H1321">
        <v>2024</v>
      </c>
      <c r="I1321" t="s">
        <v>26</v>
      </c>
      <c r="J1321" s="4">
        <v>0.239956046202596</v>
      </c>
      <c r="K1321" t="s">
        <v>41</v>
      </c>
      <c r="L1321" t="s">
        <v>55</v>
      </c>
      <c r="M1321">
        <v>1</v>
      </c>
      <c r="N1321" t="s">
        <v>65</v>
      </c>
    </row>
    <row r="1322" spans="1:14" x14ac:dyDescent="0.3">
      <c r="A1322" s="1">
        <v>45341</v>
      </c>
      <c r="B1322" t="s">
        <v>30</v>
      </c>
      <c r="C1322" t="s">
        <v>11</v>
      </c>
      <c r="D1322" t="s">
        <v>19</v>
      </c>
      <c r="E1322">
        <v>3</v>
      </c>
      <c r="F1322">
        <v>3021</v>
      </c>
      <c r="G1322">
        <v>763.99</v>
      </c>
      <c r="H1322">
        <v>2024</v>
      </c>
      <c r="I1322" t="s">
        <v>16</v>
      </c>
      <c r="J1322" s="4">
        <v>0.252893081761006</v>
      </c>
      <c r="K1322" t="s">
        <v>41</v>
      </c>
      <c r="L1322" t="s">
        <v>55</v>
      </c>
      <c r="M1322">
        <v>2</v>
      </c>
      <c r="N1322" t="s">
        <v>57</v>
      </c>
    </row>
    <row r="1323" spans="1:14" x14ac:dyDescent="0.3">
      <c r="A1323" s="1">
        <v>45443</v>
      </c>
      <c r="B1323" t="s">
        <v>30</v>
      </c>
      <c r="C1323" t="s">
        <v>11</v>
      </c>
      <c r="D1323" t="s">
        <v>17</v>
      </c>
      <c r="E1323">
        <v>5</v>
      </c>
      <c r="F1323">
        <v>3225</v>
      </c>
      <c r="G1323">
        <v>523.32000000000005</v>
      </c>
      <c r="H1323">
        <v>2024</v>
      </c>
      <c r="I1323" t="s">
        <v>20</v>
      </c>
      <c r="J1323" s="4">
        <v>0.16226976744186</v>
      </c>
      <c r="K1323" t="s">
        <v>41</v>
      </c>
      <c r="L1323" t="s">
        <v>59</v>
      </c>
      <c r="M1323">
        <v>5</v>
      </c>
      <c r="N1323" t="s">
        <v>20</v>
      </c>
    </row>
    <row r="1324" spans="1:14" x14ac:dyDescent="0.3">
      <c r="A1324" s="1">
        <v>45458</v>
      </c>
      <c r="B1324" t="s">
        <v>30</v>
      </c>
      <c r="C1324" t="s">
        <v>11</v>
      </c>
      <c r="D1324" t="s">
        <v>19</v>
      </c>
      <c r="E1324">
        <v>4</v>
      </c>
      <c r="F1324">
        <v>576</v>
      </c>
      <c r="G1324">
        <v>156.59</v>
      </c>
      <c r="H1324">
        <v>2024</v>
      </c>
      <c r="I1324" t="s">
        <v>27</v>
      </c>
      <c r="J1324" s="4">
        <v>0.27185763888888897</v>
      </c>
      <c r="K1324" t="s">
        <v>41</v>
      </c>
      <c r="L1324" t="s">
        <v>59</v>
      </c>
      <c r="M1324">
        <v>6</v>
      </c>
      <c r="N1324" t="s">
        <v>66</v>
      </c>
    </row>
    <row r="1325" spans="1:14" x14ac:dyDescent="0.3">
      <c r="A1325" s="1">
        <v>45612</v>
      </c>
      <c r="B1325" t="s">
        <v>30</v>
      </c>
      <c r="C1325" t="s">
        <v>11</v>
      </c>
      <c r="D1325" t="s">
        <v>12</v>
      </c>
      <c r="E1325">
        <v>7</v>
      </c>
      <c r="F1325">
        <v>6587</v>
      </c>
      <c r="G1325">
        <v>1173.9100000000001</v>
      </c>
      <c r="H1325">
        <v>2024</v>
      </c>
      <c r="I1325" t="s">
        <v>18</v>
      </c>
      <c r="J1325" s="4">
        <v>0.178216183391529</v>
      </c>
      <c r="K1325" t="s">
        <v>41</v>
      </c>
      <c r="L1325" t="s">
        <v>52</v>
      </c>
      <c r="M1325">
        <v>11</v>
      </c>
      <c r="N1325" t="s">
        <v>58</v>
      </c>
    </row>
    <row r="1326" spans="1:14" x14ac:dyDescent="0.3">
      <c r="A1326" s="1">
        <v>45424</v>
      </c>
      <c r="B1326" t="s">
        <v>30</v>
      </c>
      <c r="C1326" t="s">
        <v>11</v>
      </c>
      <c r="D1326" t="s">
        <v>17</v>
      </c>
      <c r="E1326">
        <v>5</v>
      </c>
      <c r="F1326">
        <v>1540</v>
      </c>
      <c r="G1326">
        <v>411.83</v>
      </c>
      <c r="H1326">
        <v>2024</v>
      </c>
      <c r="I1326" t="s">
        <v>20</v>
      </c>
      <c r="J1326" s="4">
        <v>0.26742207792207801</v>
      </c>
      <c r="K1326" t="s">
        <v>41</v>
      </c>
      <c r="L1326" t="s">
        <v>59</v>
      </c>
      <c r="M1326">
        <v>5</v>
      </c>
      <c r="N1326" t="s">
        <v>20</v>
      </c>
    </row>
    <row r="1327" spans="1:14" x14ac:dyDescent="0.3">
      <c r="A1327" s="1">
        <v>45614</v>
      </c>
      <c r="B1327" t="s">
        <v>30</v>
      </c>
      <c r="C1327" t="s">
        <v>11</v>
      </c>
      <c r="D1327" t="s">
        <v>19</v>
      </c>
      <c r="E1327">
        <v>3</v>
      </c>
      <c r="F1327">
        <v>1773</v>
      </c>
      <c r="G1327">
        <v>183.15</v>
      </c>
      <c r="H1327">
        <v>2024</v>
      </c>
      <c r="I1327" t="s">
        <v>18</v>
      </c>
      <c r="J1327" s="4">
        <v>0.10329949238578701</v>
      </c>
      <c r="K1327" t="s">
        <v>41</v>
      </c>
      <c r="L1327" t="s">
        <v>52</v>
      </c>
      <c r="M1327">
        <v>11</v>
      </c>
      <c r="N1327" t="s">
        <v>58</v>
      </c>
    </row>
    <row r="1328" spans="1:14" x14ac:dyDescent="0.3">
      <c r="A1328" s="1">
        <v>45359</v>
      </c>
      <c r="B1328" t="s">
        <v>30</v>
      </c>
      <c r="C1328" t="s">
        <v>11</v>
      </c>
      <c r="D1328" t="s">
        <v>22</v>
      </c>
      <c r="E1328">
        <v>7</v>
      </c>
      <c r="F1328">
        <v>469</v>
      </c>
      <c r="G1328">
        <v>47.4</v>
      </c>
      <c r="H1328">
        <v>2024</v>
      </c>
      <c r="I1328" t="s">
        <v>15</v>
      </c>
      <c r="J1328" s="4">
        <v>0.101066098081023</v>
      </c>
      <c r="K1328" t="s">
        <v>41</v>
      </c>
      <c r="L1328" t="s">
        <v>55</v>
      </c>
      <c r="M1328">
        <v>3</v>
      </c>
      <c r="N1328" t="s">
        <v>56</v>
      </c>
    </row>
    <row r="1329" spans="1:14" x14ac:dyDescent="0.3">
      <c r="A1329" s="1">
        <v>45564</v>
      </c>
      <c r="B1329" t="s">
        <v>30</v>
      </c>
      <c r="C1329" t="s">
        <v>11</v>
      </c>
      <c r="D1329" t="s">
        <v>17</v>
      </c>
      <c r="E1329">
        <v>1</v>
      </c>
      <c r="F1329">
        <v>450</v>
      </c>
      <c r="G1329">
        <v>75.89</v>
      </c>
      <c r="H1329">
        <v>2024</v>
      </c>
      <c r="I1329" t="s">
        <v>21</v>
      </c>
      <c r="J1329" s="4">
        <v>0.16864444444444401</v>
      </c>
      <c r="K1329" t="s">
        <v>41</v>
      </c>
      <c r="L1329" t="s">
        <v>60</v>
      </c>
      <c r="M1329">
        <v>9</v>
      </c>
      <c r="N1329" t="s">
        <v>61</v>
      </c>
    </row>
    <row r="1330" spans="1:14" x14ac:dyDescent="0.3">
      <c r="A1330" s="1">
        <v>45370</v>
      </c>
      <c r="B1330" t="s">
        <v>30</v>
      </c>
      <c r="C1330" t="s">
        <v>11</v>
      </c>
      <c r="D1330" t="s">
        <v>22</v>
      </c>
      <c r="E1330">
        <v>5</v>
      </c>
      <c r="F1330">
        <v>1385</v>
      </c>
      <c r="G1330">
        <v>165.55</v>
      </c>
      <c r="H1330">
        <v>2024</v>
      </c>
      <c r="I1330" t="s">
        <v>15</v>
      </c>
      <c r="J1330" s="4">
        <v>0.119530685920578</v>
      </c>
      <c r="K1330" t="s">
        <v>41</v>
      </c>
      <c r="L1330" t="s">
        <v>55</v>
      </c>
      <c r="M1330">
        <v>3</v>
      </c>
      <c r="N1330" t="s">
        <v>56</v>
      </c>
    </row>
    <row r="1331" spans="1:14" x14ac:dyDescent="0.3">
      <c r="A1331" s="1">
        <v>45411</v>
      </c>
      <c r="B1331" t="s">
        <v>30</v>
      </c>
      <c r="C1331" t="s">
        <v>11</v>
      </c>
      <c r="D1331" t="s">
        <v>12</v>
      </c>
      <c r="E1331">
        <v>6</v>
      </c>
      <c r="F1331">
        <v>2520</v>
      </c>
      <c r="G1331">
        <v>182.59</v>
      </c>
      <c r="H1331">
        <v>2024</v>
      </c>
      <c r="I1331" t="s">
        <v>23</v>
      </c>
      <c r="J1331" s="4">
        <v>7.2456349206349205E-2</v>
      </c>
      <c r="K1331" t="s">
        <v>41</v>
      </c>
      <c r="L1331" t="s">
        <v>59</v>
      </c>
      <c r="M1331">
        <v>4</v>
      </c>
      <c r="N1331" t="s">
        <v>62</v>
      </c>
    </row>
    <row r="1332" spans="1:14" x14ac:dyDescent="0.3">
      <c r="A1332" s="1">
        <v>45339</v>
      </c>
      <c r="B1332" t="s">
        <v>30</v>
      </c>
      <c r="C1332" t="s">
        <v>11</v>
      </c>
      <c r="D1332" t="s">
        <v>22</v>
      </c>
      <c r="E1332">
        <v>1</v>
      </c>
      <c r="F1332">
        <v>454</v>
      </c>
      <c r="G1332">
        <v>58.4</v>
      </c>
      <c r="H1332">
        <v>2024</v>
      </c>
      <c r="I1332" t="s">
        <v>16</v>
      </c>
      <c r="J1332" s="4">
        <v>0.12863436123347999</v>
      </c>
      <c r="K1332" t="s">
        <v>41</v>
      </c>
      <c r="L1332" t="s">
        <v>55</v>
      </c>
      <c r="M1332">
        <v>2</v>
      </c>
      <c r="N1332" t="s">
        <v>57</v>
      </c>
    </row>
    <row r="1333" spans="1:14" x14ac:dyDescent="0.3">
      <c r="A1333" s="1">
        <v>45637</v>
      </c>
      <c r="B1333" t="s">
        <v>30</v>
      </c>
      <c r="C1333" t="s">
        <v>11</v>
      </c>
      <c r="D1333" t="s">
        <v>19</v>
      </c>
      <c r="E1333">
        <v>1</v>
      </c>
      <c r="F1333">
        <v>918</v>
      </c>
      <c r="G1333">
        <v>180.31</v>
      </c>
      <c r="H1333">
        <v>2024</v>
      </c>
      <c r="I1333" t="s">
        <v>13</v>
      </c>
      <c r="J1333" s="4">
        <v>0.19641612200435701</v>
      </c>
      <c r="K1333" t="s">
        <v>41</v>
      </c>
      <c r="L1333" t="s">
        <v>52</v>
      </c>
      <c r="M1333">
        <v>12</v>
      </c>
      <c r="N1333" t="s">
        <v>53</v>
      </c>
    </row>
    <row r="1334" spans="1:14" x14ac:dyDescent="0.3">
      <c r="A1334" s="1">
        <v>45410</v>
      </c>
      <c r="B1334" t="s">
        <v>30</v>
      </c>
      <c r="C1334" t="s">
        <v>11</v>
      </c>
      <c r="D1334" t="s">
        <v>22</v>
      </c>
      <c r="E1334">
        <v>1</v>
      </c>
      <c r="F1334">
        <v>636</v>
      </c>
      <c r="G1334">
        <v>169.24</v>
      </c>
      <c r="H1334">
        <v>2024</v>
      </c>
      <c r="I1334" t="s">
        <v>23</v>
      </c>
      <c r="J1334" s="4">
        <v>0.26610062893081798</v>
      </c>
      <c r="K1334" t="s">
        <v>41</v>
      </c>
      <c r="L1334" t="s">
        <v>59</v>
      </c>
      <c r="M1334">
        <v>4</v>
      </c>
      <c r="N1334" t="s">
        <v>62</v>
      </c>
    </row>
    <row r="1335" spans="1:14" x14ac:dyDescent="0.3">
      <c r="A1335" s="1">
        <v>45555</v>
      </c>
      <c r="B1335" t="s">
        <v>30</v>
      </c>
      <c r="C1335" t="s">
        <v>11</v>
      </c>
      <c r="D1335" t="s">
        <v>17</v>
      </c>
      <c r="E1335">
        <v>1</v>
      </c>
      <c r="F1335">
        <v>749</v>
      </c>
      <c r="G1335">
        <v>68.17</v>
      </c>
      <c r="H1335">
        <v>2024</v>
      </c>
      <c r="I1335" t="s">
        <v>21</v>
      </c>
      <c r="J1335" s="4">
        <v>9.1014686248331103E-2</v>
      </c>
      <c r="K1335" t="s">
        <v>41</v>
      </c>
      <c r="L1335" t="s">
        <v>60</v>
      </c>
      <c r="M1335">
        <v>9</v>
      </c>
      <c r="N1335" t="s">
        <v>61</v>
      </c>
    </row>
    <row r="1336" spans="1:14" x14ac:dyDescent="0.3">
      <c r="A1336" s="1">
        <v>45650</v>
      </c>
      <c r="B1336" t="s">
        <v>30</v>
      </c>
      <c r="C1336" t="s">
        <v>11</v>
      </c>
      <c r="D1336" t="s">
        <v>17</v>
      </c>
      <c r="E1336">
        <v>2</v>
      </c>
      <c r="F1336">
        <v>1584</v>
      </c>
      <c r="G1336">
        <v>406.25</v>
      </c>
      <c r="H1336">
        <v>2024</v>
      </c>
      <c r="I1336" t="s">
        <v>13</v>
      </c>
      <c r="J1336" s="4">
        <v>0.25647095959596</v>
      </c>
      <c r="K1336" t="s">
        <v>41</v>
      </c>
      <c r="L1336" t="s">
        <v>52</v>
      </c>
      <c r="M1336">
        <v>12</v>
      </c>
      <c r="N1336" t="s">
        <v>53</v>
      </c>
    </row>
    <row r="1337" spans="1:14" x14ac:dyDescent="0.3">
      <c r="A1337" s="1">
        <v>45356</v>
      </c>
      <c r="B1337" t="s">
        <v>30</v>
      </c>
      <c r="C1337" t="s">
        <v>11</v>
      </c>
      <c r="D1337" t="s">
        <v>19</v>
      </c>
      <c r="E1337">
        <v>7</v>
      </c>
      <c r="F1337">
        <v>4704</v>
      </c>
      <c r="G1337">
        <v>513.14</v>
      </c>
      <c r="H1337">
        <v>2024</v>
      </c>
      <c r="I1337" t="s">
        <v>15</v>
      </c>
      <c r="J1337" s="4">
        <v>0.109085884353741</v>
      </c>
      <c r="K1337" t="s">
        <v>41</v>
      </c>
      <c r="L1337" t="s">
        <v>55</v>
      </c>
      <c r="M1337">
        <v>3</v>
      </c>
      <c r="N1337" t="s">
        <v>56</v>
      </c>
    </row>
    <row r="1338" spans="1:14" x14ac:dyDescent="0.3">
      <c r="A1338" s="1">
        <v>45398</v>
      </c>
      <c r="B1338" t="s">
        <v>30</v>
      </c>
      <c r="C1338" t="s">
        <v>11</v>
      </c>
      <c r="D1338" t="s">
        <v>17</v>
      </c>
      <c r="E1338">
        <v>1</v>
      </c>
      <c r="F1338">
        <v>330</v>
      </c>
      <c r="G1338">
        <v>53.42</v>
      </c>
      <c r="H1338">
        <v>2024</v>
      </c>
      <c r="I1338" t="s">
        <v>23</v>
      </c>
      <c r="J1338" s="4">
        <v>0.16187878787878801</v>
      </c>
      <c r="K1338" t="s">
        <v>41</v>
      </c>
      <c r="L1338" t="s">
        <v>59</v>
      </c>
      <c r="M1338">
        <v>4</v>
      </c>
      <c r="N1338" t="s">
        <v>62</v>
      </c>
    </row>
    <row r="1339" spans="1:14" x14ac:dyDescent="0.3">
      <c r="A1339" s="1">
        <v>45304</v>
      </c>
      <c r="B1339" t="s">
        <v>30</v>
      </c>
      <c r="C1339" t="s">
        <v>11</v>
      </c>
      <c r="D1339" t="s">
        <v>17</v>
      </c>
      <c r="E1339">
        <v>1</v>
      </c>
      <c r="F1339">
        <v>1038</v>
      </c>
      <c r="G1339">
        <v>63.23</v>
      </c>
      <c r="H1339">
        <v>2024</v>
      </c>
      <c r="I1339" t="s">
        <v>26</v>
      </c>
      <c r="J1339" s="4">
        <v>6.0915221579961501E-2</v>
      </c>
      <c r="K1339" t="s">
        <v>41</v>
      </c>
      <c r="L1339" t="s">
        <v>55</v>
      </c>
      <c r="M1339">
        <v>1</v>
      </c>
      <c r="N1339" t="s">
        <v>65</v>
      </c>
    </row>
    <row r="1340" spans="1:14" x14ac:dyDescent="0.3">
      <c r="A1340" s="1">
        <v>45335</v>
      </c>
      <c r="B1340" t="s">
        <v>30</v>
      </c>
      <c r="C1340" t="s">
        <v>11</v>
      </c>
      <c r="D1340" t="s">
        <v>22</v>
      </c>
      <c r="E1340">
        <v>5</v>
      </c>
      <c r="F1340">
        <v>2000</v>
      </c>
      <c r="G1340">
        <v>232.41</v>
      </c>
      <c r="H1340">
        <v>2024</v>
      </c>
      <c r="I1340" t="s">
        <v>16</v>
      </c>
      <c r="J1340" s="4">
        <v>0.116205</v>
      </c>
      <c r="K1340" t="s">
        <v>41</v>
      </c>
      <c r="L1340" t="s">
        <v>55</v>
      </c>
      <c r="M1340">
        <v>2</v>
      </c>
      <c r="N1340" t="s">
        <v>57</v>
      </c>
    </row>
    <row r="1341" spans="1:14" x14ac:dyDescent="0.3">
      <c r="A1341" s="1">
        <v>45318</v>
      </c>
      <c r="B1341" t="s">
        <v>30</v>
      </c>
      <c r="C1341" t="s">
        <v>11</v>
      </c>
      <c r="D1341" t="s">
        <v>19</v>
      </c>
      <c r="E1341">
        <v>9</v>
      </c>
      <c r="F1341">
        <v>2763</v>
      </c>
      <c r="G1341">
        <v>676.25</v>
      </c>
      <c r="H1341">
        <v>2024</v>
      </c>
      <c r="I1341" t="s">
        <v>26</v>
      </c>
      <c r="J1341" s="4">
        <v>0.244752081071299</v>
      </c>
      <c r="K1341" t="s">
        <v>41</v>
      </c>
      <c r="L1341" t="s">
        <v>55</v>
      </c>
      <c r="M1341">
        <v>1</v>
      </c>
      <c r="N1341" t="s">
        <v>65</v>
      </c>
    </row>
    <row r="1342" spans="1:14" x14ac:dyDescent="0.3">
      <c r="A1342" s="1">
        <v>45343</v>
      </c>
      <c r="B1342" t="s">
        <v>30</v>
      </c>
      <c r="C1342" t="s">
        <v>11</v>
      </c>
      <c r="D1342" t="s">
        <v>12</v>
      </c>
      <c r="E1342">
        <v>5</v>
      </c>
      <c r="F1342">
        <v>2670</v>
      </c>
      <c r="G1342">
        <v>155.88999999999999</v>
      </c>
      <c r="H1342">
        <v>2024</v>
      </c>
      <c r="I1342" t="s">
        <v>16</v>
      </c>
      <c r="J1342" s="4">
        <v>5.8385767790262201E-2</v>
      </c>
      <c r="K1342" t="s">
        <v>41</v>
      </c>
      <c r="L1342" t="s">
        <v>55</v>
      </c>
      <c r="M1342">
        <v>2</v>
      </c>
      <c r="N1342" t="s">
        <v>57</v>
      </c>
    </row>
    <row r="1343" spans="1:14" x14ac:dyDescent="0.3">
      <c r="A1343" s="1">
        <v>45459</v>
      </c>
      <c r="B1343" t="s">
        <v>30</v>
      </c>
      <c r="C1343" t="s">
        <v>11</v>
      </c>
      <c r="D1343" t="s">
        <v>12</v>
      </c>
      <c r="E1343">
        <v>7</v>
      </c>
      <c r="F1343">
        <v>1092</v>
      </c>
      <c r="G1343">
        <v>274.77</v>
      </c>
      <c r="H1343">
        <v>2024</v>
      </c>
      <c r="I1343" t="s">
        <v>27</v>
      </c>
      <c r="J1343" s="4">
        <v>0.25162087912087899</v>
      </c>
      <c r="K1343" t="s">
        <v>41</v>
      </c>
      <c r="L1343" t="s">
        <v>59</v>
      </c>
      <c r="M1343">
        <v>6</v>
      </c>
      <c r="N1343" t="s">
        <v>66</v>
      </c>
    </row>
    <row r="1344" spans="1:14" x14ac:dyDescent="0.3">
      <c r="A1344" s="1">
        <v>45655</v>
      </c>
      <c r="B1344" t="s">
        <v>30</v>
      </c>
      <c r="C1344" t="s">
        <v>11</v>
      </c>
      <c r="D1344" t="s">
        <v>22</v>
      </c>
      <c r="E1344">
        <v>6</v>
      </c>
      <c r="F1344">
        <v>2364</v>
      </c>
      <c r="G1344">
        <v>639.29</v>
      </c>
      <c r="H1344">
        <v>2024</v>
      </c>
      <c r="I1344" t="s">
        <v>13</v>
      </c>
      <c r="J1344" s="4">
        <v>0.27042724196277501</v>
      </c>
      <c r="K1344" t="s">
        <v>41</v>
      </c>
      <c r="L1344" t="s">
        <v>52</v>
      </c>
      <c r="M1344">
        <v>12</v>
      </c>
      <c r="N1344" t="s">
        <v>53</v>
      </c>
    </row>
    <row r="1345" spans="1:14" x14ac:dyDescent="0.3">
      <c r="A1345" s="1">
        <v>45490</v>
      </c>
      <c r="B1345" t="s">
        <v>30</v>
      </c>
      <c r="C1345" t="s">
        <v>11</v>
      </c>
      <c r="D1345" t="s">
        <v>22</v>
      </c>
      <c r="E1345">
        <v>4</v>
      </c>
      <c r="F1345">
        <v>3244</v>
      </c>
      <c r="G1345">
        <v>357.55</v>
      </c>
      <c r="H1345">
        <v>2024</v>
      </c>
      <c r="I1345" t="s">
        <v>25</v>
      </c>
      <c r="J1345" s="4">
        <v>0.110218865598027</v>
      </c>
      <c r="K1345" t="s">
        <v>41</v>
      </c>
      <c r="L1345" t="s">
        <v>60</v>
      </c>
      <c r="M1345">
        <v>7</v>
      </c>
      <c r="N1345" t="s">
        <v>64</v>
      </c>
    </row>
    <row r="1346" spans="1:14" x14ac:dyDescent="0.3">
      <c r="A1346" s="1">
        <v>45308</v>
      </c>
      <c r="B1346" t="s">
        <v>30</v>
      </c>
      <c r="C1346" t="s">
        <v>11</v>
      </c>
      <c r="D1346" t="s">
        <v>12</v>
      </c>
      <c r="E1346">
        <v>4</v>
      </c>
      <c r="F1346">
        <v>4140</v>
      </c>
      <c r="G1346">
        <v>1229.8499999999999</v>
      </c>
      <c r="H1346">
        <v>2024</v>
      </c>
      <c r="I1346" t="s">
        <v>26</v>
      </c>
      <c r="J1346" s="4">
        <v>0.29706521739130398</v>
      </c>
      <c r="K1346" t="s">
        <v>41</v>
      </c>
      <c r="L1346" t="s">
        <v>55</v>
      </c>
      <c r="M1346">
        <v>1</v>
      </c>
      <c r="N1346" t="s">
        <v>65</v>
      </c>
    </row>
    <row r="1347" spans="1:14" x14ac:dyDescent="0.3">
      <c r="A1347" s="1">
        <v>45384</v>
      </c>
      <c r="B1347" t="s">
        <v>30</v>
      </c>
      <c r="C1347" t="s">
        <v>11</v>
      </c>
      <c r="D1347" t="s">
        <v>19</v>
      </c>
      <c r="E1347">
        <v>4</v>
      </c>
      <c r="F1347">
        <v>1324</v>
      </c>
      <c r="G1347">
        <v>227.2</v>
      </c>
      <c r="H1347">
        <v>2024</v>
      </c>
      <c r="I1347" t="s">
        <v>23</v>
      </c>
      <c r="J1347" s="4">
        <v>0.17160120845921401</v>
      </c>
      <c r="K1347" t="s">
        <v>41</v>
      </c>
      <c r="L1347" t="s">
        <v>59</v>
      </c>
      <c r="M1347">
        <v>4</v>
      </c>
      <c r="N1347" t="s">
        <v>62</v>
      </c>
    </row>
    <row r="1348" spans="1:14" x14ac:dyDescent="0.3">
      <c r="A1348" s="1">
        <v>45497</v>
      </c>
      <c r="B1348" t="s">
        <v>30</v>
      </c>
      <c r="C1348" t="s">
        <v>11</v>
      </c>
      <c r="D1348" t="s">
        <v>12</v>
      </c>
      <c r="E1348">
        <v>6</v>
      </c>
      <c r="F1348">
        <v>360</v>
      </c>
      <c r="G1348">
        <v>22.16</v>
      </c>
      <c r="H1348">
        <v>2024</v>
      </c>
      <c r="I1348" t="s">
        <v>25</v>
      </c>
      <c r="J1348" s="4">
        <v>6.1555555555555599E-2</v>
      </c>
      <c r="K1348" t="s">
        <v>41</v>
      </c>
      <c r="L1348" t="s">
        <v>60</v>
      </c>
      <c r="M1348">
        <v>7</v>
      </c>
      <c r="N1348" t="s">
        <v>64</v>
      </c>
    </row>
    <row r="1349" spans="1:14" x14ac:dyDescent="0.3">
      <c r="A1349" s="1">
        <v>45511</v>
      </c>
      <c r="B1349" t="s">
        <v>30</v>
      </c>
      <c r="C1349" t="s">
        <v>11</v>
      </c>
      <c r="D1349" t="s">
        <v>12</v>
      </c>
      <c r="E1349">
        <v>9</v>
      </c>
      <c r="F1349">
        <v>2772</v>
      </c>
      <c r="G1349">
        <v>432.77</v>
      </c>
      <c r="H1349">
        <v>2024</v>
      </c>
      <c r="I1349" t="s">
        <v>24</v>
      </c>
      <c r="J1349" s="4">
        <v>0.15612193362193399</v>
      </c>
      <c r="K1349" t="s">
        <v>41</v>
      </c>
      <c r="L1349" t="s">
        <v>60</v>
      </c>
      <c r="M1349">
        <v>8</v>
      </c>
      <c r="N1349" t="s">
        <v>63</v>
      </c>
    </row>
    <row r="1350" spans="1:14" x14ac:dyDescent="0.3">
      <c r="A1350" s="1">
        <v>45565</v>
      </c>
      <c r="B1350" t="s">
        <v>30</v>
      </c>
      <c r="C1350" t="s">
        <v>11</v>
      </c>
      <c r="D1350" t="s">
        <v>12</v>
      </c>
      <c r="E1350">
        <v>5</v>
      </c>
      <c r="F1350">
        <v>1600</v>
      </c>
      <c r="G1350">
        <v>242.25</v>
      </c>
      <c r="H1350">
        <v>2024</v>
      </c>
      <c r="I1350" t="s">
        <v>21</v>
      </c>
      <c r="J1350" s="4">
        <v>0.15140624999999999</v>
      </c>
      <c r="K1350" t="s">
        <v>41</v>
      </c>
      <c r="L1350" t="s">
        <v>60</v>
      </c>
      <c r="M1350">
        <v>9</v>
      </c>
      <c r="N1350" t="s">
        <v>61</v>
      </c>
    </row>
    <row r="1351" spans="1:14" x14ac:dyDescent="0.3">
      <c r="A1351" s="1">
        <v>45586</v>
      </c>
      <c r="B1351" t="s">
        <v>30</v>
      </c>
      <c r="C1351" t="s">
        <v>11</v>
      </c>
      <c r="D1351" t="s">
        <v>12</v>
      </c>
      <c r="E1351">
        <v>2</v>
      </c>
      <c r="F1351">
        <v>2386</v>
      </c>
      <c r="G1351">
        <v>381.83</v>
      </c>
      <c r="H1351">
        <v>2024</v>
      </c>
      <c r="I1351" t="s">
        <v>14</v>
      </c>
      <c r="J1351" s="4">
        <v>0.160029337803856</v>
      </c>
      <c r="K1351" t="s">
        <v>41</v>
      </c>
      <c r="L1351" t="s">
        <v>52</v>
      </c>
      <c r="M1351">
        <v>10</v>
      </c>
      <c r="N1351" t="s">
        <v>54</v>
      </c>
    </row>
    <row r="1352" spans="1:14" x14ac:dyDescent="0.3">
      <c r="A1352" s="1">
        <v>45543</v>
      </c>
      <c r="B1352" t="s">
        <v>30</v>
      </c>
      <c r="C1352" t="s">
        <v>11</v>
      </c>
      <c r="D1352" t="s">
        <v>19</v>
      </c>
      <c r="E1352">
        <v>6</v>
      </c>
      <c r="F1352">
        <v>462</v>
      </c>
      <c r="G1352">
        <v>71.22</v>
      </c>
      <c r="H1352">
        <v>2024</v>
      </c>
      <c r="I1352" t="s">
        <v>21</v>
      </c>
      <c r="J1352" s="4">
        <v>0.15415584415584399</v>
      </c>
      <c r="K1352" t="s">
        <v>41</v>
      </c>
      <c r="L1352" t="s">
        <v>60</v>
      </c>
      <c r="M1352">
        <v>9</v>
      </c>
      <c r="N1352" t="s">
        <v>61</v>
      </c>
    </row>
    <row r="1353" spans="1:14" x14ac:dyDescent="0.3">
      <c r="A1353" s="1">
        <v>45579</v>
      </c>
      <c r="B1353" t="s">
        <v>30</v>
      </c>
      <c r="C1353" t="s">
        <v>11</v>
      </c>
      <c r="D1353" t="s">
        <v>12</v>
      </c>
      <c r="E1353">
        <v>3</v>
      </c>
      <c r="F1353">
        <v>510</v>
      </c>
      <c r="G1353">
        <v>110.38</v>
      </c>
      <c r="H1353">
        <v>2024</v>
      </c>
      <c r="I1353" t="s">
        <v>14</v>
      </c>
      <c r="J1353" s="4">
        <v>0.21643137254902001</v>
      </c>
      <c r="K1353" t="s">
        <v>41</v>
      </c>
      <c r="L1353" t="s">
        <v>52</v>
      </c>
      <c r="M1353">
        <v>10</v>
      </c>
      <c r="N1353" t="s">
        <v>54</v>
      </c>
    </row>
    <row r="1354" spans="1:14" x14ac:dyDescent="0.3">
      <c r="A1354" s="1">
        <v>45653</v>
      </c>
      <c r="B1354" t="s">
        <v>30</v>
      </c>
      <c r="C1354" t="s">
        <v>11</v>
      </c>
      <c r="D1354" t="s">
        <v>12</v>
      </c>
      <c r="E1354">
        <v>3</v>
      </c>
      <c r="F1354">
        <v>1368</v>
      </c>
      <c r="G1354">
        <v>302.29000000000002</v>
      </c>
      <c r="H1354">
        <v>2024</v>
      </c>
      <c r="I1354" t="s">
        <v>13</v>
      </c>
      <c r="J1354" s="4">
        <v>0.22097222222222199</v>
      </c>
      <c r="K1354" t="s">
        <v>41</v>
      </c>
      <c r="L1354" t="s">
        <v>52</v>
      </c>
      <c r="M1354">
        <v>12</v>
      </c>
      <c r="N1354" t="s">
        <v>53</v>
      </c>
    </row>
    <row r="1355" spans="1:14" x14ac:dyDescent="0.3">
      <c r="A1355" s="1">
        <v>45590</v>
      </c>
      <c r="B1355" t="s">
        <v>30</v>
      </c>
      <c r="C1355" t="s">
        <v>11</v>
      </c>
      <c r="D1355" t="s">
        <v>12</v>
      </c>
      <c r="E1355">
        <v>5</v>
      </c>
      <c r="F1355">
        <v>2130</v>
      </c>
      <c r="G1355">
        <v>318.99</v>
      </c>
      <c r="H1355">
        <v>2024</v>
      </c>
      <c r="I1355" t="s">
        <v>14</v>
      </c>
      <c r="J1355" s="4">
        <v>0.14976056338028201</v>
      </c>
      <c r="K1355" t="s">
        <v>41</v>
      </c>
      <c r="L1355" t="s">
        <v>52</v>
      </c>
      <c r="M1355">
        <v>10</v>
      </c>
      <c r="N1355" t="s">
        <v>54</v>
      </c>
    </row>
    <row r="1356" spans="1:14" x14ac:dyDescent="0.3">
      <c r="A1356" s="1">
        <v>45472</v>
      </c>
      <c r="B1356" t="s">
        <v>30</v>
      </c>
      <c r="C1356" t="s">
        <v>11</v>
      </c>
      <c r="D1356" t="s">
        <v>19</v>
      </c>
      <c r="E1356">
        <v>5</v>
      </c>
      <c r="F1356">
        <v>5465</v>
      </c>
      <c r="G1356">
        <v>546.33000000000004</v>
      </c>
      <c r="H1356">
        <v>2024</v>
      </c>
      <c r="I1356" t="s">
        <v>27</v>
      </c>
      <c r="J1356" s="4">
        <v>9.9968892955169295E-2</v>
      </c>
      <c r="K1356" t="s">
        <v>41</v>
      </c>
      <c r="L1356" t="s">
        <v>59</v>
      </c>
      <c r="M1356">
        <v>6</v>
      </c>
      <c r="N1356" t="s">
        <v>66</v>
      </c>
    </row>
    <row r="1357" spans="1:14" x14ac:dyDescent="0.3">
      <c r="A1357" s="1">
        <v>45655</v>
      </c>
      <c r="B1357" t="s">
        <v>30</v>
      </c>
      <c r="C1357" t="s">
        <v>11</v>
      </c>
      <c r="D1357" t="s">
        <v>22</v>
      </c>
      <c r="E1357">
        <v>9</v>
      </c>
      <c r="F1357">
        <v>8550</v>
      </c>
      <c r="G1357">
        <v>1970.98</v>
      </c>
      <c r="H1357">
        <v>2024</v>
      </c>
      <c r="I1357" t="s">
        <v>13</v>
      </c>
      <c r="J1357" s="4">
        <v>0.23052397660818699</v>
      </c>
      <c r="K1357" t="s">
        <v>41</v>
      </c>
      <c r="L1357" t="s">
        <v>52</v>
      </c>
      <c r="M1357">
        <v>12</v>
      </c>
      <c r="N1357" t="s">
        <v>53</v>
      </c>
    </row>
    <row r="1358" spans="1:14" x14ac:dyDescent="0.3">
      <c r="A1358" s="1">
        <v>45547</v>
      </c>
      <c r="B1358" t="s">
        <v>30</v>
      </c>
      <c r="C1358" t="s">
        <v>11</v>
      </c>
      <c r="D1358" t="s">
        <v>19</v>
      </c>
      <c r="E1358">
        <v>3</v>
      </c>
      <c r="F1358">
        <v>1656</v>
      </c>
      <c r="G1358">
        <v>378.84</v>
      </c>
      <c r="H1358">
        <v>2024</v>
      </c>
      <c r="I1358" t="s">
        <v>21</v>
      </c>
      <c r="J1358" s="4">
        <v>0.228768115942029</v>
      </c>
      <c r="K1358" t="s">
        <v>41</v>
      </c>
      <c r="L1358" t="s">
        <v>60</v>
      </c>
      <c r="M1358">
        <v>9</v>
      </c>
      <c r="N1358" t="s">
        <v>61</v>
      </c>
    </row>
    <row r="1359" spans="1:14" x14ac:dyDescent="0.3">
      <c r="A1359" s="1">
        <v>45429</v>
      </c>
      <c r="B1359" t="s">
        <v>30</v>
      </c>
      <c r="C1359" t="s">
        <v>11</v>
      </c>
      <c r="D1359" t="s">
        <v>19</v>
      </c>
      <c r="E1359">
        <v>7</v>
      </c>
      <c r="F1359">
        <v>455</v>
      </c>
      <c r="G1359">
        <v>80</v>
      </c>
      <c r="H1359">
        <v>2024</v>
      </c>
      <c r="I1359" t="s">
        <v>20</v>
      </c>
      <c r="J1359" s="4">
        <v>0.175824175824176</v>
      </c>
      <c r="K1359" t="s">
        <v>41</v>
      </c>
      <c r="L1359" t="s">
        <v>59</v>
      </c>
      <c r="M1359">
        <v>5</v>
      </c>
      <c r="N1359" t="s">
        <v>20</v>
      </c>
    </row>
    <row r="1360" spans="1:14" x14ac:dyDescent="0.3">
      <c r="A1360" s="1">
        <v>45633</v>
      </c>
      <c r="B1360" t="s">
        <v>30</v>
      </c>
      <c r="C1360" t="s">
        <v>11</v>
      </c>
      <c r="D1360" t="s">
        <v>19</v>
      </c>
      <c r="E1360">
        <v>6</v>
      </c>
      <c r="F1360">
        <v>5508</v>
      </c>
      <c r="G1360">
        <v>360.28</v>
      </c>
      <c r="H1360">
        <v>2024</v>
      </c>
      <c r="I1360" t="s">
        <v>13</v>
      </c>
      <c r="J1360" s="4">
        <v>6.5410312273057394E-2</v>
      </c>
      <c r="K1360" t="s">
        <v>41</v>
      </c>
      <c r="L1360" t="s">
        <v>52</v>
      </c>
      <c r="M1360">
        <v>12</v>
      </c>
      <c r="N1360" t="s">
        <v>53</v>
      </c>
    </row>
    <row r="1361" spans="1:14" x14ac:dyDescent="0.3">
      <c r="A1361" s="1">
        <v>45612</v>
      </c>
      <c r="B1361" t="s">
        <v>30</v>
      </c>
      <c r="C1361" t="s">
        <v>11</v>
      </c>
      <c r="D1361" t="s">
        <v>17</v>
      </c>
      <c r="E1361">
        <v>8</v>
      </c>
      <c r="F1361">
        <v>6760</v>
      </c>
      <c r="G1361">
        <v>1097.6300000000001</v>
      </c>
      <c r="H1361">
        <v>2024</v>
      </c>
      <c r="I1361" t="s">
        <v>18</v>
      </c>
      <c r="J1361" s="4">
        <v>0.162371301775148</v>
      </c>
      <c r="K1361" t="s">
        <v>41</v>
      </c>
      <c r="L1361" t="s">
        <v>52</v>
      </c>
      <c r="M1361">
        <v>11</v>
      </c>
      <c r="N1361" t="s">
        <v>58</v>
      </c>
    </row>
    <row r="1362" spans="1:14" x14ac:dyDescent="0.3">
      <c r="A1362" s="1">
        <v>45644</v>
      </c>
      <c r="B1362" t="s">
        <v>30</v>
      </c>
      <c r="C1362" t="s">
        <v>11</v>
      </c>
      <c r="D1362" t="s">
        <v>19</v>
      </c>
      <c r="E1362">
        <v>1</v>
      </c>
      <c r="F1362">
        <v>58</v>
      </c>
      <c r="G1362">
        <v>11.25</v>
      </c>
      <c r="H1362">
        <v>2024</v>
      </c>
      <c r="I1362" t="s">
        <v>13</v>
      </c>
      <c r="J1362" s="4">
        <v>0.193965517241379</v>
      </c>
      <c r="K1362" t="s">
        <v>41</v>
      </c>
      <c r="L1362" t="s">
        <v>52</v>
      </c>
      <c r="M1362">
        <v>12</v>
      </c>
      <c r="N1362" t="s">
        <v>53</v>
      </c>
    </row>
    <row r="1363" spans="1:14" x14ac:dyDescent="0.3">
      <c r="A1363" s="1">
        <v>45360</v>
      </c>
      <c r="B1363" t="s">
        <v>30</v>
      </c>
      <c r="C1363" t="s">
        <v>11</v>
      </c>
      <c r="D1363" t="s">
        <v>19</v>
      </c>
      <c r="E1363">
        <v>8</v>
      </c>
      <c r="F1363">
        <v>8032</v>
      </c>
      <c r="G1363">
        <v>466.19</v>
      </c>
      <c r="H1363">
        <v>2024</v>
      </c>
      <c r="I1363" t="s">
        <v>15</v>
      </c>
      <c r="J1363" s="4">
        <v>5.8041583665338597E-2</v>
      </c>
      <c r="K1363" t="s">
        <v>41</v>
      </c>
      <c r="L1363" t="s">
        <v>55</v>
      </c>
      <c r="M1363">
        <v>3</v>
      </c>
      <c r="N1363" t="s">
        <v>56</v>
      </c>
    </row>
    <row r="1364" spans="1:14" x14ac:dyDescent="0.3">
      <c r="A1364" s="1">
        <v>45372</v>
      </c>
      <c r="B1364" t="s">
        <v>30</v>
      </c>
      <c r="C1364" t="s">
        <v>11</v>
      </c>
      <c r="D1364" t="s">
        <v>19</v>
      </c>
      <c r="E1364">
        <v>6</v>
      </c>
      <c r="F1364">
        <v>4380</v>
      </c>
      <c r="G1364">
        <v>419.3</v>
      </c>
      <c r="H1364">
        <v>2024</v>
      </c>
      <c r="I1364" t="s">
        <v>15</v>
      </c>
      <c r="J1364" s="4">
        <v>9.5730593607305903E-2</v>
      </c>
      <c r="K1364" t="s">
        <v>41</v>
      </c>
      <c r="L1364" t="s">
        <v>55</v>
      </c>
      <c r="M1364">
        <v>3</v>
      </c>
      <c r="N1364" t="s">
        <v>56</v>
      </c>
    </row>
    <row r="1365" spans="1:14" x14ac:dyDescent="0.3">
      <c r="A1365" s="1">
        <v>45485</v>
      </c>
      <c r="B1365" t="s">
        <v>30</v>
      </c>
      <c r="C1365" t="s">
        <v>11</v>
      </c>
      <c r="D1365" t="s">
        <v>17</v>
      </c>
      <c r="E1365">
        <v>1</v>
      </c>
      <c r="F1365">
        <v>58</v>
      </c>
      <c r="G1365">
        <v>10.79</v>
      </c>
      <c r="H1365">
        <v>2024</v>
      </c>
      <c r="I1365" t="s">
        <v>25</v>
      </c>
      <c r="J1365" s="4">
        <v>0.186034482758621</v>
      </c>
      <c r="K1365" t="s">
        <v>41</v>
      </c>
      <c r="L1365" t="s">
        <v>60</v>
      </c>
      <c r="M1365">
        <v>7</v>
      </c>
      <c r="N1365" t="s">
        <v>64</v>
      </c>
    </row>
    <row r="1366" spans="1:14" x14ac:dyDescent="0.3">
      <c r="A1366" s="1">
        <v>45351</v>
      </c>
      <c r="B1366" t="s">
        <v>30</v>
      </c>
      <c r="C1366" t="s">
        <v>11</v>
      </c>
      <c r="D1366" t="s">
        <v>17</v>
      </c>
      <c r="E1366">
        <v>8</v>
      </c>
      <c r="F1366">
        <v>1544</v>
      </c>
      <c r="G1366">
        <v>281.22000000000003</v>
      </c>
      <c r="H1366">
        <v>2024</v>
      </c>
      <c r="I1366" t="s">
        <v>16</v>
      </c>
      <c r="J1366" s="4">
        <v>0.182137305699482</v>
      </c>
      <c r="K1366" t="s">
        <v>41</v>
      </c>
      <c r="L1366" t="s">
        <v>55</v>
      </c>
      <c r="M1366">
        <v>2</v>
      </c>
      <c r="N1366" t="s">
        <v>57</v>
      </c>
    </row>
    <row r="1367" spans="1:14" x14ac:dyDescent="0.3">
      <c r="A1367" s="1">
        <v>45418</v>
      </c>
      <c r="B1367" t="s">
        <v>30</v>
      </c>
      <c r="C1367" t="s">
        <v>11</v>
      </c>
      <c r="D1367" t="s">
        <v>17</v>
      </c>
      <c r="E1367">
        <v>1</v>
      </c>
      <c r="F1367">
        <v>632</v>
      </c>
      <c r="G1367">
        <v>89.14</v>
      </c>
      <c r="H1367">
        <v>2024</v>
      </c>
      <c r="I1367" t="s">
        <v>20</v>
      </c>
      <c r="J1367" s="4">
        <v>0.14104430379746799</v>
      </c>
      <c r="K1367" t="s">
        <v>41</v>
      </c>
      <c r="L1367" t="s">
        <v>59</v>
      </c>
      <c r="M1367">
        <v>5</v>
      </c>
      <c r="N1367" t="s">
        <v>20</v>
      </c>
    </row>
    <row r="1368" spans="1:14" x14ac:dyDescent="0.3">
      <c r="A1368" s="1">
        <v>45578</v>
      </c>
      <c r="B1368" t="s">
        <v>30</v>
      </c>
      <c r="C1368" t="s">
        <v>11</v>
      </c>
      <c r="D1368" t="s">
        <v>22</v>
      </c>
      <c r="E1368">
        <v>9</v>
      </c>
      <c r="F1368">
        <v>594</v>
      </c>
      <c r="G1368">
        <v>93.92</v>
      </c>
      <c r="H1368">
        <v>2024</v>
      </c>
      <c r="I1368" t="s">
        <v>14</v>
      </c>
      <c r="J1368" s="4">
        <v>0.15811447811447801</v>
      </c>
      <c r="K1368" t="s">
        <v>41</v>
      </c>
      <c r="L1368" t="s">
        <v>52</v>
      </c>
      <c r="M1368">
        <v>10</v>
      </c>
      <c r="N1368" t="s">
        <v>54</v>
      </c>
    </row>
    <row r="1369" spans="1:14" x14ac:dyDescent="0.3">
      <c r="A1369" s="1">
        <v>45460</v>
      </c>
      <c r="B1369" t="s">
        <v>30</v>
      </c>
      <c r="C1369" t="s">
        <v>11</v>
      </c>
      <c r="D1369" t="s">
        <v>19</v>
      </c>
      <c r="E1369">
        <v>7</v>
      </c>
      <c r="F1369">
        <v>7301</v>
      </c>
      <c r="G1369">
        <v>2026.43</v>
      </c>
      <c r="H1369">
        <v>2024</v>
      </c>
      <c r="I1369" t="s">
        <v>27</v>
      </c>
      <c r="J1369" s="4">
        <v>0.27755512943432398</v>
      </c>
      <c r="K1369" t="s">
        <v>41</v>
      </c>
      <c r="L1369" t="s">
        <v>59</v>
      </c>
      <c r="M1369">
        <v>6</v>
      </c>
      <c r="N1369" t="s">
        <v>66</v>
      </c>
    </row>
    <row r="1370" spans="1:14" x14ac:dyDescent="0.3">
      <c r="A1370" s="1">
        <v>45497</v>
      </c>
      <c r="B1370" t="s">
        <v>30</v>
      </c>
      <c r="C1370" t="s">
        <v>11</v>
      </c>
      <c r="D1370" t="s">
        <v>22</v>
      </c>
      <c r="E1370">
        <v>1</v>
      </c>
      <c r="F1370">
        <v>225</v>
      </c>
      <c r="G1370">
        <v>48.82</v>
      </c>
      <c r="H1370">
        <v>2024</v>
      </c>
      <c r="I1370" t="s">
        <v>25</v>
      </c>
      <c r="J1370" s="4">
        <v>0.21697777777777799</v>
      </c>
      <c r="K1370" t="s">
        <v>41</v>
      </c>
      <c r="L1370" t="s">
        <v>60</v>
      </c>
      <c r="M1370">
        <v>7</v>
      </c>
      <c r="N1370" t="s">
        <v>64</v>
      </c>
    </row>
    <row r="1371" spans="1:14" x14ac:dyDescent="0.3">
      <c r="A1371" s="1">
        <v>45465</v>
      </c>
      <c r="B1371" t="s">
        <v>30</v>
      </c>
      <c r="C1371" t="s">
        <v>11</v>
      </c>
      <c r="D1371" t="s">
        <v>17</v>
      </c>
      <c r="E1371">
        <v>9</v>
      </c>
      <c r="F1371">
        <v>8793</v>
      </c>
      <c r="G1371">
        <v>2262.4299999999998</v>
      </c>
      <c r="H1371">
        <v>2024</v>
      </c>
      <c r="I1371" t="s">
        <v>27</v>
      </c>
      <c r="J1371" s="4">
        <v>0.25729898783122901</v>
      </c>
      <c r="K1371" t="s">
        <v>41</v>
      </c>
      <c r="L1371" t="s">
        <v>59</v>
      </c>
      <c r="M1371">
        <v>6</v>
      </c>
      <c r="N1371" t="s">
        <v>66</v>
      </c>
    </row>
    <row r="1372" spans="1:14" x14ac:dyDescent="0.3">
      <c r="A1372" s="1">
        <v>45599</v>
      </c>
      <c r="B1372" t="s">
        <v>30</v>
      </c>
      <c r="C1372" t="s">
        <v>11</v>
      </c>
      <c r="D1372" t="s">
        <v>22</v>
      </c>
      <c r="E1372">
        <v>9</v>
      </c>
      <c r="F1372">
        <v>1746</v>
      </c>
      <c r="G1372">
        <v>260.5</v>
      </c>
      <c r="H1372">
        <v>2024</v>
      </c>
      <c r="I1372" t="s">
        <v>18</v>
      </c>
      <c r="J1372" s="4">
        <v>0.14919816723940399</v>
      </c>
      <c r="K1372" t="s">
        <v>41</v>
      </c>
      <c r="L1372" t="s">
        <v>52</v>
      </c>
      <c r="M1372">
        <v>11</v>
      </c>
      <c r="N1372" t="s">
        <v>58</v>
      </c>
    </row>
    <row r="1373" spans="1:14" x14ac:dyDescent="0.3">
      <c r="A1373" s="1">
        <v>45469</v>
      </c>
      <c r="B1373" t="s">
        <v>30</v>
      </c>
      <c r="C1373" t="s">
        <v>11</v>
      </c>
      <c r="D1373" t="s">
        <v>17</v>
      </c>
      <c r="E1373">
        <v>8</v>
      </c>
      <c r="F1373">
        <v>6160</v>
      </c>
      <c r="G1373">
        <v>1617.32</v>
      </c>
      <c r="H1373">
        <v>2024</v>
      </c>
      <c r="I1373" t="s">
        <v>27</v>
      </c>
      <c r="J1373" s="4">
        <v>0.26255194805194798</v>
      </c>
      <c r="K1373" t="s">
        <v>41</v>
      </c>
      <c r="L1373" t="s">
        <v>59</v>
      </c>
      <c r="M1373">
        <v>6</v>
      </c>
      <c r="N1373" t="s">
        <v>66</v>
      </c>
    </row>
    <row r="1374" spans="1:14" x14ac:dyDescent="0.3">
      <c r="A1374" s="1">
        <v>45520</v>
      </c>
      <c r="B1374" t="s">
        <v>30</v>
      </c>
      <c r="C1374" t="s">
        <v>11</v>
      </c>
      <c r="D1374" t="s">
        <v>17</v>
      </c>
      <c r="E1374">
        <v>7</v>
      </c>
      <c r="F1374">
        <v>3038</v>
      </c>
      <c r="G1374">
        <v>158.82</v>
      </c>
      <c r="H1374">
        <v>2024</v>
      </c>
      <c r="I1374" t="s">
        <v>24</v>
      </c>
      <c r="J1374" s="4">
        <v>5.2277814351547103E-2</v>
      </c>
      <c r="K1374" t="s">
        <v>41</v>
      </c>
      <c r="L1374" t="s">
        <v>60</v>
      </c>
      <c r="M1374">
        <v>8</v>
      </c>
      <c r="N1374" t="s">
        <v>63</v>
      </c>
    </row>
    <row r="1375" spans="1:14" x14ac:dyDescent="0.3">
      <c r="A1375" s="1">
        <v>45478</v>
      </c>
      <c r="B1375" t="s">
        <v>30</v>
      </c>
      <c r="C1375" t="s">
        <v>11</v>
      </c>
      <c r="D1375" t="s">
        <v>19</v>
      </c>
      <c r="E1375">
        <v>1</v>
      </c>
      <c r="F1375">
        <v>1083</v>
      </c>
      <c r="G1375">
        <v>152.5</v>
      </c>
      <c r="H1375">
        <v>2024</v>
      </c>
      <c r="I1375" t="s">
        <v>25</v>
      </c>
      <c r="J1375" s="4">
        <v>0.14081255771006501</v>
      </c>
      <c r="K1375" t="s">
        <v>41</v>
      </c>
      <c r="L1375" t="s">
        <v>60</v>
      </c>
      <c r="M1375">
        <v>7</v>
      </c>
      <c r="N1375" t="s">
        <v>64</v>
      </c>
    </row>
    <row r="1376" spans="1:14" x14ac:dyDescent="0.3">
      <c r="A1376" s="1">
        <v>45315</v>
      </c>
      <c r="B1376" t="s">
        <v>30</v>
      </c>
      <c r="C1376" t="s">
        <v>11</v>
      </c>
      <c r="D1376" t="s">
        <v>22</v>
      </c>
      <c r="E1376">
        <v>3</v>
      </c>
      <c r="F1376">
        <v>3576</v>
      </c>
      <c r="G1376">
        <v>546.44000000000005</v>
      </c>
      <c r="H1376">
        <v>2024</v>
      </c>
      <c r="I1376" t="s">
        <v>26</v>
      </c>
      <c r="J1376" s="4">
        <v>0.15280760626398199</v>
      </c>
      <c r="K1376" t="s">
        <v>41</v>
      </c>
      <c r="L1376" t="s">
        <v>55</v>
      </c>
      <c r="M1376">
        <v>1</v>
      </c>
      <c r="N1376" t="s">
        <v>65</v>
      </c>
    </row>
    <row r="1377" spans="1:14" x14ac:dyDescent="0.3">
      <c r="A1377" s="1">
        <v>45642</v>
      </c>
      <c r="B1377" t="s">
        <v>30</v>
      </c>
      <c r="C1377" t="s">
        <v>11</v>
      </c>
      <c r="D1377" t="s">
        <v>17</v>
      </c>
      <c r="E1377">
        <v>1</v>
      </c>
      <c r="F1377">
        <v>707</v>
      </c>
      <c r="G1377">
        <v>100.16</v>
      </c>
      <c r="H1377">
        <v>2024</v>
      </c>
      <c r="I1377" t="s">
        <v>13</v>
      </c>
      <c r="J1377" s="4">
        <v>0.14166902404526199</v>
      </c>
      <c r="K1377" t="s">
        <v>41</v>
      </c>
      <c r="L1377" t="s">
        <v>52</v>
      </c>
      <c r="M1377">
        <v>12</v>
      </c>
      <c r="N1377" t="s">
        <v>53</v>
      </c>
    </row>
    <row r="1378" spans="1:14" x14ac:dyDescent="0.3">
      <c r="A1378" s="1">
        <v>45579</v>
      </c>
      <c r="B1378" t="s">
        <v>30</v>
      </c>
      <c r="C1378" t="s">
        <v>11</v>
      </c>
      <c r="D1378" t="s">
        <v>22</v>
      </c>
      <c r="E1378">
        <v>5</v>
      </c>
      <c r="F1378">
        <v>5345</v>
      </c>
      <c r="G1378">
        <v>1060.46</v>
      </c>
      <c r="H1378">
        <v>2024</v>
      </c>
      <c r="I1378" t="s">
        <v>14</v>
      </c>
      <c r="J1378" s="4">
        <v>0.198402245088868</v>
      </c>
      <c r="K1378" t="s">
        <v>41</v>
      </c>
      <c r="L1378" t="s">
        <v>52</v>
      </c>
      <c r="M1378">
        <v>10</v>
      </c>
      <c r="N1378" t="s">
        <v>54</v>
      </c>
    </row>
    <row r="1379" spans="1:14" x14ac:dyDescent="0.3">
      <c r="A1379" s="1">
        <v>45488</v>
      </c>
      <c r="B1379" t="s">
        <v>30</v>
      </c>
      <c r="C1379" t="s">
        <v>11</v>
      </c>
      <c r="D1379" t="s">
        <v>22</v>
      </c>
      <c r="E1379">
        <v>2</v>
      </c>
      <c r="F1379">
        <v>574</v>
      </c>
      <c r="G1379">
        <v>70.16</v>
      </c>
      <c r="H1379">
        <v>2024</v>
      </c>
      <c r="I1379" t="s">
        <v>25</v>
      </c>
      <c r="J1379" s="4">
        <v>0.122229965156794</v>
      </c>
      <c r="K1379" t="s">
        <v>41</v>
      </c>
      <c r="L1379" t="s">
        <v>60</v>
      </c>
      <c r="M1379">
        <v>7</v>
      </c>
      <c r="N1379" t="s">
        <v>64</v>
      </c>
    </row>
    <row r="1380" spans="1:14" x14ac:dyDescent="0.3">
      <c r="A1380" s="1">
        <v>45324</v>
      </c>
      <c r="B1380" t="s">
        <v>30</v>
      </c>
      <c r="C1380" t="s">
        <v>11</v>
      </c>
      <c r="D1380" t="s">
        <v>17</v>
      </c>
      <c r="E1380">
        <v>6</v>
      </c>
      <c r="F1380">
        <v>2196</v>
      </c>
      <c r="G1380">
        <v>572.16999999999996</v>
      </c>
      <c r="H1380">
        <v>2024</v>
      </c>
      <c r="I1380" t="s">
        <v>16</v>
      </c>
      <c r="J1380" s="4">
        <v>0.26055100182149399</v>
      </c>
      <c r="K1380" t="s">
        <v>41</v>
      </c>
      <c r="L1380" t="s">
        <v>55</v>
      </c>
      <c r="M1380">
        <v>2</v>
      </c>
      <c r="N1380" t="s">
        <v>57</v>
      </c>
    </row>
    <row r="1381" spans="1:14" x14ac:dyDescent="0.3">
      <c r="A1381" s="1">
        <v>45628</v>
      </c>
      <c r="B1381" t="s">
        <v>30</v>
      </c>
      <c r="C1381" t="s">
        <v>11</v>
      </c>
      <c r="D1381" t="s">
        <v>19</v>
      </c>
      <c r="E1381">
        <v>1</v>
      </c>
      <c r="F1381">
        <v>839</v>
      </c>
      <c r="G1381">
        <v>228.72</v>
      </c>
      <c r="H1381">
        <v>2024</v>
      </c>
      <c r="I1381" t="s">
        <v>13</v>
      </c>
      <c r="J1381" s="4">
        <v>0.27261025029797398</v>
      </c>
      <c r="K1381" t="s">
        <v>41</v>
      </c>
      <c r="L1381" t="s">
        <v>52</v>
      </c>
      <c r="M1381">
        <v>12</v>
      </c>
      <c r="N1381" t="s">
        <v>53</v>
      </c>
    </row>
    <row r="1382" spans="1:14" x14ac:dyDescent="0.3">
      <c r="A1382" s="1">
        <v>45528</v>
      </c>
      <c r="B1382" t="s">
        <v>30</v>
      </c>
      <c r="C1382" t="s">
        <v>11</v>
      </c>
      <c r="D1382" t="s">
        <v>22</v>
      </c>
      <c r="E1382">
        <v>1</v>
      </c>
      <c r="F1382">
        <v>927</v>
      </c>
      <c r="G1382">
        <v>103.95</v>
      </c>
      <c r="H1382">
        <v>2024</v>
      </c>
      <c r="I1382" t="s">
        <v>24</v>
      </c>
      <c r="J1382" s="4">
        <v>0.112135922330097</v>
      </c>
      <c r="K1382" t="s">
        <v>41</v>
      </c>
      <c r="L1382" t="s">
        <v>60</v>
      </c>
      <c r="M1382">
        <v>8</v>
      </c>
      <c r="N1382" t="s">
        <v>63</v>
      </c>
    </row>
    <row r="1383" spans="1:14" x14ac:dyDescent="0.3">
      <c r="A1383" s="1">
        <v>45436</v>
      </c>
      <c r="B1383" t="s">
        <v>30</v>
      </c>
      <c r="C1383" t="s">
        <v>11</v>
      </c>
      <c r="D1383" t="s">
        <v>17</v>
      </c>
      <c r="E1383">
        <v>3</v>
      </c>
      <c r="F1383">
        <v>213</v>
      </c>
      <c r="G1383">
        <v>30.68</v>
      </c>
      <c r="H1383">
        <v>2024</v>
      </c>
      <c r="I1383" t="s">
        <v>20</v>
      </c>
      <c r="J1383" s="4">
        <v>0.14403755868544599</v>
      </c>
      <c r="K1383" t="s">
        <v>41</v>
      </c>
      <c r="L1383" t="s">
        <v>59</v>
      </c>
      <c r="M1383">
        <v>5</v>
      </c>
      <c r="N1383" t="s">
        <v>20</v>
      </c>
    </row>
    <row r="1384" spans="1:14" x14ac:dyDescent="0.3">
      <c r="A1384" s="1">
        <v>45567</v>
      </c>
      <c r="B1384" t="s">
        <v>30</v>
      </c>
      <c r="C1384" t="s">
        <v>11</v>
      </c>
      <c r="D1384" t="s">
        <v>22</v>
      </c>
      <c r="E1384">
        <v>4</v>
      </c>
      <c r="F1384">
        <v>2408</v>
      </c>
      <c r="G1384">
        <v>721.8</v>
      </c>
      <c r="H1384">
        <v>2024</v>
      </c>
      <c r="I1384" t="s">
        <v>14</v>
      </c>
      <c r="J1384" s="4">
        <v>0.29975083056478402</v>
      </c>
      <c r="K1384" t="s">
        <v>41</v>
      </c>
      <c r="L1384" t="s">
        <v>52</v>
      </c>
      <c r="M1384">
        <v>10</v>
      </c>
      <c r="N1384" t="s">
        <v>54</v>
      </c>
    </row>
    <row r="1385" spans="1:14" x14ac:dyDescent="0.3">
      <c r="A1385" s="1">
        <v>45619</v>
      </c>
      <c r="B1385" t="s">
        <v>30</v>
      </c>
      <c r="C1385" t="s">
        <v>11</v>
      </c>
      <c r="D1385" t="s">
        <v>22</v>
      </c>
      <c r="E1385">
        <v>4</v>
      </c>
      <c r="F1385">
        <v>4596</v>
      </c>
      <c r="G1385">
        <v>947.45</v>
      </c>
      <c r="H1385">
        <v>2024</v>
      </c>
      <c r="I1385" t="s">
        <v>18</v>
      </c>
      <c r="J1385" s="4">
        <v>0.20614664926022599</v>
      </c>
      <c r="K1385" t="s">
        <v>41</v>
      </c>
      <c r="L1385" t="s">
        <v>52</v>
      </c>
      <c r="M1385">
        <v>11</v>
      </c>
      <c r="N1385" t="s">
        <v>58</v>
      </c>
    </row>
    <row r="1386" spans="1:14" x14ac:dyDescent="0.3">
      <c r="A1386" s="1">
        <v>45637</v>
      </c>
      <c r="B1386" t="s">
        <v>30</v>
      </c>
      <c r="C1386" t="s">
        <v>11</v>
      </c>
      <c r="D1386" t="s">
        <v>22</v>
      </c>
      <c r="E1386">
        <v>7</v>
      </c>
      <c r="F1386">
        <v>7392</v>
      </c>
      <c r="G1386">
        <v>2063.23</v>
      </c>
      <c r="H1386">
        <v>2024</v>
      </c>
      <c r="I1386" t="s">
        <v>13</v>
      </c>
      <c r="J1386" s="4">
        <v>0.27911661255411302</v>
      </c>
      <c r="K1386" t="s">
        <v>41</v>
      </c>
      <c r="L1386" t="s">
        <v>52</v>
      </c>
      <c r="M1386">
        <v>12</v>
      </c>
      <c r="N1386" t="s">
        <v>53</v>
      </c>
    </row>
    <row r="1387" spans="1:14" x14ac:dyDescent="0.3">
      <c r="A1387" s="1">
        <v>45422</v>
      </c>
      <c r="B1387" t="s">
        <v>30</v>
      </c>
      <c r="C1387" t="s">
        <v>11</v>
      </c>
      <c r="D1387" t="s">
        <v>17</v>
      </c>
      <c r="E1387">
        <v>1</v>
      </c>
      <c r="F1387">
        <v>1054</v>
      </c>
      <c r="G1387">
        <v>288.14999999999998</v>
      </c>
      <c r="H1387">
        <v>2024</v>
      </c>
      <c r="I1387" t="s">
        <v>20</v>
      </c>
      <c r="J1387" s="4">
        <v>0.27338709677419398</v>
      </c>
      <c r="K1387" t="s">
        <v>41</v>
      </c>
      <c r="L1387" t="s">
        <v>59</v>
      </c>
      <c r="M1387">
        <v>5</v>
      </c>
      <c r="N1387" t="s">
        <v>20</v>
      </c>
    </row>
    <row r="1388" spans="1:14" x14ac:dyDescent="0.3">
      <c r="A1388" s="1">
        <v>45453</v>
      </c>
      <c r="B1388" t="s">
        <v>30</v>
      </c>
      <c r="C1388" t="s">
        <v>11</v>
      </c>
      <c r="D1388" t="s">
        <v>17</v>
      </c>
      <c r="E1388">
        <v>7</v>
      </c>
      <c r="F1388">
        <v>7777</v>
      </c>
      <c r="G1388">
        <v>746.84</v>
      </c>
      <c r="H1388">
        <v>2024</v>
      </c>
      <c r="I1388" t="s">
        <v>27</v>
      </c>
      <c r="J1388" s="4">
        <v>9.6031888903176002E-2</v>
      </c>
      <c r="K1388" t="s">
        <v>41</v>
      </c>
      <c r="L1388" t="s">
        <v>59</v>
      </c>
      <c r="M1388">
        <v>6</v>
      </c>
      <c r="N1388" t="s">
        <v>66</v>
      </c>
    </row>
    <row r="1389" spans="1:14" x14ac:dyDescent="0.3">
      <c r="A1389" s="1">
        <v>45313</v>
      </c>
      <c r="B1389" t="s">
        <v>30</v>
      </c>
      <c r="C1389" t="s">
        <v>11</v>
      </c>
      <c r="D1389" t="s">
        <v>19</v>
      </c>
      <c r="E1389">
        <v>4</v>
      </c>
      <c r="F1389">
        <v>1356</v>
      </c>
      <c r="G1389">
        <v>374.79</v>
      </c>
      <c r="H1389">
        <v>2024</v>
      </c>
      <c r="I1389" t="s">
        <v>26</v>
      </c>
      <c r="J1389" s="4">
        <v>0.27639380530973401</v>
      </c>
      <c r="K1389" t="s">
        <v>41</v>
      </c>
      <c r="L1389" t="s">
        <v>55</v>
      </c>
      <c r="M1389">
        <v>1</v>
      </c>
      <c r="N1389" t="s">
        <v>65</v>
      </c>
    </row>
    <row r="1390" spans="1:14" x14ac:dyDescent="0.3">
      <c r="A1390" s="1">
        <v>45343</v>
      </c>
      <c r="B1390" t="s">
        <v>30</v>
      </c>
      <c r="C1390" t="s">
        <v>11</v>
      </c>
      <c r="D1390" t="s">
        <v>22</v>
      </c>
      <c r="E1390">
        <v>6</v>
      </c>
      <c r="F1390">
        <v>1884</v>
      </c>
      <c r="G1390">
        <v>190.58</v>
      </c>
      <c r="H1390">
        <v>2024</v>
      </c>
      <c r="I1390" t="s">
        <v>16</v>
      </c>
      <c r="J1390" s="4">
        <v>0.101157112526539</v>
      </c>
      <c r="K1390" t="s">
        <v>41</v>
      </c>
      <c r="L1390" t="s">
        <v>55</v>
      </c>
      <c r="M1390">
        <v>2</v>
      </c>
      <c r="N1390" t="s">
        <v>57</v>
      </c>
    </row>
    <row r="1391" spans="1:14" x14ac:dyDescent="0.3">
      <c r="A1391" s="1">
        <v>45388</v>
      </c>
      <c r="B1391" t="s">
        <v>30</v>
      </c>
      <c r="C1391" t="s">
        <v>11</v>
      </c>
      <c r="D1391" t="s">
        <v>22</v>
      </c>
      <c r="E1391">
        <v>6</v>
      </c>
      <c r="F1391">
        <v>1500</v>
      </c>
      <c r="G1391">
        <v>183.31</v>
      </c>
      <c r="H1391">
        <v>2024</v>
      </c>
      <c r="I1391" t="s">
        <v>23</v>
      </c>
      <c r="J1391" s="4">
        <v>0.122206666666667</v>
      </c>
      <c r="K1391" t="s">
        <v>41</v>
      </c>
      <c r="L1391" t="s">
        <v>59</v>
      </c>
      <c r="M1391">
        <v>4</v>
      </c>
      <c r="N1391" t="s">
        <v>62</v>
      </c>
    </row>
    <row r="1392" spans="1:14" x14ac:dyDescent="0.3">
      <c r="A1392" s="1">
        <v>45624</v>
      </c>
      <c r="B1392" t="s">
        <v>30</v>
      </c>
      <c r="C1392" t="s">
        <v>11</v>
      </c>
      <c r="D1392" t="s">
        <v>17</v>
      </c>
      <c r="E1392">
        <v>1</v>
      </c>
      <c r="F1392">
        <v>104</v>
      </c>
      <c r="G1392">
        <v>18.670000000000002</v>
      </c>
      <c r="H1392">
        <v>2024</v>
      </c>
      <c r="I1392" t="s">
        <v>18</v>
      </c>
      <c r="J1392" s="4">
        <v>0.17951923076923099</v>
      </c>
      <c r="K1392" t="s">
        <v>41</v>
      </c>
      <c r="L1392" t="s">
        <v>52</v>
      </c>
      <c r="M1392">
        <v>11</v>
      </c>
      <c r="N1392" t="s">
        <v>58</v>
      </c>
    </row>
    <row r="1393" spans="1:14" x14ac:dyDescent="0.3">
      <c r="A1393" s="1">
        <v>45359</v>
      </c>
      <c r="B1393" t="s">
        <v>30</v>
      </c>
      <c r="C1393" t="s">
        <v>11</v>
      </c>
      <c r="D1393" t="s">
        <v>17</v>
      </c>
      <c r="E1393">
        <v>1</v>
      </c>
      <c r="F1393">
        <v>126</v>
      </c>
      <c r="G1393">
        <v>26.62</v>
      </c>
      <c r="H1393">
        <v>2024</v>
      </c>
      <c r="I1393" t="s">
        <v>15</v>
      </c>
      <c r="J1393" s="4">
        <v>0.211269841269841</v>
      </c>
      <c r="K1393" t="s">
        <v>41</v>
      </c>
      <c r="L1393" t="s">
        <v>55</v>
      </c>
      <c r="M1393">
        <v>3</v>
      </c>
      <c r="N1393" t="s">
        <v>56</v>
      </c>
    </row>
    <row r="1394" spans="1:14" x14ac:dyDescent="0.3">
      <c r="A1394" s="1">
        <v>45491</v>
      </c>
      <c r="B1394" t="s">
        <v>30</v>
      </c>
      <c r="C1394" t="s">
        <v>11</v>
      </c>
      <c r="D1394" t="s">
        <v>17</v>
      </c>
      <c r="E1394">
        <v>6</v>
      </c>
      <c r="F1394">
        <v>4200</v>
      </c>
      <c r="G1394">
        <v>1013.7</v>
      </c>
      <c r="H1394">
        <v>2024</v>
      </c>
      <c r="I1394" t="s">
        <v>25</v>
      </c>
      <c r="J1394" s="4">
        <v>0.24135714285714299</v>
      </c>
      <c r="K1394" t="s">
        <v>41</v>
      </c>
      <c r="L1394" t="s">
        <v>60</v>
      </c>
      <c r="M1394">
        <v>7</v>
      </c>
      <c r="N1394" t="s">
        <v>64</v>
      </c>
    </row>
    <row r="1395" spans="1:14" x14ac:dyDescent="0.3">
      <c r="A1395" s="1">
        <v>45568</v>
      </c>
      <c r="B1395" t="s">
        <v>30</v>
      </c>
      <c r="C1395" t="s">
        <v>11</v>
      </c>
      <c r="D1395" t="s">
        <v>22</v>
      </c>
      <c r="E1395">
        <v>6</v>
      </c>
      <c r="F1395">
        <v>5484</v>
      </c>
      <c r="G1395">
        <v>540.4</v>
      </c>
      <c r="H1395">
        <v>2024</v>
      </c>
      <c r="I1395" t="s">
        <v>14</v>
      </c>
      <c r="J1395" s="4">
        <v>9.8541210795040093E-2</v>
      </c>
      <c r="K1395" t="s">
        <v>41</v>
      </c>
      <c r="L1395" t="s">
        <v>52</v>
      </c>
      <c r="M1395">
        <v>10</v>
      </c>
      <c r="N1395" t="s">
        <v>54</v>
      </c>
    </row>
    <row r="1396" spans="1:14" x14ac:dyDescent="0.3">
      <c r="A1396" s="1">
        <v>45410</v>
      </c>
      <c r="B1396" t="s">
        <v>30</v>
      </c>
      <c r="C1396" t="s">
        <v>11</v>
      </c>
      <c r="D1396" t="s">
        <v>17</v>
      </c>
      <c r="E1396">
        <v>7</v>
      </c>
      <c r="F1396">
        <v>1981</v>
      </c>
      <c r="G1396">
        <v>404.3</v>
      </c>
      <c r="H1396">
        <v>2024</v>
      </c>
      <c r="I1396" t="s">
        <v>23</v>
      </c>
      <c r="J1396" s="4">
        <v>0.20408884401817301</v>
      </c>
      <c r="K1396" t="s">
        <v>41</v>
      </c>
      <c r="L1396" t="s">
        <v>59</v>
      </c>
      <c r="M1396">
        <v>4</v>
      </c>
      <c r="N1396" t="s">
        <v>62</v>
      </c>
    </row>
    <row r="1397" spans="1:14" x14ac:dyDescent="0.3">
      <c r="A1397" s="1">
        <v>45353</v>
      </c>
      <c r="B1397" t="s">
        <v>30</v>
      </c>
      <c r="C1397" t="s">
        <v>11</v>
      </c>
      <c r="D1397" t="s">
        <v>22</v>
      </c>
      <c r="E1397">
        <v>2</v>
      </c>
      <c r="F1397">
        <v>668</v>
      </c>
      <c r="G1397">
        <v>90.67</v>
      </c>
      <c r="H1397">
        <v>2024</v>
      </c>
      <c r="I1397" t="s">
        <v>15</v>
      </c>
      <c r="J1397" s="4">
        <v>0.13573353293413201</v>
      </c>
      <c r="K1397" t="s">
        <v>41</v>
      </c>
      <c r="L1397" t="s">
        <v>55</v>
      </c>
      <c r="M1397">
        <v>3</v>
      </c>
      <c r="N1397" t="s">
        <v>56</v>
      </c>
    </row>
    <row r="1398" spans="1:14" x14ac:dyDescent="0.3">
      <c r="A1398" s="1">
        <v>45413</v>
      </c>
      <c r="B1398" t="s">
        <v>30</v>
      </c>
      <c r="C1398" t="s">
        <v>11</v>
      </c>
      <c r="D1398" t="s">
        <v>17</v>
      </c>
      <c r="E1398">
        <v>1</v>
      </c>
      <c r="F1398">
        <v>1123</v>
      </c>
      <c r="G1398">
        <v>318.08999999999997</v>
      </c>
      <c r="H1398">
        <v>2024</v>
      </c>
      <c r="I1398" t="s">
        <v>20</v>
      </c>
      <c r="J1398" s="4">
        <v>0.28325022261798799</v>
      </c>
      <c r="K1398" t="s">
        <v>41</v>
      </c>
      <c r="L1398" t="s">
        <v>59</v>
      </c>
      <c r="M1398">
        <v>5</v>
      </c>
      <c r="N1398" t="s">
        <v>20</v>
      </c>
    </row>
    <row r="1399" spans="1:14" x14ac:dyDescent="0.3">
      <c r="A1399" s="1">
        <v>45646</v>
      </c>
      <c r="B1399" t="s">
        <v>30</v>
      </c>
      <c r="C1399" t="s">
        <v>11</v>
      </c>
      <c r="D1399" t="s">
        <v>17</v>
      </c>
      <c r="E1399">
        <v>1</v>
      </c>
      <c r="F1399">
        <v>761</v>
      </c>
      <c r="G1399">
        <v>61.15</v>
      </c>
      <c r="H1399">
        <v>2024</v>
      </c>
      <c r="I1399" t="s">
        <v>13</v>
      </c>
      <c r="J1399" s="4">
        <v>8.0354796320630806E-2</v>
      </c>
      <c r="K1399" t="s">
        <v>41</v>
      </c>
      <c r="L1399" t="s">
        <v>52</v>
      </c>
      <c r="M1399">
        <v>12</v>
      </c>
      <c r="N1399" t="s">
        <v>53</v>
      </c>
    </row>
    <row r="1400" spans="1:14" x14ac:dyDescent="0.3">
      <c r="A1400" s="1">
        <v>45305</v>
      </c>
      <c r="B1400" t="s">
        <v>30</v>
      </c>
      <c r="C1400" t="s">
        <v>11</v>
      </c>
      <c r="D1400" t="s">
        <v>12</v>
      </c>
      <c r="E1400">
        <v>6</v>
      </c>
      <c r="F1400">
        <v>4728</v>
      </c>
      <c r="G1400">
        <v>682.01</v>
      </c>
      <c r="H1400">
        <v>2024</v>
      </c>
      <c r="I1400" t="s">
        <v>26</v>
      </c>
      <c r="J1400" s="4">
        <v>0.144249153976311</v>
      </c>
      <c r="K1400" t="s">
        <v>41</v>
      </c>
      <c r="L1400" t="s">
        <v>55</v>
      </c>
      <c r="M1400">
        <v>1</v>
      </c>
      <c r="N1400" t="s">
        <v>65</v>
      </c>
    </row>
    <row r="1401" spans="1:14" x14ac:dyDescent="0.3">
      <c r="A1401" s="1">
        <v>45536</v>
      </c>
      <c r="B1401" t="s">
        <v>30</v>
      </c>
      <c r="C1401" t="s">
        <v>11</v>
      </c>
      <c r="D1401" t="s">
        <v>12</v>
      </c>
      <c r="E1401">
        <v>5</v>
      </c>
      <c r="F1401">
        <v>5845</v>
      </c>
      <c r="G1401">
        <v>941.79</v>
      </c>
      <c r="H1401">
        <v>2024</v>
      </c>
      <c r="I1401" t="s">
        <v>21</v>
      </c>
      <c r="J1401" s="4">
        <v>0.16112745936698</v>
      </c>
      <c r="K1401" t="s">
        <v>41</v>
      </c>
      <c r="L1401" t="s">
        <v>60</v>
      </c>
      <c r="M1401">
        <v>9</v>
      </c>
      <c r="N1401" t="s">
        <v>61</v>
      </c>
    </row>
    <row r="1402" spans="1:14" x14ac:dyDescent="0.3">
      <c r="A1402" s="1">
        <v>45538</v>
      </c>
      <c r="B1402" t="s">
        <v>30</v>
      </c>
      <c r="C1402" t="s">
        <v>11</v>
      </c>
      <c r="D1402" t="s">
        <v>12</v>
      </c>
      <c r="E1402">
        <v>6</v>
      </c>
      <c r="F1402">
        <v>6246</v>
      </c>
      <c r="G1402">
        <v>327.14</v>
      </c>
      <c r="H1402">
        <v>2024</v>
      </c>
      <c r="I1402" t="s">
        <v>21</v>
      </c>
      <c r="J1402" s="4">
        <v>5.2375920589177102E-2</v>
      </c>
      <c r="K1402" t="s">
        <v>41</v>
      </c>
      <c r="L1402" t="s">
        <v>60</v>
      </c>
      <c r="M1402">
        <v>9</v>
      </c>
      <c r="N1402" t="s">
        <v>61</v>
      </c>
    </row>
    <row r="1403" spans="1:14" x14ac:dyDescent="0.3">
      <c r="A1403" s="1">
        <v>45590</v>
      </c>
      <c r="B1403" t="s">
        <v>30</v>
      </c>
      <c r="C1403" t="s">
        <v>11</v>
      </c>
      <c r="D1403" t="s">
        <v>19</v>
      </c>
      <c r="E1403">
        <v>1</v>
      </c>
      <c r="F1403">
        <v>989</v>
      </c>
      <c r="G1403">
        <v>149.99</v>
      </c>
      <c r="H1403">
        <v>2024</v>
      </c>
      <c r="I1403" t="s">
        <v>14</v>
      </c>
      <c r="J1403" s="4">
        <v>0.151658240647118</v>
      </c>
      <c r="K1403" t="s">
        <v>41</v>
      </c>
      <c r="L1403" t="s">
        <v>52</v>
      </c>
      <c r="M1403">
        <v>10</v>
      </c>
      <c r="N1403" t="s">
        <v>54</v>
      </c>
    </row>
    <row r="1404" spans="1:14" x14ac:dyDescent="0.3">
      <c r="A1404" s="1">
        <v>45654</v>
      </c>
      <c r="B1404" t="s">
        <v>30</v>
      </c>
      <c r="C1404" t="s">
        <v>11</v>
      </c>
      <c r="D1404" t="s">
        <v>19</v>
      </c>
      <c r="E1404">
        <v>2</v>
      </c>
      <c r="F1404">
        <v>208</v>
      </c>
      <c r="G1404">
        <v>11.53</v>
      </c>
      <c r="H1404">
        <v>2024</v>
      </c>
      <c r="I1404" t="s">
        <v>13</v>
      </c>
      <c r="J1404" s="4">
        <v>5.5432692307692301E-2</v>
      </c>
      <c r="K1404" t="s">
        <v>41</v>
      </c>
      <c r="L1404" t="s">
        <v>52</v>
      </c>
      <c r="M1404">
        <v>12</v>
      </c>
      <c r="N1404" t="s">
        <v>53</v>
      </c>
    </row>
    <row r="1405" spans="1:14" x14ac:dyDescent="0.3">
      <c r="A1405" s="1">
        <v>45565</v>
      </c>
      <c r="B1405" t="s">
        <v>30</v>
      </c>
      <c r="C1405" t="s">
        <v>11</v>
      </c>
      <c r="D1405" t="s">
        <v>22</v>
      </c>
      <c r="E1405">
        <v>3</v>
      </c>
      <c r="F1405">
        <v>1737</v>
      </c>
      <c r="G1405">
        <v>353.17</v>
      </c>
      <c r="H1405">
        <v>2024</v>
      </c>
      <c r="I1405" t="s">
        <v>21</v>
      </c>
      <c r="J1405" s="4">
        <v>0.203321819228555</v>
      </c>
      <c r="K1405" t="s">
        <v>41</v>
      </c>
      <c r="L1405" t="s">
        <v>60</v>
      </c>
      <c r="M1405">
        <v>9</v>
      </c>
      <c r="N1405" t="s">
        <v>61</v>
      </c>
    </row>
    <row r="1406" spans="1:14" x14ac:dyDescent="0.3">
      <c r="A1406" s="1">
        <v>45365</v>
      </c>
      <c r="B1406" t="s">
        <v>30</v>
      </c>
      <c r="C1406" t="s">
        <v>11</v>
      </c>
      <c r="D1406" t="s">
        <v>22</v>
      </c>
      <c r="E1406">
        <v>3</v>
      </c>
      <c r="F1406">
        <v>2634</v>
      </c>
      <c r="G1406">
        <v>392.21</v>
      </c>
      <c r="H1406">
        <v>2024</v>
      </c>
      <c r="I1406" t="s">
        <v>15</v>
      </c>
      <c r="J1406" s="4">
        <v>0.14890280941533801</v>
      </c>
      <c r="K1406" t="s">
        <v>41</v>
      </c>
      <c r="L1406" t="s">
        <v>55</v>
      </c>
      <c r="M1406">
        <v>3</v>
      </c>
      <c r="N1406" t="s">
        <v>56</v>
      </c>
    </row>
    <row r="1407" spans="1:14" x14ac:dyDescent="0.3">
      <c r="A1407" s="1">
        <v>45473</v>
      </c>
      <c r="B1407" t="s">
        <v>30</v>
      </c>
      <c r="C1407" t="s">
        <v>11</v>
      </c>
      <c r="D1407" t="s">
        <v>12</v>
      </c>
      <c r="E1407">
        <v>6</v>
      </c>
      <c r="F1407">
        <v>6234</v>
      </c>
      <c r="G1407">
        <v>1829.07</v>
      </c>
      <c r="H1407">
        <v>2024</v>
      </c>
      <c r="I1407" t="s">
        <v>27</v>
      </c>
      <c r="J1407" s="4">
        <v>0.29340230991337801</v>
      </c>
      <c r="K1407" t="s">
        <v>41</v>
      </c>
      <c r="L1407" t="s">
        <v>59</v>
      </c>
      <c r="M1407">
        <v>6</v>
      </c>
      <c r="N1407" t="s">
        <v>66</v>
      </c>
    </row>
    <row r="1408" spans="1:14" x14ac:dyDescent="0.3">
      <c r="A1408" s="1">
        <v>45599</v>
      </c>
      <c r="B1408" t="s">
        <v>30</v>
      </c>
      <c r="C1408" t="s">
        <v>11</v>
      </c>
      <c r="D1408" t="s">
        <v>19</v>
      </c>
      <c r="E1408">
        <v>3</v>
      </c>
      <c r="F1408">
        <v>321</v>
      </c>
      <c r="G1408">
        <v>72.13</v>
      </c>
      <c r="H1408">
        <v>2024</v>
      </c>
      <c r="I1408" t="s">
        <v>18</v>
      </c>
      <c r="J1408" s="4">
        <v>0.224704049844237</v>
      </c>
      <c r="K1408" t="s">
        <v>41</v>
      </c>
      <c r="L1408" t="s">
        <v>52</v>
      </c>
      <c r="M1408">
        <v>11</v>
      </c>
      <c r="N1408" t="s">
        <v>58</v>
      </c>
    </row>
    <row r="1409" spans="1:14" x14ac:dyDescent="0.3">
      <c r="A1409" s="1">
        <v>45419</v>
      </c>
      <c r="B1409" t="s">
        <v>30</v>
      </c>
      <c r="C1409" t="s">
        <v>11</v>
      </c>
      <c r="D1409" t="s">
        <v>12</v>
      </c>
      <c r="E1409">
        <v>1</v>
      </c>
      <c r="F1409">
        <v>770</v>
      </c>
      <c r="G1409">
        <v>121.75</v>
      </c>
      <c r="H1409">
        <v>2024</v>
      </c>
      <c r="I1409" t="s">
        <v>20</v>
      </c>
      <c r="J1409" s="4">
        <v>0.15811688311688299</v>
      </c>
      <c r="K1409" t="s">
        <v>41</v>
      </c>
      <c r="L1409" t="s">
        <v>59</v>
      </c>
      <c r="M1409">
        <v>5</v>
      </c>
      <c r="N1409" t="s">
        <v>20</v>
      </c>
    </row>
    <row r="1410" spans="1:14" x14ac:dyDescent="0.3">
      <c r="A1410" s="1">
        <v>45383</v>
      </c>
      <c r="B1410" t="s">
        <v>30</v>
      </c>
      <c r="C1410" t="s">
        <v>11</v>
      </c>
      <c r="D1410" t="s">
        <v>19</v>
      </c>
      <c r="E1410">
        <v>7</v>
      </c>
      <c r="F1410">
        <v>4550</v>
      </c>
      <c r="G1410">
        <v>892.73</v>
      </c>
      <c r="H1410">
        <v>2024</v>
      </c>
      <c r="I1410" t="s">
        <v>23</v>
      </c>
      <c r="J1410" s="4">
        <v>0.19620439560439601</v>
      </c>
      <c r="K1410" t="s">
        <v>41</v>
      </c>
      <c r="L1410" t="s">
        <v>59</v>
      </c>
      <c r="M1410">
        <v>4</v>
      </c>
      <c r="N1410" t="s">
        <v>62</v>
      </c>
    </row>
    <row r="1411" spans="1:14" x14ac:dyDescent="0.3">
      <c r="A1411" s="1">
        <v>45485</v>
      </c>
      <c r="B1411" t="s">
        <v>30</v>
      </c>
      <c r="C1411" t="s">
        <v>11</v>
      </c>
      <c r="D1411" t="s">
        <v>12</v>
      </c>
      <c r="E1411">
        <v>5</v>
      </c>
      <c r="F1411">
        <v>1190</v>
      </c>
      <c r="G1411">
        <v>346.79</v>
      </c>
      <c r="H1411">
        <v>2024</v>
      </c>
      <c r="I1411" t="s">
        <v>25</v>
      </c>
      <c r="J1411" s="4">
        <v>0.29142016806722698</v>
      </c>
      <c r="K1411" t="s">
        <v>41</v>
      </c>
      <c r="L1411" t="s">
        <v>60</v>
      </c>
      <c r="M1411">
        <v>7</v>
      </c>
      <c r="N1411" t="s">
        <v>64</v>
      </c>
    </row>
    <row r="1412" spans="1:14" x14ac:dyDescent="0.3">
      <c r="A1412" s="1">
        <v>45535</v>
      </c>
      <c r="B1412" t="s">
        <v>30</v>
      </c>
      <c r="C1412" t="s">
        <v>11</v>
      </c>
      <c r="D1412" t="s">
        <v>22</v>
      </c>
      <c r="E1412">
        <v>3</v>
      </c>
      <c r="F1412">
        <v>1527</v>
      </c>
      <c r="G1412">
        <v>364.05</v>
      </c>
      <c r="H1412">
        <v>2024</v>
      </c>
      <c r="I1412" t="s">
        <v>24</v>
      </c>
      <c r="J1412" s="4">
        <v>0.23840864440078599</v>
      </c>
      <c r="K1412" t="s">
        <v>41</v>
      </c>
      <c r="L1412" t="s">
        <v>60</v>
      </c>
      <c r="M1412">
        <v>8</v>
      </c>
      <c r="N1412" t="s">
        <v>63</v>
      </c>
    </row>
    <row r="1413" spans="1:14" x14ac:dyDescent="0.3">
      <c r="A1413" s="1">
        <v>45585</v>
      </c>
      <c r="B1413" t="s">
        <v>30</v>
      </c>
      <c r="C1413" t="s">
        <v>11</v>
      </c>
      <c r="D1413" t="s">
        <v>17</v>
      </c>
      <c r="E1413">
        <v>2</v>
      </c>
      <c r="F1413">
        <v>1168</v>
      </c>
      <c r="G1413">
        <v>198.4</v>
      </c>
      <c r="H1413">
        <v>2024</v>
      </c>
      <c r="I1413" t="s">
        <v>14</v>
      </c>
      <c r="J1413" s="4">
        <v>0.16986301369862999</v>
      </c>
      <c r="K1413" t="s">
        <v>41</v>
      </c>
      <c r="L1413" t="s">
        <v>52</v>
      </c>
      <c r="M1413">
        <v>10</v>
      </c>
      <c r="N1413" t="s">
        <v>54</v>
      </c>
    </row>
    <row r="1414" spans="1:14" x14ac:dyDescent="0.3">
      <c r="A1414" s="1">
        <v>45325</v>
      </c>
      <c r="B1414" t="s">
        <v>31</v>
      </c>
      <c r="C1414" t="s">
        <v>11</v>
      </c>
      <c r="D1414" t="s">
        <v>12</v>
      </c>
      <c r="E1414">
        <v>5</v>
      </c>
      <c r="F1414">
        <v>4205</v>
      </c>
      <c r="G1414">
        <v>585.29</v>
      </c>
      <c r="H1414">
        <v>2024</v>
      </c>
      <c r="I1414" t="s">
        <v>16</v>
      </c>
      <c r="J1414" s="4">
        <v>0.13918906064209299</v>
      </c>
      <c r="K1414" t="s">
        <v>41</v>
      </c>
      <c r="L1414" t="s">
        <v>55</v>
      </c>
      <c r="M1414">
        <v>2</v>
      </c>
      <c r="N1414" t="s">
        <v>57</v>
      </c>
    </row>
    <row r="1415" spans="1:14" x14ac:dyDescent="0.3">
      <c r="A1415" s="1">
        <v>45410</v>
      </c>
      <c r="B1415" t="s">
        <v>31</v>
      </c>
      <c r="C1415" t="s">
        <v>11</v>
      </c>
      <c r="D1415" t="s">
        <v>22</v>
      </c>
      <c r="E1415">
        <v>3</v>
      </c>
      <c r="F1415">
        <v>2409</v>
      </c>
      <c r="G1415">
        <v>531.79</v>
      </c>
      <c r="H1415">
        <v>2024</v>
      </c>
      <c r="I1415" t="s">
        <v>23</v>
      </c>
      <c r="J1415" s="4">
        <v>0.22075134910751301</v>
      </c>
      <c r="K1415" t="s">
        <v>41</v>
      </c>
      <c r="L1415" t="s">
        <v>59</v>
      </c>
      <c r="M1415">
        <v>4</v>
      </c>
      <c r="N1415" t="s">
        <v>62</v>
      </c>
    </row>
    <row r="1416" spans="1:14" x14ac:dyDescent="0.3">
      <c r="A1416" s="1">
        <v>45322</v>
      </c>
      <c r="B1416" t="s">
        <v>31</v>
      </c>
      <c r="C1416" t="s">
        <v>11</v>
      </c>
      <c r="D1416" t="s">
        <v>12</v>
      </c>
      <c r="E1416">
        <v>8</v>
      </c>
      <c r="F1416">
        <v>6224</v>
      </c>
      <c r="G1416">
        <v>1561.42</v>
      </c>
      <c r="H1416">
        <v>2024</v>
      </c>
      <c r="I1416" t="s">
        <v>26</v>
      </c>
      <c r="J1416" s="4">
        <v>0.25087082262210803</v>
      </c>
      <c r="K1416" t="s">
        <v>41</v>
      </c>
      <c r="L1416" t="s">
        <v>55</v>
      </c>
      <c r="M1416">
        <v>1</v>
      </c>
      <c r="N1416" t="s">
        <v>65</v>
      </c>
    </row>
    <row r="1417" spans="1:14" x14ac:dyDescent="0.3">
      <c r="A1417" s="1">
        <v>45420</v>
      </c>
      <c r="B1417" t="s">
        <v>31</v>
      </c>
      <c r="C1417" t="s">
        <v>11</v>
      </c>
      <c r="D1417" t="s">
        <v>19</v>
      </c>
      <c r="E1417">
        <v>6</v>
      </c>
      <c r="F1417">
        <v>882</v>
      </c>
      <c r="G1417">
        <v>184.48</v>
      </c>
      <c r="H1417">
        <v>2024</v>
      </c>
      <c r="I1417" t="s">
        <v>20</v>
      </c>
      <c r="J1417" s="4">
        <v>0.209160997732426</v>
      </c>
      <c r="K1417" t="s">
        <v>41</v>
      </c>
      <c r="L1417" t="s">
        <v>59</v>
      </c>
      <c r="M1417">
        <v>5</v>
      </c>
      <c r="N1417" t="s">
        <v>20</v>
      </c>
    </row>
    <row r="1418" spans="1:14" x14ac:dyDescent="0.3">
      <c r="A1418" s="1">
        <v>45545</v>
      </c>
      <c r="B1418" t="s">
        <v>31</v>
      </c>
      <c r="C1418" t="s">
        <v>11</v>
      </c>
      <c r="D1418" t="s">
        <v>19</v>
      </c>
      <c r="E1418">
        <v>4</v>
      </c>
      <c r="F1418">
        <v>1192</v>
      </c>
      <c r="G1418">
        <v>212.77</v>
      </c>
      <c r="H1418">
        <v>2024</v>
      </c>
      <c r="I1418" t="s">
        <v>21</v>
      </c>
      <c r="J1418" s="4">
        <v>0.17849832214765099</v>
      </c>
      <c r="K1418" t="s">
        <v>41</v>
      </c>
      <c r="L1418" t="s">
        <v>60</v>
      </c>
      <c r="M1418">
        <v>9</v>
      </c>
      <c r="N1418" t="s">
        <v>61</v>
      </c>
    </row>
    <row r="1419" spans="1:14" x14ac:dyDescent="0.3">
      <c r="A1419" s="1">
        <v>45480</v>
      </c>
      <c r="B1419" t="s">
        <v>31</v>
      </c>
      <c r="C1419" t="s">
        <v>11</v>
      </c>
      <c r="D1419" t="s">
        <v>22</v>
      </c>
      <c r="E1419">
        <v>8</v>
      </c>
      <c r="F1419">
        <v>7456</v>
      </c>
      <c r="G1419">
        <v>1702.48</v>
      </c>
      <c r="H1419">
        <v>2024</v>
      </c>
      <c r="I1419" t="s">
        <v>25</v>
      </c>
      <c r="J1419" s="4">
        <v>0.228336909871245</v>
      </c>
      <c r="K1419" t="s">
        <v>41</v>
      </c>
      <c r="L1419" t="s">
        <v>60</v>
      </c>
      <c r="M1419">
        <v>7</v>
      </c>
      <c r="N1419" t="s">
        <v>64</v>
      </c>
    </row>
    <row r="1420" spans="1:14" x14ac:dyDescent="0.3">
      <c r="A1420" s="1">
        <v>45375</v>
      </c>
      <c r="B1420" t="s">
        <v>31</v>
      </c>
      <c r="C1420" t="s">
        <v>11</v>
      </c>
      <c r="D1420" t="s">
        <v>19</v>
      </c>
      <c r="E1420">
        <v>3</v>
      </c>
      <c r="F1420">
        <v>435</v>
      </c>
      <c r="G1420">
        <v>129.27000000000001</v>
      </c>
      <c r="H1420">
        <v>2024</v>
      </c>
      <c r="I1420" t="s">
        <v>15</v>
      </c>
      <c r="J1420" s="4">
        <v>0.297172413793104</v>
      </c>
      <c r="K1420" t="s">
        <v>41</v>
      </c>
      <c r="L1420" t="s">
        <v>55</v>
      </c>
      <c r="M1420">
        <v>3</v>
      </c>
      <c r="N1420" t="s">
        <v>56</v>
      </c>
    </row>
    <row r="1421" spans="1:14" x14ac:dyDescent="0.3">
      <c r="A1421" s="1">
        <v>45410</v>
      </c>
      <c r="B1421" t="s">
        <v>31</v>
      </c>
      <c r="C1421" t="s">
        <v>11</v>
      </c>
      <c r="D1421" t="s">
        <v>22</v>
      </c>
      <c r="E1421">
        <v>4</v>
      </c>
      <c r="F1421">
        <v>4380</v>
      </c>
      <c r="G1421">
        <v>362.81</v>
      </c>
      <c r="H1421">
        <v>2024</v>
      </c>
      <c r="I1421" t="s">
        <v>23</v>
      </c>
      <c r="J1421" s="4">
        <v>8.2833333333333301E-2</v>
      </c>
      <c r="K1421" t="s">
        <v>41</v>
      </c>
      <c r="L1421" t="s">
        <v>59</v>
      </c>
      <c r="M1421">
        <v>4</v>
      </c>
      <c r="N1421" t="s">
        <v>62</v>
      </c>
    </row>
    <row r="1422" spans="1:14" x14ac:dyDescent="0.3">
      <c r="A1422" s="1">
        <v>45412</v>
      </c>
      <c r="B1422" t="s">
        <v>31</v>
      </c>
      <c r="C1422" t="s">
        <v>11</v>
      </c>
      <c r="D1422" t="s">
        <v>17</v>
      </c>
      <c r="E1422">
        <v>2</v>
      </c>
      <c r="F1422">
        <v>892</v>
      </c>
      <c r="G1422">
        <v>222.51</v>
      </c>
      <c r="H1422">
        <v>2024</v>
      </c>
      <c r="I1422" t="s">
        <v>23</v>
      </c>
      <c r="J1422" s="4">
        <v>0.24945067264574</v>
      </c>
      <c r="K1422" t="s">
        <v>41</v>
      </c>
      <c r="L1422" t="s">
        <v>59</v>
      </c>
      <c r="M1422">
        <v>4</v>
      </c>
      <c r="N1422" t="s">
        <v>62</v>
      </c>
    </row>
    <row r="1423" spans="1:14" x14ac:dyDescent="0.3">
      <c r="A1423" s="1">
        <v>45396</v>
      </c>
      <c r="B1423" t="s">
        <v>31</v>
      </c>
      <c r="C1423" t="s">
        <v>11</v>
      </c>
      <c r="D1423" t="s">
        <v>12</v>
      </c>
      <c r="E1423">
        <v>9</v>
      </c>
      <c r="F1423">
        <v>9162</v>
      </c>
      <c r="G1423">
        <v>1625.62</v>
      </c>
      <c r="H1423">
        <v>2024</v>
      </c>
      <c r="I1423" t="s">
        <v>23</v>
      </c>
      <c r="J1423" s="4">
        <v>0.177430691988649</v>
      </c>
      <c r="K1423" t="s">
        <v>41</v>
      </c>
      <c r="L1423" t="s">
        <v>59</v>
      </c>
      <c r="M1423">
        <v>4</v>
      </c>
      <c r="N1423" t="s">
        <v>62</v>
      </c>
    </row>
    <row r="1424" spans="1:14" x14ac:dyDescent="0.3">
      <c r="A1424" s="1">
        <v>45339</v>
      </c>
      <c r="B1424" t="s">
        <v>31</v>
      </c>
      <c r="C1424" t="s">
        <v>11</v>
      </c>
      <c r="D1424" t="s">
        <v>17</v>
      </c>
      <c r="E1424">
        <v>7</v>
      </c>
      <c r="F1424">
        <v>3612</v>
      </c>
      <c r="G1424">
        <v>529.57000000000005</v>
      </c>
      <c r="H1424">
        <v>2024</v>
      </c>
      <c r="I1424" t="s">
        <v>16</v>
      </c>
      <c r="J1424" s="4">
        <v>0.14661406423034301</v>
      </c>
      <c r="K1424" t="s">
        <v>41</v>
      </c>
      <c r="L1424" t="s">
        <v>55</v>
      </c>
      <c r="M1424">
        <v>2</v>
      </c>
      <c r="N1424" t="s">
        <v>57</v>
      </c>
    </row>
    <row r="1425" spans="1:14" x14ac:dyDescent="0.3">
      <c r="A1425" s="1">
        <v>45544</v>
      </c>
      <c r="B1425" t="s">
        <v>31</v>
      </c>
      <c r="C1425" t="s">
        <v>11</v>
      </c>
      <c r="D1425" t="s">
        <v>19</v>
      </c>
      <c r="E1425">
        <v>2</v>
      </c>
      <c r="F1425">
        <v>2258</v>
      </c>
      <c r="G1425">
        <v>280.76</v>
      </c>
      <c r="H1425">
        <v>2024</v>
      </c>
      <c r="I1425" t="s">
        <v>21</v>
      </c>
      <c r="J1425" s="4">
        <v>0.124340124003543</v>
      </c>
      <c r="K1425" t="s">
        <v>41</v>
      </c>
      <c r="L1425" t="s">
        <v>60</v>
      </c>
      <c r="M1425">
        <v>9</v>
      </c>
      <c r="N1425" t="s">
        <v>61</v>
      </c>
    </row>
    <row r="1426" spans="1:14" x14ac:dyDescent="0.3">
      <c r="A1426" s="1">
        <v>45576</v>
      </c>
      <c r="B1426" t="s">
        <v>31</v>
      </c>
      <c r="C1426" t="s">
        <v>11</v>
      </c>
      <c r="D1426" t="s">
        <v>22</v>
      </c>
      <c r="E1426">
        <v>5</v>
      </c>
      <c r="F1426">
        <v>5465</v>
      </c>
      <c r="G1426">
        <v>719.92</v>
      </c>
      <c r="H1426">
        <v>2024</v>
      </c>
      <c r="I1426" t="s">
        <v>14</v>
      </c>
      <c r="J1426" s="4">
        <v>0.13173284537968899</v>
      </c>
      <c r="K1426" t="s">
        <v>41</v>
      </c>
      <c r="L1426" t="s">
        <v>52</v>
      </c>
      <c r="M1426">
        <v>10</v>
      </c>
      <c r="N1426" t="s">
        <v>54</v>
      </c>
    </row>
    <row r="1427" spans="1:14" x14ac:dyDescent="0.3">
      <c r="A1427" s="1">
        <v>45403</v>
      </c>
      <c r="B1427" t="s">
        <v>31</v>
      </c>
      <c r="C1427" t="s">
        <v>11</v>
      </c>
      <c r="D1427" t="s">
        <v>22</v>
      </c>
      <c r="E1427">
        <v>6</v>
      </c>
      <c r="F1427">
        <v>7110</v>
      </c>
      <c r="G1427">
        <v>739.6</v>
      </c>
      <c r="H1427">
        <v>2024</v>
      </c>
      <c r="I1427" t="s">
        <v>23</v>
      </c>
      <c r="J1427" s="4">
        <v>0.10402250351617399</v>
      </c>
      <c r="K1427" t="s">
        <v>41</v>
      </c>
      <c r="L1427" t="s">
        <v>59</v>
      </c>
      <c r="M1427">
        <v>4</v>
      </c>
      <c r="N1427" t="s">
        <v>62</v>
      </c>
    </row>
    <row r="1428" spans="1:14" x14ac:dyDescent="0.3">
      <c r="A1428" s="1">
        <v>45651</v>
      </c>
      <c r="B1428" t="s">
        <v>31</v>
      </c>
      <c r="C1428" t="s">
        <v>11</v>
      </c>
      <c r="D1428" t="s">
        <v>12</v>
      </c>
      <c r="E1428">
        <v>3</v>
      </c>
      <c r="F1428">
        <v>3588</v>
      </c>
      <c r="G1428">
        <v>958.84</v>
      </c>
      <c r="H1428">
        <v>2024</v>
      </c>
      <c r="I1428" t="s">
        <v>13</v>
      </c>
      <c r="J1428" s="4">
        <v>0.26723522853957599</v>
      </c>
      <c r="K1428" t="s">
        <v>41</v>
      </c>
      <c r="L1428" t="s">
        <v>52</v>
      </c>
      <c r="M1428">
        <v>12</v>
      </c>
      <c r="N1428" t="s">
        <v>53</v>
      </c>
    </row>
    <row r="1429" spans="1:14" x14ac:dyDescent="0.3">
      <c r="A1429" s="1">
        <v>45380</v>
      </c>
      <c r="B1429" t="s">
        <v>31</v>
      </c>
      <c r="C1429" t="s">
        <v>11</v>
      </c>
      <c r="D1429" t="s">
        <v>17</v>
      </c>
      <c r="E1429">
        <v>4</v>
      </c>
      <c r="F1429">
        <v>2644</v>
      </c>
      <c r="G1429">
        <v>731.86</v>
      </c>
      <c r="H1429">
        <v>2024</v>
      </c>
      <c r="I1429" t="s">
        <v>15</v>
      </c>
      <c r="J1429" s="4">
        <v>0.276800302571861</v>
      </c>
      <c r="K1429" t="s">
        <v>41</v>
      </c>
      <c r="L1429" t="s">
        <v>55</v>
      </c>
      <c r="M1429">
        <v>3</v>
      </c>
      <c r="N1429" t="s">
        <v>56</v>
      </c>
    </row>
    <row r="1430" spans="1:14" x14ac:dyDescent="0.3">
      <c r="A1430" s="1">
        <v>45409</v>
      </c>
      <c r="B1430" t="s">
        <v>31</v>
      </c>
      <c r="C1430" t="s">
        <v>11</v>
      </c>
      <c r="D1430" t="s">
        <v>22</v>
      </c>
      <c r="E1430">
        <v>1</v>
      </c>
      <c r="F1430">
        <v>668</v>
      </c>
      <c r="G1430">
        <v>99.4</v>
      </c>
      <c r="H1430">
        <v>2024</v>
      </c>
      <c r="I1430" t="s">
        <v>23</v>
      </c>
      <c r="J1430" s="4">
        <v>0.148802395209581</v>
      </c>
      <c r="K1430" t="s">
        <v>41</v>
      </c>
      <c r="L1430" t="s">
        <v>59</v>
      </c>
      <c r="M1430">
        <v>4</v>
      </c>
      <c r="N1430" t="s">
        <v>62</v>
      </c>
    </row>
    <row r="1431" spans="1:14" x14ac:dyDescent="0.3">
      <c r="A1431" s="1">
        <v>45580</v>
      </c>
      <c r="B1431" t="s">
        <v>31</v>
      </c>
      <c r="C1431" t="s">
        <v>11</v>
      </c>
      <c r="D1431" t="s">
        <v>19</v>
      </c>
      <c r="E1431">
        <v>4</v>
      </c>
      <c r="F1431">
        <v>1896</v>
      </c>
      <c r="G1431">
        <v>191.7</v>
      </c>
      <c r="H1431">
        <v>2024</v>
      </c>
      <c r="I1431" t="s">
        <v>14</v>
      </c>
      <c r="J1431" s="4">
        <v>0.101107594936709</v>
      </c>
      <c r="K1431" t="s">
        <v>41</v>
      </c>
      <c r="L1431" t="s">
        <v>52</v>
      </c>
      <c r="M1431">
        <v>10</v>
      </c>
      <c r="N1431" t="s">
        <v>54</v>
      </c>
    </row>
    <row r="1432" spans="1:14" x14ac:dyDescent="0.3">
      <c r="A1432" s="1">
        <v>45333</v>
      </c>
      <c r="B1432" t="s">
        <v>31</v>
      </c>
      <c r="C1432" t="s">
        <v>11</v>
      </c>
      <c r="D1432" t="s">
        <v>22</v>
      </c>
      <c r="E1432">
        <v>6</v>
      </c>
      <c r="F1432">
        <v>3366</v>
      </c>
      <c r="G1432">
        <v>541.86</v>
      </c>
      <c r="H1432">
        <v>2024</v>
      </c>
      <c r="I1432" t="s">
        <v>16</v>
      </c>
      <c r="J1432" s="4">
        <v>0.16098039215686299</v>
      </c>
      <c r="K1432" t="s">
        <v>41</v>
      </c>
      <c r="L1432" t="s">
        <v>55</v>
      </c>
      <c r="M1432">
        <v>2</v>
      </c>
      <c r="N1432" t="s">
        <v>57</v>
      </c>
    </row>
    <row r="1433" spans="1:14" x14ac:dyDescent="0.3">
      <c r="A1433" s="1">
        <v>45491</v>
      </c>
      <c r="B1433" t="s">
        <v>31</v>
      </c>
      <c r="C1433" t="s">
        <v>11</v>
      </c>
      <c r="D1433" t="s">
        <v>17</v>
      </c>
      <c r="E1433">
        <v>2</v>
      </c>
      <c r="F1433">
        <v>380</v>
      </c>
      <c r="G1433">
        <v>101.7</v>
      </c>
      <c r="H1433">
        <v>2024</v>
      </c>
      <c r="I1433" t="s">
        <v>25</v>
      </c>
      <c r="J1433" s="4">
        <v>0.267631578947368</v>
      </c>
      <c r="K1433" t="s">
        <v>41</v>
      </c>
      <c r="L1433" t="s">
        <v>60</v>
      </c>
      <c r="M1433">
        <v>7</v>
      </c>
      <c r="N1433" t="s">
        <v>64</v>
      </c>
    </row>
    <row r="1434" spans="1:14" x14ac:dyDescent="0.3">
      <c r="A1434" s="1">
        <v>45462</v>
      </c>
      <c r="B1434" t="s">
        <v>31</v>
      </c>
      <c r="C1434" t="s">
        <v>11</v>
      </c>
      <c r="D1434" t="s">
        <v>19</v>
      </c>
      <c r="E1434">
        <v>7</v>
      </c>
      <c r="F1434">
        <v>4123</v>
      </c>
      <c r="G1434">
        <v>750.05</v>
      </c>
      <c r="H1434">
        <v>2024</v>
      </c>
      <c r="I1434" t="s">
        <v>27</v>
      </c>
      <c r="J1434" s="4">
        <v>0.18191850594227499</v>
      </c>
      <c r="K1434" t="s">
        <v>41</v>
      </c>
      <c r="L1434" t="s">
        <v>59</v>
      </c>
      <c r="M1434">
        <v>6</v>
      </c>
      <c r="N1434" t="s">
        <v>66</v>
      </c>
    </row>
    <row r="1435" spans="1:14" x14ac:dyDescent="0.3">
      <c r="A1435" s="1">
        <v>45391</v>
      </c>
      <c r="B1435" t="s">
        <v>31</v>
      </c>
      <c r="C1435" t="s">
        <v>11</v>
      </c>
      <c r="D1435" t="s">
        <v>12</v>
      </c>
      <c r="E1435">
        <v>7</v>
      </c>
      <c r="F1435">
        <v>1652</v>
      </c>
      <c r="G1435">
        <v>397.49</v>
      </c>
      <c r="H1435">
        <v>2024</v>
      </c>
      <c r="I1435" t="s">
        <v>23</v>
      </c>
      <c r="J1435" s="4">
        <v>0.240611380145278</v>
      </c>
      <c r="K1435" t="s">
        <v>41</v>
      </c>
      <c r="L1435" t="s">
        <v>59</v>
      </c>
      <c r="M1435">
        <v>4</v>
      </c>
      <c r="N1435" t="s">
        <v>62</v>
      </c>
    </row>
    <row r="1436" spans="1:14" x14ac:dyDescent="0.3">
      <c r="A1436" s="1">
        <v>45383</v>
      </c>
      <c r="B1436" t="s">
        <v>31</v>
      </c>
      <c r="C1436" t="s">
        <v>11</v>
      </c>
      <c r="D1436" t="s">
        <v>12</v>
      </c>
      <c r="E1436">
        <v>6</v>
      </c>
      <c r="F1436">
        <v>3252</v>
      </c>
      <c r="G1436">
        <v>834.84</v>
      </c>
      <c r="H1436">
        <v>2024</v>
      </c>
      <c r="I1436" t="s">
        <v>23</v>
      </c>
      <c r="J1436" s="4">
        <v>0.25671586715867201</v>
      </c>
      <c r="K1436" t="s">
        <v>41</v>
      </c>
      <c r="L1436" t="s">
        <v>59</v>
      </c>
      <c r="M1436">
        <v>4</v>
      </c>
      <c r="N1436" t="s">
        <v>62</v>
      </c>
    </row>
    <row r="1437" spans="1:14" x14ac:dyDescent="0.3">
      <c r="A1437" s="1">
        <v>45473</v>
      </c>
      <c r="B1437" t="s">
        <v>31</v>
      </c>
      <c r="C1437" t="s">
        <v>11</v>
      </c>
      <c r="D1437" t="s">
        <v>12</v>
      </c>
      <c r="E1437">
        <v>4</v>
      </c>
      <c r="F1437">
        <v>3888</v>
      </c>
      <c r="G1437">
        <v>284.17</v>
      </c>
      <c r="H1437">
        <v>2024</v>
      </c>
      <c r="I1437" t="s">
        <v>27</v>
      </c>
      <c r="J1437" s="4">
        <v>7.3088991769547307E-2</v>
      </c>
      <c r="K1437" t="s">
        <v>41</v>
      </c>
      <c r="L1437" t="s">
        <v>59</v>
      </c>
      <c r="M1437">
        <v>6</v>
      </c>
      <c r="N1437" t="s">
        <v>66</v>
      </c>
    </row>
    <row r="1438" spans="1:14" x14ac:dyDescent="0.3">
      <c r="A1438" s="1">
        <v>45580</v>
      </c>
      <c r="B1438" t="s">
        <v>31</v>
      </c>
      <c r="C1438" t="s">
        <v>11</v>
      </c>
      <c r="D1438" t="s">
        <v>19</v>
      </c>
      <c r="E1438">
        <v>9</v>
      </c>
      <c r="F1438">
        <v>7731</v>
      </c>
      <c r="G1438">
        <v>2178.0500000000002</v>
      </c>
      <c r="H1438">
        <v>2024</v>
      </c>
      <c r="I1438" t="s">
        <v>14</v>
      </c>
      <c r="J1438" s="4">
        <v>0.28172940111240502</v>
      </c>
      <c r="K1438" t="s">
        <v>41</v>
      </c>
      <c r="L1438" t="s">
        <v>52</v>
      </c>
      <c r="M1438">
        <v>10</v>
      </c>
      <c r="N1438" t="s">
        <v>54</v>
      </c>
    </row>
    <row r="1439" spans="1:14" x14ac:dyDescent="0.3">
      <c r="A1439" s="1">
        <v>45379</v>
      </c>
      <c r="B1439" t="s">
        <v>31</v>
      </c>
      <c r="C1439" t="s">
        <v>11</v>
      </c>
      <c r="D1439" t="s">
        <v>19</v>
      </c>
      <c r="E1439">
        <v>8</v>
      </c>
      <c r="F1439">
        <v>9448</v>
      </c>
      <c r="G1439">
        <v>616.5</v>
      </c>
      <c r="H1439">
        <v>2024</v>
      </c>
      <c r="I1439" t="s">
        <v>15</v>
      </c>
      <c r="J1439" s="4">
        <v>6.5251905165114296E-2</v>
      </c>
      <c r="K1439" t="s">
        <v>41</v>
      </c>
      <c r="L1439" t="s">
        <v>55</v>
      </c>
      <c r="M1439">
        <v>3</v>
      </c>
      <c r="N1439" t="s">
        <v>56</v>
      </c>
    </row>
    <row r="1440" spans="1:14" x14ac:dyDescent="0.3">
      <c r="A1440" s="1">
        <v>45478</v>
      </c>
      <c r="B1440" t="s">
        <v>31</v>
      </c>
      <c r="C1440" t="s">
        <v>11</v>
      </c>
      <c r="D1440" t="s">
        <v>22</v>
      </c>
      <c r="E1440">
        <v>5</v>
      </c>
      <c r="F1440">
        <v>870</v>
      </c>
      <c r="G1440">
        <v>48.87</v>
      </c>
      <c r="H1440">
        <v>2024</v>
      </c>
      <c r="I1440" t="s">
        <v>25</v>
      </c>
      <c r="J1440" s="4">
        <v>5.61724137931034E-2</v>
      </c>
      <c r="K1440" t="s">
        <v>41</v>
      </c>
      <c r="L1440" t="s">
        <v>60</v>
      </c>
      <c r="M1440">
        <v>7</v>
      </c>
      <c r="N1440" t="s">
        <v>64</v>
      </c>
    </row>
    <row r="1441" spans="1:14" x14ac:dyDescent="0.3">
      <c r="A1441" s="1">
        <v>45416</v>
      </c>
      <c r="B1441" t="s">
        <v>31</v>
      </c>
      <c r="C1441" t="s">
        <v>11</v>
      </c>
      <c r="D1441" t="s">
        <v>12</v>
      </c>
      <c r="E1441">
        <v>5</v>
      </c>
      <c r="F1441">
        <v>790</v>
      </c>
      <c r="G1441">
        <v>216.12</v>
      </c>
      <c r="H1441">
        <v>2024</v>
      </c>
      <c r="I1441" t="s">
        <v>20</v>
      </c>
      <c r="J1441" s="4">
        <v>0.273569620253165</v>
      </c>
      <c r="K1441" t="s">
        <v>41</v>
      </c>
      <c r="L1441" t="s">
        <v>59</v>
      </c>
      <c r="M1441">
        <v>5</v>
      </c>
      <c r="N1441" t="s">
        <v>20</v>
      </c>
    </row>
    <row r="1442" spans="1:14" x14ac:dyDescent="0.3">
      <c r="A1442" s="1">
        <v>45508</v>
      </c>
      <c r="B1442" t="s">
        <v>31</v>
      </c>
      <c r="C1442" t="s">
        <v>11</v>
      </c>
      <c r="D1442" t="s">
        <v>17</v>
      </c>
      <c r="E1442">
        <v>4</v>
      </c>
      <c r="F1442">
        <v>228</v>
      </c>
      <c r="G1442">
        <v>29.37</v>
      </c>
      <c r="H1442">
        <v>2024</v>
      </c>
      <c r="I1442" t="s">
        <v>24</v>
      </c>
      <c r="J1442" s="4">
        <v>0.12881578947368399</v>
      </c>
      <c r="K1442" t="s">
        <v>41</v>
      </c>
      <c r="L1442" t="s">
        <v>60</v>
      </c>
      <c r="M1442">
        <v>8</v>
      </c>
      <c r="N1442" t="s">
        <v>63</v>
      </c>
    </row>
    <row r="1443" spans="1:14" x14ac:dyDescent="0.3">
      <c r="A1443" s="1">
        <v>45635</v>
      </c>
      <c r="B1443" t="s">
        <v>31</v>
      </c>
      <c r="C1443" t="s">
        <v>11</v>
      </c>
      <c r="D1443" t="s">
        <v>12</v>
      </c>
      <c r="E1443">
        <v>8</v>
      </c>
      <c r="F1443">
        <v>5832</v>
      </c>
      <c r="G1443">
        <v>662.72</v>
      </c>
      <c r="H1443">
        <v>2024</v>
      </c>
      <c r="I1443" t="s">
        <v>13</v>
      </c>
      <c r="J1443" s="4">
        <v>0.11363511659808</v>
      </c>
      <c r="K1443" t="s">
        <v>41</v>
      </c>
      <c r="L1443" t="s">
        <v>52</v>
      </c>
      <c r="M1443">
        <v>12</v>
      </c>
      <c r="N1443" t="s">
        <v>53</v>
      </c>
    </row>
    <row r="1444" spans="1:14" x14ac:dyDescent="0.3">
      <c r="A1444" s="1">
        <v>45540</v>
      </c>
      <c r="B1444" t="s">
        <v>31</v>
      </c>
      <c r="C1444" t="s">
        <v>11</v>
      </c>
      <c r="D1444" t="s">
        <v>22</v>
      </c>
      <c r="E1444">
        <v>6</v>
      </c>
      <c r="F1444">
        <v>5406</v>
      </c>
      <c r="G1444">
        <v>1277.46</v>
      </c>
      <c r="H1444">
        <v>2024</v>
      </c>
      <c r="I1444" t="s">
        <v>21</v>
      </c>
      <c r="J1444" s="4">
        <v>0.23630410654827999</v>
      </c>
      <c r="K1444" t="s">
        <v>41</v>
      </c>
      <c r="L1444" t="s">
        <v>60</v>
      </c>
      <c r="M1444">
        <v>9</v>
      </c>
      <c r="N1444" t="s">
        <v>61</v>
      </c>
    </row>
    <row r="1445" spans="1:14" x14ac:dyDescent="0.3">
      <c r="A1445" s="1">
        <v>45326</v>
      </c>
      <c r="B1445" t="s">
        <v>31</v>
      </c>
      <c r="C1445" t="s">
        <v>11</v>
      </c>
      <c r="D1445" t="s">
        <v>17</v>
      </c>
      <c r="E1445">
        <v>2</v>
      </c>
      <c r="F1445">
        <v>1102</v>
      </c>
      <c r="G1445">
        <v>182.54</v>
      </c>
      <c r="H1445">
        <v>2024</v>
      </c>
      <c r="I1445" t="s">
        <v>16</v>
      </c>
      <c r="J1445" s="4">
        <v>0.16564428312159701</v>
      </c>
      <c r="K1445" t="s">
        <v>41</v>
      </c>
      <c r="L1445" t="s">
        <v>55</v>
      </c>
      <c r="M1445">
        <v>2</v>
      </c>
      <c r="N1445" t="s">
        <v>57</v>
      </c>
    </row>
    <row r="1446" spans="1:14" x14ac:dyDescent="0.3">
      <c r="A1446" s="1">
        <v>45381</v>
      </c>
      <c r="B1446" t="s">
        <v>31</v>
      </c>
      <c r="C1446" t="s">
        <v>11</v>
      </c>
      <c r="D1446" t="s">
        <v>17</v>
      </c>
      <c r="E1446">
        <v>3</v>
      </c>
      <c r="F1446">
        <v>3561</v>
      </c>
      <c r="G1446">
        <v>347.31</v>
      </c>
      <c r="H1446">
        <v>2024</v>
      </c>
      <c r="I1446" t="s">
        <v>15</v>
      </c>
      <c r="J1446" s="4">
        <v>9.7531592249368207E-2</v>
      </c>
      <c r="K1446" t="s">
        <v>41</v>
      </c>
      <c r="L1446" t="s">
        <v>55</v>
      </c>
      <c r="M1446">
        <v>3</v>
      </c>
      <c r="N1446" t="s">
        <v>56</v>
      </c>
    </row>
    <row r="1447" spans="1:14" x14ac:dyDescent="0.3">
      <c r="A1447" s="1">
        <v>45394</v>
      </c>
      <c r="B1447" t="s">
        <v>31</v>
      </c>
      <c r="C1447" t="s">
        <v>11</v>
      </c>
      <c r="D1447" t="s">
        <v>12</v>
      </c>
      <c r="E1447">
        <v>5</v>
      </c>
      <c r="F1447">
        <v>4555</v>
      </c>
      <c r="G1447">
        <v>776.65</v>
      </c>
      <c r="H1447">
        <v>2024</v>
      </c>
      <c r="I1447" t="s">
        <v>23</v>
      </c>
      <c r="J1447" s="4">
        <v>0.17050493962678401</v>
      </c>
      <c r="K1447" t="s">
        <v>41</v>
      </c>
      <c r="L1447" t="s">
        <v>59</v>
      </c>
      <c r="M1447">
        <v>4</v>
      </c>
      <c r="N1447" t="s">
        <v>62</v>
      </c>
    </row>
    <row r="1448" spans="1:14" x14ac:dyDescent="0.3">
      <c r="A1448" s="1">
        <v>45383</v>
      </c>
      <c r="B1448" t="s">
        <v>31</v>
      </c>
      <c r="C1448" t="s">
        <v>11</v>
      </c>
      <c r="D1448" t="s">
        <v>19</v>
      </c>
      <c r="E1448">
        <v>7</v>
      </c>
      <c r="F1448">
        <v>7266</v>
      </c>
      <c r="G1448">
        <v>806.79</v>
      </c>
      <c r="H1448">
        <v>2024</v>
      </c>
      <c r="I1448" t="s">
        <v>23</v>
      </c>
      <c r="J1448" s="4">
        <v>0.111036333608588</v>
      </c>
      <c r="K1448" t="s">
        <v>41</v>
      </c>
      <c r="L1448" t="s">
        <v>59</v>
      </c>
      <c r="M1448">
        <v>4</v>
      </c>
      <c r="N1448" t="s">
        <v>62</v>
      </c>
    </row>
    <row r="1449" spans="1:14" x14ac:dyDescent="0.3">
      <c r="A1449" s="1">
        <v>45623</v>
      </c>
      <c r="B1449" t="s">
        <v>31</v>
      </c>
      <c r="C1449" t="s">
        <v>11</v>
      </c>
      <c r="D1449" t="s">
        <v>19</v>
      </c>
      <c r="E1449">
        <v>7</v>
      </c>
      <c r="F1449">
        <v>6867</v>
      </c>
      <c r="G1449">
        <v>502.06</v>
      </c>
      <c r="H1449">
        <v>2024</v>
      </c>
      <c r="I1449" t="s">
        <v>18</v>
      </c>
      <c r="J1449" s="4">
        <v>7.3111984855104103E-2</v>
      </c>
      <c r="K1449" t="s">
        <v>41</v>
      </c>
      <c r="L1449" t="s">
        <v>52</v>
      </c>
      <c r="M1449">
        <v>11</v>
      </c>
      <c r="N1449" t="s">
        <v>58</v>
      </c>
    </row>
    <row r="1450" spans="1:14" x14ac:dyDescent="0.3">
      <c r="A1450" s="1">
        <v>45403</v>
      </c>
      <c r="B1450" t="s">
        <v>31</v>
      </c>
      <c r="C1450" t="s">
        <v>11</v>
      </c>
      <c r="D1450" t="s">
        <v>22</v>
      </c>
      <c r="E1450">
        <v>9</v>
      </c>
      <c r="F1450">
        <v>10314</v>
      </c>
      <c r="G1450">
        <v>2729.6</v>
      </c>
      <c r="H1450">
        <v>2024</v>
      </c>
      <c r="I1450" t="s">
        <v>23</v>
      </c>
      <c r="J1450" s="4">
        <v>0.26464999030444097</v>
      </c>
      <c r="K1450" t="s">
        <v>41</v>
      </c>
      <c r="L1450" t="s">
        <v>59</v>
      </c>
      <c r="M1450">
        <v>4</v>
      </c>
      <c r="N1450" t="s">
        <v>62</v>
      </c>
    </row>
    <row r="1451" spans="1:14" x14ac:dyDescent="0.3">
      <c r="A1451" s="1">
        <v>45606</v>
      </c>
      <c r="B1451" t="s">
        <v>31</v>
      </c>
      <c r="C1451" t="s">
        <v>11</v>
      </c>
      <c r="D1451" t="s">
        <v>12</v>
      </c>
      <c r="E1451">
        <v>9</v>
      </c>
      <c r="F1451">
        <v>8667</v>
      </c>
      <c r="G1451">
        <v>1597.49</v>
      </c>
      <c r="H1451">
        <v>2024</v>
      </c>
      <c r="I1451" t="s">
        <v>18</v>
      </c>
      <c r="J1451" s="4">
        <v>0.18431868005076699</v>
      </c>
      <c r="K1451" t="s">
        <v>41</v>
      </c>
      <c r="L1451" t="s">
        <v>52</v>
      </c>
      <c r="M1451">
        <v>11</v>
      </c>
      <c r="N1451" t="s">
        <v>58</v>
      </c>
    </row>
    <row r="1452" spans="1:14" x14ac:dyDescent="0.3">
      <c r="A1452" s="1">
        <v>45329</v>
      </c>
      <c r="B1452" t="s">
        <v>31</v>
      </c>
      <c r="C1452" t="s">
        <v>11</v>
      </c>
      <c r="D1452" t="s">
        <v>12</v>
      </c>
      <c r="E1452">
        <v>2</v>
      </c>
      <c r="F1452">
        <v>214</v>
      </c>
      <c r="G1452">
        <v>14.08</v>
      </c>
      <c r="H1452">
        <v>2024</v>
      </c>
      <c r="I1452" t="s">
        <v>16</v>
      </c>
      <c r="J1452" s="4">
        <v>6.5794392523364498E-2</v>
      </c>
      <c r="K1452" t="s">
        <v>41</v>
      </c>
      <c r="L1452" t="s">
        <v>55</v>
      </c>
      <c r="M1452">
        <v>2</v>
      </c>
      <c r="N1452" t="s">
        <v>57</v>
      </c>
    </row>
    <row r="1453" spans="1:14" x14ac:dyDescent="0.3">
      <c r="A1453" s="1">
        <v>45657</v>
      </c>
      <c r="B1453" t="s">
        <v>31</v>
      </c>
      <c r="C1453" t="s">
        <v>11</v>
      </c>
      <c r="D1453" t="s">
        <v>12</v>
      </c>
      <c r="E1453">
        <v>6</v>
      </c>
      <c r="F1453">
        <v>930</v>
      </c>
      <c r="G1453">
        <v>213.6</v>
      </c>
      <c r="H1453">
        <v>2024</v>
      </c>
      <c r="I1453" t="s">
        <v>13</v>
      </c>
      <c r="J1453" s="4">
        <v>0.22967741935483901</v>
      </c>
      <c r="K1453" t="s">
        <v>41</v>
      </c>
      <c r="L1453" t="s">
        <v>52</v>
      </c>
      <c r="M1453">
        <v>12</v>
      </c>
      <c r="N1453" t="s">
        <v>53</v>
      </c>
    </row>
    <row r="1454" spans="1:14" x14ac:dyDescent="0.3">
      <c r="A1454" s="1">
        <v>45298</v>
      </c>
      <c r="B1454" t="s">
        <v>31</v>
      </c>
      <c r="C1454" t="s">
        <v>11</v>
      </c>
      <c r="D1454" t="s">
        <v>17</v>
      </c>
      <c r="E1454">
        <v>9</v>
      </c>
      <c r="F1454">
        <v>8793</v>
      </c>
      <c r="G1454">
        <v>901.7</v>
      </c>
      <c r="H1454">
        <v>2024</v>
      </c>
      <c r="I1454" t="s">
        <v>26</v>
      </c>
      <c r="J1454" s="4">
        <v>0.102547480950756</v>
      </c>
      <c r="K1454" t="s">
        <v>41</v>
      </c>
      <c r="L1454" t="s">
        <v>55</v>
      </c>
      <c r="M1454">
        <v>1</v>
      </c>
      <c r="N1454" t="s">
        <v>65</v>
      </c>
    </row>
    <row r="1455" spans="1:14" x14ac:dyDescent="0.3">
      <c r="A1455" s="1">
        <v>45404</v>
      </c>
      <c r="B1455" t="s">
        <v>31</v>
      </c>
      <c r="C1455" t="s">
        <v>11</v>
      </c>
      <c r="D1455" t="s">
        <v>12</v>
      </c>
      <c r="E1455">
        <v>6</v>
      </c>
      <c r="F1455">
        <v>648</v>
      </c>
      <c r="G1455">
        <v>162.30000000000001</v>
      </c>
      <c r="H1455">
        <v>2024</v>
      </c>
      <c r="I1455" t="s">
        <v>23</v>
      </c>
      <c r="J1455" s="4">
        <v>0.250462962962963</v>
      </c>
      <c r="K1455" t="s">
        <v>41</v>
      </c>
      <c r="L1455" t="s">
        <v>59</v>
      </c>
      <c r="M1455">
        <v>4</v>
      </c>
      <c r="N1455" t="s">
        <v>62</v>
      </c>
    </row>
    <row r="1456" spans="1:14" x14ac:dyDescent="0.3">
      <c r="A1456" s="1">
        <v>45437</v>
      </c>
      <c r="B1456" t="s">
        <v>31</v>
      </c>
      <c r="C1456" t="s">
        <v>11</v>
      </c>
      <c r="D1456" t="s">
        <v>12</v>
      </c>
      <c r="E1456">
        <v>6</v>
      </c>
      <c r="F1456">
        <v>5724</v>
      </c>
      <c r="G1456">
        <v>1640.19</v>
      </c>
      <c r="H1456">
        <v>2024</v>
      </c>
      <c r="I1456" t="s">
        <v>20</v>
      </c>
      <c r="J1456" s="4">
        <v>0.28654612159329101</v>
      </c>
      <c r="K1456" t="s">
        <v>41</v>
      </c>
      <c r="L1456" t="s">
        <v>59</v>
      </c>
      <c r="M1456">
        <v>5</v>
      </c>
      <c r="N1456" t="s">
        <v>20</v>
      </c>
    </row>
    <row r="1457" spans="1:14" x14ac:dyDescent="0.3">
      <c r="A1457" s="1">
        <v>45407</v>
      </c>
      <c r="B1457" t="s">
        <v>31</v>
      </c>
      <c r="C1457" t="s">
        <v>11</v>
      </c>
      <c r="D1457" t="s">
        <v>12</v>
      </c>
      <c r="E1457">
        <v>7</v>
      </c>
      <c r="F1457">
        <v>7994</v>
      </c>
      <c r="G1457">
        <v>908.65</v>
      </c>
      <c r="H1457">
        <v>2024</v>
      </c>
      <c r="I1457" t="s">
        <v>23</v>
      </c>
      <c r="J1457" s="4">
        <v>0.113666499874906</v>
      </c>
      <c r="K1457" t="s">
        <v>41</v>
      </c>
      <c r="L1457" t="s">
        <v>59</v>
      </c>
      <c r="M1457">
        <v>4</v>
      </c>
      <c r="N1457" t="s">
        <v>62</v>
      </c>
    </row>
    <row r="1458" spans="1:14" x14ac:dyDescent="0.3">
      <c r="A1458" s="1">
        <v>45294</v>
      </c>
      <c r="B1458" t="s">
        <v>31</v>
      </c>
      <c r="C1458" t="s">
        <v>11</v>
      </c>
      <c r="D1458" t="s">
        <v>17</v>
      </c>
      <c r="E1458">
        <v>1</v>
      </c>
      <c r="F1458">
        <v>357</v>
      </c>
      <c r="G1458">
        <v>82.86</v>
      </c>
      <c r="H1458">
        <v>2024</v>
      </c>
      <c r="I1458" t="s">
        <v>26</v>
      </c>
      <c r="J1458" s="4">
        <v>0.23210084033613401</v>
      </c>
      <c r="K1458" t="s">
        <v>41</v>
      </c>
      <c r="L1458" t="s">
        <v>55</v>
      </c>
      <c r="M1458">
        <v>1</v>
      </c>
      <c r="N1458" t="s">
        <v>65</v>
      </c>
    </row>
    <row r="1459" spans="1:14" x14ac:dyDescent="0.3">
      <c r="A1459" s="1">
        <v>45639</v>
      </c>
      <c r="B1459" t="s">
        <v>31</v>
      </c>
      <c r="C1459" t="s">
        <v>11</v>
      </c>
      <c r="D1459" t="s">
        <v>12</v>
      </c>
      <c r="E1459">
        <v>2</v>
      </c>
      <c r="F1459">
        <v>2354</v>
      </c>
      <c r="G1459">
        <v>371.34</v>
      </c>
      <c r="H1459">
        <v>2024</v>
      </c>
      <c r="I1459" t="s">
        <v>13</v>
      </c>
      <c r="J1459" s="4">
        <v>0.15774851316907401</v>
      </c>
      <c r="K1459" t="s">
        <v>41</v>
      </c>
      <c r="L1459" t="s">
        <v>52</v>
      </c>
      <c r="M1459">
        <v>12</v>
      </c>
      <c r="N1459" t="s">
        <v>53</v>
      </c>
    </row>
    <row r="1460" spans="1:14" x14ac:dyDescent="0.3">
      <c r="A1460" s="1">
        <v>45575</v>
      </c>
      <c r="B1460" t="s">
        <v>31</v>
      </c>
      <c r="C1460" t="s">
        <v>11</v>
      </c>
      <c r="D1460" t="s">
        <v>22</v>
      </c>
      <c r="E1460">
        <v>2</v>
      </c>
      <c r="F1460">
        <v>2032</v>
      </c>
      <c r="G1460">
        <v>149.69999999999999</v>
      </c>
      <c r="H1460">
        <v>2024</v>
      </c>
      <c r="I1460" t="s">
        <v>14</v>
      </c>
      <c r="J1460" s="4">
        <v>7.3671259842519696E-2</v>
      </c>
      <c r="K1460" t="s">
        <v>41</v>
      </c>
      <c r="L1460" t="s">
        <v>52</v>
      </c>
      <c r="M1460">
        <v>10</v>
      </c>
      <c r="N1460" t="s">
        <v>54</v>
      </c>
    </row>
    <row r="1461" spans="1:14" x14ac:dyDescent="0.3">
      <c r="A1461" s="1">
        <v>45433</v>
      </c>
      <c r="B1461" t="s">
        <v>31</v>
      </c>
      <c r="C1461" t="s">
        <v>11</v>
      </c>
      <c r="D1461" t="s">
        <v>22</v>
      </c>
      <c r="E1461">
        <v>4</v>
      </c>
      <c r="F1461">
        <v>1624</v>
      </c>
      <c r="G1461">
        <v>333.74</v>
      </c>
      <c r="H1461">
        <v>2024</v>
      </c>
      <c r="I1461" t="s">
        <v>20</v>
      </c>
      <c r="J1461" s="4">
        <v>0.20550492610837401</v>
      </c>
      <c r="K1461" t="s">
        <v>41</v>
      </c>
      <c r="L1461" t="s">
        <v>59</v>
      </c>
      <c r="M1461">
        <v>5</v>
      </c>
      <c r="N1461" t="s">
        <v>20</v>
      </c>
    </row>
    <row r="1462" spans="1:14" x14ac:dyDescent="0.3">
      <c r="A1462" s="1">
        <v>45501</v>
      </c>
      <c r="B1462" t="s">
        <v>31</v>
      </c>
      <c r="C1462" t="s">
        <v>11</v>
      </c>
      <c r="D1462" t="s">
        <v>12</v>
      </c>
      <c r="E1462">
        <v>7</v>
      </c>
      <c r="F1462">
        <v>5978</v>
      </c>
      <c r="G1462">
        <v>1791.25</v>
      </c>
      <c r="H1462">
        <v>2024</v>
      </c>
      <c r="I1462" t="s">
        <v>25</v>
      </c>
      <c r="J1462" s="4">
        <v>0.29964034794245598</v>
      </c>
      <c r="K1462" t="s">
        <v>41</v>
      </c>
      <c r="L1462" t="s">
        <v>60</v>
      </c>
      <c r="M1462">
        <v>7</v>
      </c>
      <c r="N1462" t="s">
        <v>64</v>
      </c>
    </row>
    <row r="1463" spans="1:14" x14ac:dyDescent="0.3">
      <c r="A1463" s="1">
        <v>45419</v>
      </c>
      <c r="B1463" t="s">
        <v>31</v>
      </c>
      <c r="C1463" t="s">
        <v>11</v>
      </c>
      <c r="D1463" t="s">
        <v>12</v>
      </c>
      <c r="E1463">
        <v>6</v>
      </c>
      <c r="F1463">
        <v>5532</v>
      </c>
      <c r="G1463">
        <v>552.74</v>
      </c>
      <c r="H1463">
        <v>2024</v>
      </c>
      <c r="I1463" t="s">
        <v>20</v>
      </c>
      <c r="J1463" s="4">
        <v>9.9916847433116407E-2</v>
      </c>
      <c r="K1463" t="s">
        <v>41</v>
      </c>
      <c r="L1463" t="s">
        <v>59</v>
      </c>
      <c r="M1463">
        <v>5</v>
      </c>
      <c r="N1463" t="s">
        <v>20</v>
      </c>
    </row>
    <row r="1464" spans="1:14" x14ac:dyDescent="0.3">
      <c r="A1464" s="1">
        <v>45528</v>
      </c>
      <c r="B1464" t="s">
        <v>31</v>
      </c>
      <c r="C1464" t="s">
        <v>11</v>
      </c>
      <c r="D1464" t="s">
        <v>12</v>
      </c>
      <c r="E1464">
        <v>1</v>
      </c>
      <c r="F1464">
        <v>719</v>
      </c>
      <c r="G1464">
        <v>40.42</v>
      </c>
      <c r="H1464">
        <v>2024</v>
      </c>
      <c r="I1464" t="s">
        <v>24</v>
      </c>
      <c r="J1464" s="4">
        <v>5.6216968011126599E-2</v>
      </c>
      <c r="K1464" t="s">
        <v>41</v>
      </c>
      <c r="L1464" t="s">
        <v>60</v>
      </c>
      <c r="M1464">
        <v>8</v>
      </c>
      <c r="N1464" t="s">
        <v>63</v>
      </c>
    </row>
    <row r="1465" spans="1:14" x14ac:dyDescent="0.3">
      <c r="A1465" s="1">
        <v>45605</v>
      </c>
      <c r="B1465" t="s">
        <v>31</v>
      </c>
      <c r="C1465" t="s">
        <v>11</v>
      </c>
      <c r="D1465" t="s">
        <v>12</v>
      </c>
      <c r="E1465">
        <v>5</v>
      </c>
      <c r="F1465">
        <v>3795</v>
      </c>
      <c r="G1465">
        <v>239.15</v>
      </c>
      <c r="H1465">
        <v>2024</v>
      </c>
      <c r="I1465" t="s">
        <v>18</v>
      </c>
      <c r="J1465" s="4">
        <v>6.3017127799736505E-2</v>
      </c>
      <c r="K1465" t="s">
        <v>41</v>
      </c>
      <c r="L1465" t="s">
        <v>52</v>
      </c>
      <c r="M1465">
        <v>11</v>
      </c>
      <c r="N1465" t="s">
        <v>58</v>
      </c>
    </row>
    <row r="1466" spans="1:14" x14ac:dyDescent="0.3">
      <c r="A1466" s="1">
        <v>45320</v>
      </c>
      <c r="B1466" t="s">
        <v>31</v>
      </c>
      <c r="C1466" t="s">
        <v>11</v>
      </c>
      <c r="D1466" t="s">
        <v>12</v>
      </c>
      <c r="E1466">
        <v>9</v>
      </c>
      <c r="F1466">
        <v>8343</v>
      </c>
      <c r="G1466">
        <v>821</v>
      </c>
      <c r="H1466">
        <v>2024</v>
      </c>
      <c r="I1466" t="s">
        <v>26</v>
      </c>
      <c r="J1466" s="4">
        <v>9.8405849214910704E-2</v>
      </c>
      <c r="K1466" t="s">
        <v>41</v>
      </c>
      <c r="L1466" t="s">
        <v>55</v>
      </c>
      <c r="M1466">
        <v>1</v>
      </c>
      <c r="N1466" t="s">
        <v>65</v>
      </c>
    </row>
    <row r="1467" spans="1:14" x14ac:dyDescent="0.3">
      <c r="A1467" s="1">
        <v>45588</v>
      </c>
      <c r="B1467" t="s">
        <v>31</v>
      </c>
      <c r="C1467" t="s">
        <v>11</v>
      </c>
      <c r="D1467" t="s">
        <v>17</v>
      </c>
      <c r="E1467">
        <v>1</v>
      </c>
      <c r="F1467">
        <v>92</v>
      </c>
      <c r="G1467">
        <v>14.88</v>
      </c>
      <c r="H1467">
        <v>2024</v>
      </c>
      <c r="I1467" t="s">
        <v>14</v>
      </c>
      <c r="J1467" s="4">
        <v>0.161739130434783</v>
      </c>
      <c r="K1467" t="s">
        <v>41</v>
      </c>
      <c r="L1467" t="s">
        <v>52</v>
      </c>
      <c r="M1467">
        <v>10</v>
      </c>
      <c r="N1467" t="s">
        <v>54</v>
      </c>
    </row>
    <row r="1468" spans="1:14" x14ac:dyDescent="0.3">
      <c r="A1468" s="1">
        <v>45419</v>
      </c>
      <c r="B1468" t="s">
        <v>31</v>
      </c>
      <c r="C1468" t="s">
        <v>11</v>
      </c>
      <c r="D1468" t="s">
        <v>19</v>
      </c>
      <c r="E1468">
        <v>1</v>
      </c>
      <c r="F1468">
        <v>63</v>
      </c>
      <c r="G1468">
        <v>11.91</v>
      </c>
      <c r="H1468">
        <v>2024</v>
      </c>
      <c r="I1468" t="s">
        <v>20</v>
      </c>
      <c r="J1468" s="4">
        <v>0.18904761904761899</v>
      </c>
      <c r="K1468" t="s">
        <v>41</v>
      </c>
      <c r="L1468" t="s">
        <v>59</v>
      </c>
      <c r="M1468">
        <v>5</v>
      </c>
      <c r="N1468" t="s">
        <v>20</v>
      </c>
    </row>
    <row r="1469" spans="1:14" x14ac:dyDescent="0.3">
      <c r="A1469" s="1">
        <v>45397</v>
      </c>
      <c r="B1469" t="s">
        <v>31</v>
      </c>
      <c r="C1469" t="s">
        <v>11</v>
      </c>
      <c r="D1469" t="s">
        <v>19</v>
      </c>
      <c r="E1469">
        <v>5</v>
      </c>
      <c r="F1469">
        <v>750</v>
      </c>
      <c r="G1469">
        <v>207.77</v>
      </c>
      <c r="H1469">
        <v>2024</v>
      </c>
      <c r="I1469" t="s">
        <v>23</v>
      </c>
      <c r="J1469" s="4">
        <v>0.27702666666666698</v>
      </c>
      <c r="K1469" t="s">
        <v>41</v>
      </c>
      <c r="L1469" t="s">
        <v>59</v>
      </c>
      <c r="M1469">
        <v>4</v>
      </c>
      <c r="N1469" t="s">
        <v>62</v>
      </c>
    </row>
    <row r="1470" spans="1:14" x14ac:dyDescent="0.3">
      <c r="A1470" s="1">
        <v>45355</v>
      </c>
      <c r="B1470" t="s">
        <v>31</v>
      </c>
      <c r="C1470" t="s">
        <v>11</v>
      </c>
      <c r="D1470" t="s">
        <v>12</v>
      </c>
      <c r="E1470">
        <v>9</v>
      </c>
      <c r="F1470">
        <v>10458</v>
      </c>
      <c r="G1470">
        <v>1835.21</v>
      </c>
      <c r="H1470">
        <v>2024</v>
      </c>
      <c r="I1470" t="s">
        <v>15</v>
      </c>
      <c r="J1470" s="4">
        <v>0.17548384012239401</v>
      </c>
      <c r="K1470" t="s">
        <v>41</v>
      </c>
      <c r="L1470" t="s">
        <v>55</v>
      </c>
      <c r="M1470">
        <v>3</v>
      </c>
      <c r="N1470" t="s">
        <v>56</v>
      </c>
    </row>
    <row r="1471" spans="1:14" x14ac:dyDescent="0.3">
      <c r="A1471" s="1">
        <v>45327</v>
      </c>
      <c r="B1471" t="s">
        <v>31</v>
      </c>
      <c r="C1471" t="s">
        <v>11</v>
      </c>
      <c r="D1471" t="s">
        <v>12</v>
      </c>
      <c r="E1471">
        <v>2</v>
      </c>
      <c r="F1471">
        <v>582</v>
      </c>
      <c r="G1471">
        <v>76.45</v>
      </c>
      <c r="H1471">
        <v>2024</v>
      </c>
      <c r="I1471" t="s">
        <v>16</v>
      </c>
      <c r="J1471" s="4">
        <v>0.13135738831615101</v>
      </c>
      <c r="K1471" t="s">
        <v>41</v>
      </c>
      <c r="L1471" t="s">
        <v>55</v>
      </c>
      <c r="M1471">
        <v>2</v>
      </c>
      <c r="N1471" t="s">
        <v>57</v>
      </c>
    </row>
    <row r="1472" spans="1:14" x14ac:dyDescent="0.3">
      <c r="A1472" s="1">
        <v>45414</v>
      </c>
      <c r="B1472" t="s">
        <v>31</v>
      </c>
      <c r="C1472" t="s">
        <v>11</v>
      </c>
      <c r="D1472" t="s">
        <v>17</v>
      </c>
      <c r="E1472">
        <v>1</v>
      </c>
      <c r="F1472">
        <v>225</v>
      </c>
      <c r="G1472">
        <v>51.07</v>
      </c>
      <c r="H1472">
        <v>2024</v>
      </c>
      <c r="I1472" t="s">
        <v>20</v>
      </c>
      <c r="J1472" s="4">
        <v>0.226977777777778</v>
      </c>
      <c r="K1472" t="s">
        <v>41</v>
      </c>
      <c r="L1472" t="s">
        <v>59</v>
      </c>
      <c r="M1472">
        <v>5</v>
      </c>
      <c r="N1472" t="s">
        <v>20</v>
      </c>
    </row>
    <row r="1473" spans="1:14" x14ac:dyDescent="0.3">
      <c r="A1473" s="1">
        <v>45553</v>
      </c>
      <c r="B1473" t="s">
        <v>31</v>
      </c>
      <c r="C1473" t="s">
        <v>11</v>
      </c>
      <c r="D1473" t="s">
        <v>17</v>
      </c>
      <c r="E1473">
        <v>4</v>
      </c>
      <c r="F1473">
        <v>2064</v>
      </c>
      <c r="G1473">
        <v>359.3</v>
      </c>
      <c r="H1473">
        <v>2024</v>
      </c>
      <c r="I1473" t="s">
        <v>21</v>
      </c>
      <c r="J1473" s="4">
        <v>0.17407945736434099</v>
      </c>
      <c r="K1473" t="s">
        <v>41</v>
      </c>
      <c r="L1473" t="s">
        <v>60</v>
      </c>
      <c r="M1473">
        <v>9</v>
      </c>
      <c r="N1473" t="s">
        <v>61</v>
      </c>
    </row>
    <row r="1474" spans="1:14" x14ac:dyDescent="0.3">
      <c r="A1474" s="1">
        <v>45526</v>
      </c>
      <c r="B1474" t="s">
        <v>31</v>
      </c>
      <c r="C1474" t="s">
        <v>11</v>
      </c>
      <c r="D1474" t="s">
        <v>17</v>
      </c>
      <c r="E1474">
        <v>8</v>
      </c>
      <c r="F1474">
        <v>2864</v>
      </c>
      <c r="G1474">
        <v>195.16</v>
      </c>
      <c r="H1474">
        <v>2024</v>
      </c>
      <c r="I1474" t="s">
        <v>24</v>
      </c>
      <c r="J1474" s="4">
        <v>6.8142458100558703E-2</v>
      </c>
      <c r="K1474" t="s">
        <v>41</v>
      </c>
      <c r="L1474" t="s">
        <v>60</v>
      </c>
      <c r="M1474">
        <v>8</v>
      </c>
      <c r="N1474" t="s">
        <v>63</v>
      </c>
    </row>
    <row r="1475" spans="1:14" x14ac:dyDescent="0.3">
      <c r="A1475" s="1">
        <v>45602</v>
      </c>
      <c r="B1475" t="s">
        <v>31</v>
      </c>
      <c r="C1475" t="s">
        <v>11</v>
      </c>
      <c r="D1475" t="s">
        <v>12</v>
      </c>
      <c r="E1475">
        <v>2</v>
      </c>
      <c r="F1475">
        <v>2204</v>
      </c>
      <c r="G1475">
        <v>523.82000000000005</v>
      </c>
      <c r="H1475">
        <v>2024</v>
      </c>
      <c r="I1475" t="s">
        <v>18</v>
      </c>
      <c r="J1475" s="4">
        <v>0.23766787658802199</v>
      </c>
      <c r="K1475" t="s">
        <v>41</v>
      </c>
      <c r="L1475" t="s">
        <v>52</v>
      </c>
      <c r="M1475">
        <v>11</v>
      </c>
      <c r="N1475" t="s">
        <v>58</v>
      </c>
    </row>
    <row r="1476" spans="1:14" x14ac:dyDescent="0.3">
      <c r="A1476" s="1">
        <v>45371</v>
      </c>
      <c r="B1476" t="s">
        <v>31</v>
      </c>
      <c r="C1476" t="s">
        <v>11</v>
      </c>
      <c r="D1476" t="s">
        <v>17</v>
      </c>
      <c r="E1476">
        <v>9</v>
      </c>
      <c r="F1476">
        <v>7578</v>
      </c>
      <c r="G1476">
        <v>466.87</v>
      </c>
      <c r="H1476">
        <v>2024</v>
      </c>
      <c r="I1476" t="s">
        <v>15</v>
      </c>
      <c r="J1476" s="4">
        <v>6.1608603853259399E-2</v>
      </c>
      <c r="K1476" t="s">
        <v>41</v>
      </c>
      <c r="L1476" t="s">
        <v>55</v>
      </c>
      <c r="M1476">
        <v>3</v>
      </c>
      <c r="N1476" t="s">
        <v>56</v>
      </c>
    </row>
    <row r="1477" spans="1:14" x14ac:dyDescent="0.3">
      <c r="A1477" s="1">
        <v>45435</v>
      </c>
      <c r="B1477" t="s">
        <v>31</v>
      </c>
      <c r="C1477" t="s">
        <v>11</v>
      </c>
      <c r="D1477" t="s">
        <v>22</v>
      </c>
      <c r="E1477">
        <v>1</v>
      </c>
      <c r="F1477">
        <v>787</v>
      </c>
      <c r="G1477">
        <v>120.38</v>
      </c>
      <c r="H1477">
        <v>2024</v>
      </c>
      <c r="I1477" t="s">
        <v>20</v>
      </c>
      <c r="J1477" s="4">
        <v>0.15296060991105501</v>
      </c>
      <c r="K1477" t="s">
        <v>41</v>
      </c>
      <c r="L1477" t="s">
        <v>59</v>
      </c>
      <c r="M1477">
        <v>5</v>
      </c>
      <c r="N1477" t="s">
        <v>20</v>
      </c>
    </row>
    <row r="1478" spans="1:14" x14ac:dyDescent="0.3">
      <c r="A1478" s="1">
        <v>45377</v>
      </c>
      <c r="B1478" t="s">
        <v>31</v>
      </c>
      <c r="C1478" t="s">
        <v>11</v>
      </c>
      <c r="D1478" t="s">
        <v>12</v>
      </c>
      <c r="E1478">
        <v>1</v>
      </c>
      <c r="F1478">
        <v>328</v>
      </c>
      <c r="G1478">
        <v>46.23</v>
      </c>
      <c r="H1478">
        <v>2024</v>
      </c>
      <c r="I1478" t="s">
        <v>15</v>
      </c>
      <c r="J1478" s="4">
        <v>0.14094512195122</v>
      </c>
      <c r="K1478" t="s">
        <v>41</v>
      </c>
      <c r="L1478" t="s">
        <v>55</v>
      </c>
      <c r="M1478">
        <v>3</v>
      </c>
      <c r="N1478" t="s">
        <v>56</v>
      </c>
    </row>
    <row r="1479" spans="1:14" x14ac:dyDescent="0.3">
      <c r="A1479" s="1">
        <v>45484</v>
      </c>
      <c r="B1479" t="s">
        <v>31</v>
      </c>
      <c r="C1479" t="s">
        <v>11</v>
      </c>
      <c r="D1479" t="s">
        <v>12</v>
      </c>
      <c r="E1479">
        <v>8</v>
      </c>
      <c r="F1479">
        <v>7424</v>
      </c>
      <c r="G1479">
        <v>1878.07</v>
      </c>
      <c r="H1479">
        <v>2024</v>
      </c>
      <c r="I1479" t="s">
        <v>25</v>
      </c>
      <c r="J1479" s="4">
        <v>0.25297279094827602</v>
      </c>
      <c r="K1479" t="s">
        <v>41</v>
      </c>
      <c r="L1479" t="s">
        <v>60</v>
      </c>
      <c r="M1479">
        <v>7</v>
      </c>
      <c r="N1479" t="s">
        <v>64</v>
      </c>
    </row>
    <row r="1480" spans="1:14" x14ac:dyDescent="0.3">
      <c r="A1480" s="1">
        <v>45408</v>
      </c>
      <c r="B1480" t="s">
        <v>31</v>
      </c>
      <c r="C1480" t="s">
        <v>11</v>
      </c>
      <c r="D1480" t="s">
        <v>22</v>
      </c>
      <c r="E1480">
        <v>7</v>
      </c>
      <c r="F1480">
        <v>5229</v>
      </c>
      <c r="G1480">
        <v>1058.26</v>
      </c>
      <c r="H1480">
        <v>2024</v>
      </c>
      <c r="I1480" t="s">
        <v>23</v>
      </c>
      <c r="J1480" s="4">
        <v>0.202382864792503</v>
      </c>
      <c r="K1480" t="s">
        <v>41</v>
      </c>
      <c r="L1480" t="s">
        <v>59</v>
      </c>
      <c r="M1480">
        <v>4</v>
      </c>
      <c r="N1480" t="s">
        <v>62</v>
      </c>
    </row>
    <row r="1481" spans="1:14" x14ac:dyDescent="0.3">
      <c r="A1481" s="1">
        <v>45585</v>
      </c>
      <c r="B1481" t="s">
        <v>31</v>
      </c>
      <c r="C1481" t="s">
        <v>11</v>
      </c>
      <c r="D1481" t="s">
        <v>22</v>
      </c>
      <c r="E1481">
        <v>6</v>
      </c>
      <c r="F1481">
        <v>2970</v>
      </c>
      <c r="G1481">
        <v>425.9</v>
      </c>
      <c r="H1481">
        <v>2024</v>
      </c>
      <c r="I1481" t="s">
        <v>14</v>
      </c>
      <c r="J1481" s="4">
        <v>0.143400673400673</v>
      </c>
      <c r="K1481" t="s">
        <v>41</v>
      </c>
      <c r="L1481" t="s">
        <v>52</v>
      </c>
      <c r="M1481">
        <v>10</v>
      </c>
      <c r="N1481" t="s">
        <v>54</v>
      </c>
    </row>
    <row r="1482" spans="1:14" x14ac:dyDescent="0.3">
      <c r="A1482" s="1">
        <v>45389</v>
      </c>
      <c r="B1482" t="s">
        <v>31</v>
      </c>
      <c r="C1482" t="s">
        <v>11</v>
      </c>
      <c r="D1482" t="s">
        <v>22</v>
      </c>
      <c r="E1482">
        <v>4</v>
      </c>
      <c r="F1482">
        <v>2380</v>
      </c>
      <c r="G1482">
        <v>594.86</v>
      </c>
      <c r="H1482">
        <v>2024</v>
      </c>
      <c r="I1482" t="s">
        <v>23</v>
      </c>
      <c r="J1482" s="4">
        <v>0.249941176470588</v>
      </c>
      <c r="K1482" t="s">
        <v>41</v>
      </c>
      <c r="L1482" t="s">
        <v>59</v>
      </c>
      <c r="M1482">
        <v>4</v>
      </c>
      <c r="N1482" t="s">
        <v>62</v>
      </c>
    </row>
    <row r="1483" spans="1:14" x14ac:dyDescent="0.3">
      <c r="A1483" s="1">
        <v>45296</v>
      </c>
      <c r="B1483" t="s">
        <v>31</v>
      </c>
      <c r="C1483" t="s">
        <v>11</v>
      </c>
      <c r="D1483" t="s">
        <v>19</v>
      </c>
      <c r="E1483">
        <v>7</v>
      </c>
      <c r="F1483">
        <v>3857</v>
      </c>
      <c r="G1483">
        <v>447.99</v>
      </c>
      <c r="H1483">
        <v>2024</v>
      </c>
      <c r="I1483" t="s">
        <v>26</v>
      </c>
      <c r="J1483" s="4">
        <v>0.11614985740212599</v>
      </c>
      <c r="K1483" t="s">
        <v>41</v>
      </c>
      <c r="L1483" t="s">
        <v>55</v>
      </c>
      <c r="M1483">
        <v>1</v>
      </c>
      <c r="N1483" t="s">
        <v>65</v>
      </c>
    </row>
    <row r="1484" spans="1:14" x14ac:dyDescent="0.3">
      <c r="A1484" s="1">
        <v>45511</v>
      </c>
      <c r="B1484" t="s">
        <v>31</v>
      </c>
      <c r="C1484" t="s">
        <v>11</v>
      </c>
      <c r="D1484" t="s">
        <v>17</v>
      </c>
      <c r="E1484">
        <v>3</v>
      </c>
      <c r="F1484">
        <v>3477</v>
      </c>
      <c r="G1484">
        <v>862.21</v>
      </c>
      <c r="H1484">
        <v>2024</v>
      </c>
      <c r="I1484" t="s">
        <v>24</v>
      </c>
      <c r="J1484" s="4">
        <v>0.24797526603393699</v>
      </c>
      <c r="K1484" t="s">
        <v>41</v>
      </c>
      <c r="L1484" t="s">
        <v>60</v>
      </c>
      <c r="M1484">
        <v>8</v>
      </c>
      <c r="N1484" t="s">
        <v>63</v>
      </c>
    </row>
    <row r="1485" spans="1:14" x14ac:dyDescent="0.3">
      <c r="A1485" s="1">
        <v>45419</v>
      </c>
      <c r="B1485" t="s">
        <v>31</v>
      </c>
      <c r="C1485" t="s">
        <v>11</v>
      </c>
      <c r="D1485" t="s">
        <v>12</v>
      </c>
      <c r="E1485">
        <v>5</v>
      </c>
      <c r="F1485">
        <v>2985</v>
      </c>
      <c r="G1485">
        <v>698.22</v>
      </c>
      <c r="H1485">
        <v>2024</v>
      </c>
      <c r="I1485" t="s">
        <v>20</v>
      </c>
      <c r="J1485" s="4">
        <v>0.23390954773869299</v>
      </c>
      <c r="K1485" t="s">
        <v>41</v>
      </c>
      <c r="L1485" t="s">
        <v>59</v>
      </c>
      <c r="M1485">
        <v>5</v>
      </c>
      <c r="N1485" t="s">
        <v>20</v>
      </c>
    </row>
    <row r="1486" spans="1:14" x14ac:dyDescent="0.3">
      <c r="A1486" s="1">
        <v>45544</v>
      </c>
      <c r="B1486" t="s">
        <v>31</v>
      </c>
      <c r="C1486" t="s">
        <v>11</v>
      </c>
      <c r="D1486" t="s">
        <v>22</v>
      </c>
      <c r="E1486">
        <v>5</v>
      </c>
      <c r="F1486">
        <v>4370</v>
      </c>
      <c r="G1486">
        <v>1255.3599999999999</v>
      </c>
      <c r="H1486">
        <v>2024</v>
      </c>
      <c r="I1486" t="s">
        <v>21</v>
      </c>
      <c r="J1486" s="4">
        <v>0.28726773455377602</v>
      </c>
      <c r="K1486" t="s">
        <v>41</v>
      </c>
      <c r="L1486" t="s">
        <v>60</v>
      </c>
      <c r="M1486">
        <v>9</v>
      </c>
      <c r="N1486" t="s">
        <v>61</v>
      </c>
    </row>
    <row r="1487" spans="1:14" x14ac:dyDescent="0.3">
      <c r="A1487" s="1">
        <v>45351</v>
      </c>
      <c r="B1487" t="s">
        <v>31</v>
      </c>
      <c r="C1487" t="s">
        <v>11</v>
      </c>
      <c r="D1487" t="s">
        <v>12</v>
      </c>
      <c r="E1487">
        <v>6</v>
      </c>
      <c r="F1487">
        <v>456</v>
      </c>
      <c r="G1487">
        <v>69.150000000000006</v>
      </c>
      <c r="H1487">
        <v>2024</v>
      </c>
      <c r="I1487" t="s">
        <v>16</v>
      </c>
      <c r="J1487" s="4">
        <v>0.151644736842105</v>
      </c>
      <c r="K1487" t="s">
        <v>41</v>
      </c>
      <c r="L1487" t="s">
        <v>55</v>
      </c>
      <c r="M1487">
        <v>2</v>
      </c>
      <c r="N1487" t="s">
        <v>57</v>
      </c>
    </row>
    <row r="1488" spans="1:14" x14ac:dyDescent="0.3">
      <c r="A1488" s="1">
        <v>45429</v>
      </c>
      <c r="B1488" t="s">
        <v>31</v>
      </c>
      <c r="C1488" t="s">
        <v>11</v>
      </c>
      <c r="D1488" t="s">
        <v>17</v>
      </c>
      <c r="E1488">
        <v>8</v>
      </c>
      <c r="F1488">
        <v>9408</v>
      </c>
      <c r="G1488">
        <v>552.44000000000005</v>
      </c>
      <c r="H1488">
        <v>2024</v>
      </c>
      <c r="I1488" t="s">
        <v>20</v>
      </c>
      <c r="J1488" s="4">
        <v>5.8720238095238103E-2</v>
      </c>
      <c r="K1488" t="s">
        <v>41</v>
      </c>
      <c r="L1488" t="s">
        <v>59</v>
      </c>
      <c r="M1488">
        <v>5</v>
      </c>
      <c r="N1488" t="s">
        <v>20</v>
      </c>
    </row>
    <row r="1489" spans="1:14" x14ac:dyDescent="0.3">
      <c r="A1489" s="1">
        <v>45294</v>
      </c>
      <c r="B1489" t="s">
        <v>31</v>
      </c>
      <c r="C1489" t="s">
        <v>11</v>
      </c>
      <c r="D1489" t="s">
        <v>17</v>
      </c>
      <c r="E1489">
        <v>2</v>
      </c>
      <c r="F1489">
        <v>258</v>
      </c>
      <c r="G1489">
        <v>64.12</v>
      </c>
      <c r="H1489">
        <v>2024</v>
      </c>
      <c r="I1489" t="s">
        <v>26</v>
      </c>
      <c r="J1489" s="4">
        <v>0.248527131782946</v>
      </c>
      <c r="K1489" t="s">
        <v>41</v>
      </c>
      <c r="L1489" t="s">
        <v>55</v>
      </c>
      <c r="M1489">
        <v>1</v>
      </c>
      <c r="N1489" t="s">
        <v>65</v>
      </c>
    </row>
    <row r="1490" spans="1:14" x14ac:dyDescent="0.3">
      <c r="A1490" s="1">
        <v>45360</v>
      </c>
      <c r="B1490" t="s">
        <v>31</v>
      </c>
      <c r="C1490" t="s">
        <v>11</v>
      </c>
      <c r="D1490" t="s">
        <v>19</v>
      </c>
      <c r="E1490">
        <v>3</v>
      </c>
      <c r="F1490">
        <v>633</v>
      </c>
      <c r="G1490">
        <v>163.03</v>
      </c>
      <c r="H1490">
        <v>2024</v>
      </c>
      <c r="I1490" t="s">
        <v>15</v>
      </c>
      <c r="J1490" s="4">
        <v>0.25755134281200598</v>
      </c>
      <c r="K1490" t="s">
        <v>41</v>
      </c>
      <c r="L1490" t="s">
        <v>55</v>
      </c>
      <c r="M1490">
        <v>3</v>
      </c>
      <c r="N1490" t="s">
        <v>56</v>
      </c>
    </row>
    <row r="1491" spans="1:14" x14ac:dyDescent="0.3">
      <c r="A1491" s="1">
        <v>45535</v>
      </c>
      <c r="B1491" t="s">
        <v>31</v>
      </c>
      <c r="C1491" t="s">
        <v>11</v>
      </c>
      <c r="D1491" t="s">
        <v>12</v>
      </c>
      <c r="E1491">
        <v>4</v>
      </c>
      <c r="F1491">
        <v>4512</v>
      </c>
      <c r="G1491">
        <v>546.71</v>
      </c>
      <c r="H1491">
        <v>2024</v>
      </c>
      <c r="I1491" t="s">
        <v>24</v>
      </c>
      <c r="J1491" s="4">
        <v>0.121167996453901</v>
      </c>
      <c r="K1491" t="s">
        <v>41</v>
      </c>
      <c r="L1491" t="s">
        <v>60</v>
      </c>
      <c r="M1491">
        <v>8</v>
      </c>
      <c r="N1491" t="s">
        <v>63</v>
      </c>
    </row>
    <row r="1492" spans="1:14" x14ac:dyDescent="0.3">
      <c r="A1492" s="1">
        <v>45615</v>
      </c>
      <c r="B1492" t="s">
        <v>31</v>
      </c>
      <c r="C1492" t="s">
        <v>11</v>
      </c>
      <c r="D1492" t="s">
        <v>17</v>
      </c>
      <c r="E1492">
        <v>3</v>
      </c>
      <c r="F1492">
        <v>183</v>
      </c>
      <c r="G1492">
        <v>41.82</v>
      </c>
      <c r="H1492">
        <v>2024</v>
      </c>
      <c r="I1492" t="s">
        <v>18</v>
      </c>
      <c r="J1492" s="4">
        <v>0.228524590163934</v>
      </c>
      <c r="K1492" t="s">
        <v>41</v>
      </c>
      <c r="L1492" t="s">
        <v>52</v>
      </c>
      <c r="M1492">
        <v>11</v>
      </c>
      <c r="N1492" t="s">
        <v>58</v>
      </c>
    </row>
    <row r="1493" spans="1:14" x14ac:dyDescent="0.3">
      <c r="A1493" s="1">
        <v>45354</v>
      </c>
      <c r="B1493" t="s">
        <v>31</v>
      </c>
      <c r="C1493" t="s">
        <v>11</v>
      </c>
      <c r="D1493" t="s">
        <v>12</v>
      </c>
      <c r="E1493">
        <v>9</v>
      </c>
      <c r="F1493">
        <v>5553</v>
      </c>
      <c r="G1493">
        <v>329.79</v>
      </c>
      <c r="H1493">
        <v>2024</v>
      </c>
      <c r="I1493" t="s">
        <v>15</v>
      </c>
      <c r="J1493" s="4">
        <v>5.9389519178822299E-2</v>
      </c>
      <c r="K1493" t="s">
        <v>41</v>
      </c>
      <c r="L1493" t="s">
        <v>55</v>
      </c>
      <c r="M1493">
        <v>3</v>
      </c>
      <c r="N1493" t="s">
        <v>56</v>
      </c>
    </row>
    <row r="1494" spans="1:14" x14ac:dyDescent="0.3">
      <c r="A1494" s="1">
        <v>45309</v>
      </c>
      <c r="B1494" t="s">
        <v>31</v>
      </c>
      <c r="C1494" t="s">
        <v>11</v>
      </c>
      <c r="D1494" t="s">
        <v>17</v>
      </c>
      <c r="E1494">
        <v>3</v>
      </c>
      <c r="F1494">
        <v>885</v>
      </c>
      <c r="G1494">
        <v>150.79</v>
      </c>
      <c r="H1494">
        <v>2024</v>
      </c>
      <c r="I1494" t="s">
        <v>26</v>
      </c>
      <c r="J1494" s="4">
        <v>0.17038418079095999</v>
      </c>
      <c r="K1494" t="s">
        <v>41</v>
      </c>
      <c r="L1494" t="s">
        <v>55</v>
      </c>
      <c r="M1494">
        <v>1</v>
      </c>
      <c r="N1494" t="s">
        <v>65</v>
      </c>
    </row>
    <row r="1495" spans="1:14" x14ac:dyDescent="0.3">
      <c r="A1495" s="1">
        <v>45486</v>
      </c>
      <c r="B1495" t="s">
        <v>31</v>
      </c>
      <c r="C1495" t="s">
        <v>11</v>
      </c>
      <c r="D1495" t="s">
        <v>22</v>
      </c>
      <c r="E1495">
        <v>3</v>
      </c>
      <c r="F1495">
        <v>768</v>
      </c>
      <c r="G1495">
        <v>72.67</v>
      </c>
      <c r="H1495">
        <v>2024</v>
      </c>
      <c r="I1495" t="s">
        <v>25</v>
      </c>
      <c r="J1495" s="4">
        <v>9.4622395833333303E-2</v>
      </c>
      <c r="K1495" t="s">
        <v>41</v>
      </c>
      <c r="L1495" t="s">
        <v>60</v>
      </c>
      <c r="M1495">
        <v>7</v>
      </c>
      <c r="N1495" t="s">
        <v>64</v>
      </c>
    </row>
    <row r="1496" spans="1:14" x14ac:dyDescent="0.3">
      <c r="A1496" s="1">
        <v>45572</v>
      </c>
      <c r="B1496" t="s">
        <v>31</v>
      </c>
      <c r="C1496" t="s">
        <v>11</v>
      </c>
      <c r="D1496" t="s">
        <v>17</v>
      </c>
      <c r="E1496">
        <v>4</v>
      </c>
      <c r="F1496">
        <v>344</v>
      </c>
      <c r="G1496">
        <v>25.7</v>
      </c>
      <c r="H1496">
        <v>2024</v>
      </c>
      <c r="I1496" t="s">
        <v>14</v>
      </c>
      <c r="J1496" s="4">
        <v>7.47093023255814E-2</v>
      </c>
      <c r="K1496" t="s">
        <v>41</v>
      </c>
      <c r="L1496" t="s">
        <v>52</v>
      </c>
      <c r="M1496">
        <v>10</v>
      </c>
      <c r="N1496" t="s">
        <v>54</v>
      </c>
    </row>
    <row r="1497" spans="1:14" x14ac:dyDescent="0.3">
      <c r="A1497" s="1">
        <v>45460</v>
      </c>
      <c r="B1497" t="s">
        <v>31</v>
      </c>
      <c r="C1497" t="s">
        <v>11</v>
      </c>
      <c r="D1497" t="s">
        <v>17</v>
      </c>
      <c r="E1497">
        <v>7</v>
      </c>
      <c r="F1497">
        <v>1806</v>
      </c>
      <c r="G1497">
        <v>308.92</v>
      </c>
      <c r="H1497">
        <v>2024</v>
      </c>
      <c r="I1497" t="s">
        <v>27</v>
      </c>
      <c r="J1497" s="4">
        <v>0.17105204872646701</v>
      </c>
      <c r="K1497" t="s">
        <v>41</v>
      </c>
      <c r="L1497" t="s">
        <v>59</v>
      </c>
      <c r="M1497">
        <v>6</v>
      </c>
      <c r="N1497" t="s">
        <v>66</v>
      </c>
    </row>
    <row r="1498" spans="1:14" x14ac:dyDescent="0.3">
      <c r="A1498" s="1">
        <v>45315</v>
      </c>
      <c r="B1498" t="s">
        <v>31</v>
      </c>
      <c r="C1498" t="s">
        <v>11</v>
      </c>
      <c r="D1498" t="s">
        <v>19</v>
      </c>
      <c r="E1498">
        <v>3</v>
      </c>
      <c r="F1498">
        <v>2421</v>
      </c>
      <c r="G1498">
        <v>334.61</v>
      </c>
      <c r="H1498">
        <v>2024</v>
      </c>
      <c r="I1498" t="s">
        <v>26</v>
      </c>
      <c r="J1498" s="4">
        <v>0.13821148285832299</v>
      </c>
      <c r="K1498" t="s">
        <v>41</v>
      </c>
      <c r="L1498" t="s">
        <v>55</v>
      </c>
      <c r="M1498">
        <v>1</v>
      </c>
      <c r="N1498" t="s">
        <v>65</v>
      </c>
    </row>
    <row r="1499" spans="1:14" x14ac:dyDescent="0.3">
      <c r="A1499" s="1">
        <v>45429</v>
      </c>
      <c r="B1499" t="s">
        <v>31</v>
      </c>
      <c r="C1499" t="s">
        <v>11</v>
      </c>
      <c r="D1499" t="s">
        <v>19</v>
      </c>
      <c r="E1499">
        <v>8</v>
      </c>
      <c r="F1499">
        <v>5264</v>
      </c>
      <c r="G1499">
        <v>1051.5</v>
      </c>
      <c r="H1499">
        <v>2024</v>
      </c>
      <c r="I1499" t="s">
        <v>20</v>
      </c>
      <c r="J1499" s="4">
        <v>0.19975303951367801</v>
      </c>
      <c r="K1499" t="s">
        <v>41</v>
      </c>
      <c r="L1499" t="s">
        <v>59</v>
      </c>
      <c r="M1499">
        <v>5</v>
      </c>
      <c r="N1499" t="s">
        <v>20</v>
      </c>
    </row>
    <row r="1500" spans="1:14" x14ac:dyDescent="0.3">
      <c r="A1500" s="1">
        <v>45400</v>
      </c>
      <c r="B1500" t="s">
        <v>31</v>
      </c>
      <c r="C1500" t="s">
        <v>11</v>
      </c>
      <c r="D1500" t="s">
        <v>19</v>
      </c>
      <c r="E1500">
        <v>2</v>
      </c>
      <c r="F1500">
        <v>2110</v>
      </c>
      <c r="G1500">
        <v>548.12</v>
      </c>
      <c r="H1500">
        <v>2024</v>
      </c>
      <c r="I1500" t="s">
        <v>23</v>
      </c>
      <c r="J1500" s="4">
        <v>0.25977251184834099</v>
      </c>
      <c r="K1500" t="s">
        <v>41</v>
      </c>
      <c r="L1500" t="s">
        <v>59</v>
      </c>
      <c r="M1500">
        <v>4</v>
      </c>
      <c r="N1500" t="s">
        <v>62</v>
      </c>
    </row>
    <row r="1501" spans="1:14" x14ac:dyDescent="0.3">
      <c r="A1501" s="1">
        <v>45338</v>
      </c>
      <c r="B1501" t="s">
        <v>31</v>
      </c>
      <c r="C1501" t="s">
        <v>11</v>
      </c>
      <c r="D1501" t="s">
        <v>19</v>
      </c>
      <c r="E1501">
        <v>6</v>
      </c>
      <c r="F1501">
        <v>4056</v>
      </c>
      <c r="G1501">
        <v>452.14</v>
      </c>
      <c r="H1501">
        <v>2024</v>
      </c>
      <c r="I1501" t="s">
        <v>16</v>
      </c>
      <c r="J1501" s="4">
        <v>0.11147435897435901</v>
      </c>
      <c r="K1501" t="s">
        <v>41</v>
      </c>
      <c r="L1501" t="s">
        <v>55</v>
      </c>
      <c r="M1501">
        <v>2</v>
      </c>
      <c r="N1501" t="s">
        <v>57</v>
      </c>
    </row>
    <row r="1502" spans="1:14" x14ac:dyDescent="0.3">
      <c r="A1502" s="1">
        <v>45375</v>
      </c>
      <c r="B1502" t="s">
        <v>31</v>
      </c>
      <c r="C1502" t="s">
        <v>11</v>
      </c>
      <c r="D1502" t="s">
        <v>17</v>
      </c>
      <c r="E1502">
        <v>6</v>
      </c>
      <c r="F1502">
        <v>5100</v>
      </c>
      <c r="G1502">
        <v>1461.79</v>
      </c>
      <c r="H1502">
        <v>2024</v>
      </c>
      <c r="I1502" t="s">
        <v>15</v>
      </c>
      <c r="J1502" s="4">
        <v>0.28662549019607803</v>
      </c>
      <c r="K1502" t="s">
        <v>41</v>
      </c>
      <c r="L1502" t="s">
        <v>55</v>
      </c>
      <c r="M1502">
        <v>3</v>
      </c>
      <c r="N1502" t="s">
        <v>56</v>
      </c>
    </row>
    <row r="1503" spans="1:14" x14ac:dyDescent="0.3">
      <c r="A1503" s="1">
        <v>45465</v>
      </c>
      <c r="B1503" t="s">
        <v>31</v>
      </c>
      <c r="C1503" t="s">
        <v>11</v>
      </c>
      <c r="D1503" t="s">
        <v>22</v>
      </c>
      <c r="E1503">
        <v>7</v>
      </c>
      <c r="F1503">
        <v>4144</v>
      </c>
      <c r="G1503">
        <v>426.39</v>
      </c>
      <c r="H1503">
        <v>2024</v>
      </c>
      <c r="I1503" t="s">
        <v>27</v>
      </c>
      <c r="J1503" s="4">
        <v>0.10289333976834</v>
      </c>
      <c r="K1503" t="s">
        <v>41</v>
      </c>
      <c r="L1503" t="s">
        <v>59</v>
      </c>
      <c r="M1503">
        <v>6</v>
      </c>
      <c r="N1503" t="s">
        <v>66</v>
      </c>
    </row>
    <row r="1504" spans="1:14" x14ac:dyDescent="0.3">
      <c r="A1504" s="1">
        <v>45374</v>
      </c>
      <c r="B1504" t="s">
        <v>31</v>
      </c>
      <c r="C1504" t="s">
        <v>11</v>
      </c>
      <c r="D1504" t="s">
        <v>12</v>
      </c>
      <c r="E1504">
        <v>4</v>
      </c>
      <c r="F1504">
        <v>2536</v>
      </c>
      <c r="G1504">
        <v>285.72000000000003</v>
      </c>
      <c r="H1504">
        <v>2024</v>
      </c>
      <c r="I1504" t="s">
        <v>15</v>
      </c>
      <c r="J1504" s="4">
        <v>0.112665615141956</v>
      </c>
      <c r="K1504" t="s">
        <v>41</v>
      </c>
      <c r="L1504" t="s">
        <v>55</v>
      </c>
      <c r="M1504">
        <v>3</v>
      </c>
      <c r="N1504" t="s">
        <v>56</v>
      </c>
    </row>
    <row r="1505" spans="1:14" x14ac:dyDescent="0.3">
      <c r="A1505" s="1">
        <v>45594</v>
      </c>
      <c r="B1505" t="s">
        <v>31</v>
      </c>
      <c r="C1505" t="s">
        <v>11</v>
      </c>
      <c r="D1505" t="s">
        <v>19</v>
      </c>
      <c r="E1505">
        <v>7</v>
      </c>
      <c r="F1505">
        <v>6013</v>
      </c>
      <c r="G1505">
        <v>1544.51</v>
      </c>
      <c r="H1505">
        <v>2024</v>
      </c>
      <c r="I1505" t="s">
        <v>14</v>
      </c>
      <c r="J1505" s="4">
        <v>0.256861799434558</v>
      </c>
      <c r="K1505" t="s">
        <v>41</v>
      </c>
      <c r="L1505" t="s">
        <v>52</v>
      </c>
      <c r="M1505">
        <v>10</v>
      </c>
      <c r="N1505" t="s">
        <v>54</v>
      </c>
    </row>
    <row r="1506" spans="1:14" x14ac:dyDescent="0.3">
      <c r="A1506" s="1">
        <v>45344</v>
      </c>
      <c r="B1506" t="s">
        <v>31</v>
      </c>
      <c r="C1506" t="s">
        <v>11</v>
      </c>
      <c r="D1506" t="s">
        <v>17</v>
      </c>
      <c r="E1506">
        <v>5</v>
      </c>
      <c r="F1506">
        <v>1785</v>
      </c>
      <c r="G1506">
        <v>134.94999999999999</v>
      </c>
      <c r="H1506">
        <v>2024</v>
      </c>
      <c r="I1506" t="s">
        <v>16</v>
      </c>
      <c r="J1506" s="4">
        <v>7.5602240896358502E-2</v>
      </c>
      <c r="K1506" t="s">
        <v>41</v>
      </c>
      <c r="L1506" t="s">
        <v>55</v>
      </c>
      <c r="M1506">
        <v>2</v>
      </c>
      <c r="N1506" t="s">
        <v>57</v>
      </c>
    </row>
    <row r="1507" spans="1:14" x14ac:dyDescent="0.3">
      <c r="A1507" s="1">
        <v>45609</v>
      </c>
      <c r="B1507" t="s">
        <v>31</v>
      </c>
      <c r="C1507" t="s">
        <v>11</v>
      </c>
      <c r="D1507" t="s">
        <v>17</v>
      </c>
      <c r="E1507">
        <v>4</v>
      </c>
      <c r="F1507">
        <v>2516</v>
      </c>
      <c r="G1507">
        <v>689.29</v>
      </c>
      <c r="H1507">
        <v>2024</v>
      </c>
      <c r="I1507" t="s">
        <v>18</v>
      </c>
      <c r="J1507" s="4">
        <v>0.27396263910969798</v>
      </c>
      <c r="K1507" t="s">
        <v>41</v>
      </c>
      <c r="L1507" t="s">
        <v>52</v>
      </c>
      <c r="M1507">
        <v>11</v>
      </c>
      <c r="N1507" t="s">
        <v>58</v>
      </c>
    </row>
    <row r="1508" spans="1:14" x14ac:dyDescent="0.3">
      <c r="A1508" s="1">
        <v>45383</v>
      </c>
      <c r="B1508" t="s">
        <v>31</v>
      </c>
      <c r="C1508" t="s">
        <v>11</v>
      </c>
      <c r="D1508" t="s">
        <v>19</v>
      </c>
      <c r="E1508">
        <v>4</v>
      </c>
      <c r="F1508">
        <v>1996</v>
      </c>
      <c r="G1508">
        <v>396.63</v>
      </c>
      <c r="H1508">
        <v>2024</v>
      </c>
      <c r="I1508" t="s">
        <v>23</v>
      </c>
      <c r="J1508" s="4">
        <v>0.198712424849699</v>
      </c>
      <c r="K1508" t="s">
        <v>41</v>
      </c>
      <c r="L1508" t="s">
        <v>59</v>
      </c>
      <c r="M1508">
        <v>4</v>
      </c>
      <c r="N1508" t="s">
        <v>62</v>
      </c>
    </row>
    <row r="1509" spans="1:14" x14ac:dyDescent="0.3">
      <c r="A1509" s="1">
        <v>45511</v>
      </c>
      <c r="B1509" t="s">
        <v>31</v>
      </c>
      <c r="C1509" t="s">
        <v>11</v>
      </c>
      <c r="D1509" t="s">
        <v>17</v>
      </c>
      <c r="E1509">
        <v>3</v>
      </c>
      <c r="F1509">
        <v>342</v>
      </c>
      <c r="G1509">
        <v>89.67</v>
      </c>
      <c r="H1509">
        <v>2024</v>
      </c>
      <c r="I1509" t="s">
        <v>24</v>
      </c>
      <c r="J1509" s="4">
        <v>0.26219298245613998</v>
      </c>
      <c r="K1509" t="s">
        <v>41</v>
      </c>
      <c r="L1509" t="s">
        <v>60</v>
      </c>
      <c r="M1509">
        <v>8</v>
      </c>
      <c r="N1509" t="s">
        <v>63</v>
      </c>
    </row>
    <row r="1510" spans="1:14" x14ac:dyDescent="0.3">
      <c r="A1510" s="1">
        <v>45380</v>
      </c>
      <c r="B1510" t="s">
        <v>31</v>
      </c>
      <c r="C1510" t="s">
        <v>11</v>
      </c>
      <c r="D1510" t="s">
        <v>19</v>
      </c>
      <c r="E1510">
        <v>7</v>
      </c>
      <c r="F1510">
        <v>2947</v>
      </c>
      <c r="G1510">
        <v>809.46</v>
      </c>
      <c r="H1510">
        <v>2024</v>
      </c>
      <c r="I1510" t="s">
        <v>15</v>
      </c>
      <c r="J1510" s="4">
        <v>0.27467254835425903</v>
      </c>
      <c r="K1510" t="s">
        <v>41</v>
      </c>
      <c r="L1510" t="s">
        <v>55</v>
      </c>
      <c r="M1510">
        <v>3</v>
      </c>
      <c r="N1510" t="s">
        <v>56</v>
      </c>
    </row>
    <row r="1511" spans="1:14" x14ac:dyDescent="0.3">
      <c r="A1511" s="1">
        <v>45623</v>
      </c>
      <c r="B1511" t="s">
        <v>31</v>
      </c>
      <c r="C1511" t="s">
        <v>11</v>
      </c>
      <c r="D1511" t="s">
        <v>22</v>
      </c>
      <c r="E1511">
        <v>6</v>
      </c>
      <c r="F1511">
        <v>2310</v>
      </c>
      <c r="G1511">
        <v>202.98</v>
      </c>
      <c r="H1511">
        <v>2024</v>
      </c>
      <c r="I1511" t="s">
        <v>18</v>
      </c>
      <c r="J1511" s="4">
        <v>8.7870129870129904E-2</v>
      </c>
      <c r="K1511" t="s">
        <v>41</v>
      </c>
      <c r="L1511" t="s">
        <v>52</v>
      </c>
      <c r="M1511">
        <v>11</v>
      </c>
      <c r="N1511" t="s">
        <v>58</v>
      </c>
    </row>
    <row r="1512" spans="1:14" x14ac:dyDescent="0.3">
      <c r="A1512" s="1">
        <v>45342</v>
      </c>
      <c r="B1512" t="s">
        <v>31</v>
      </c>
      <c r="C1512" t="s">
        <v>11</v>
      </c>
      <c r="D1512" t="s">
        <v>12</v>
      </c>
      <c r="E1512">
        <v>9</v>
      </c>
      <c r="F1512">
        <v>6813</v>
      </c>
      <c r="G1512">
        <v>890.05</v>
      </c>
      <c r="H1512">
        <v>2024</v>
      </c>
      <c r="I1512" t="s">
        <v>16</v>
      </c>
      <c r="J1512" s="4">
        <v>0.13063995303097001</v>
      </c>
      <c r="K1512" t="s">
        <v>41</v>
      </c>
      <c r="L1512" t="s">
        <v>55</v>
      </c>
      <c r="M1512">
        <v>2</v>
      </c>
      <c r="N1512" t="s">
        <v>57</v>
      </c>
    </row>
    <row r="1513" spans="1:14" x14ac:dyDescent="0.3">
      <c r="A1513" s="1">
        <v>45436</v>
      </c>
      <c r="B1513" t="s">
        <v>31</v>
      </c>
      <c r="C1513" t="s">
        <v>11</v>
      </c>
      <c r="D1513" t="s">
        <v>22</v>
      </c>
      <c r="E1513">
        <v>5</v>
      </c>
      <c r="F1513">
        <v>910</v>
      </c>
      <c r="G1513">
        <v>116.47</v>
      </c>
      <c r="H1513">
        <v>2024</v>
      </c>
      <c r="I1513" t="s">
        <v>20</v>
      </c>
      <c r="J1513" s="4">
        <v>0.127989010989011</v>
      </c>
      <c r="K1513" t="s">
        <v>41</v>
      </c>
      <c r="L1513" t="s">
        <v>59</v>
      </c>
      <c r="M1513">
        <v>5</v>
      </c>
      <c r="N1513" t="s">
        <v>20</v>
      </c>
    </row>
    <row r="1514" spans="1:14" x14ac:dyDescent="0.3">
      <c r="A1514" s="1">
        <v>45633</v>
      </c>
      <c r="B1514" t="s">
        <v>31</v>
      </c>
      <c r="C1514" t="s">
        <v>11</v>
      </c>
      <c r="D1514" t="s">
        <v>12</v>
      </c>
      <c r="E1514">
        <v>8</v>
      </c>
      <c r="F1514">
        <v>6576</v>
      </c>
      <c r="G1514">
        <v>1337.38</v>
      </c>
      <c r="H1514">
        <v>2024</v>
      </c>
      <c r="I1514" t="s">
        <v>13</v>
      </c>
      <c r="J1514" s="4">
        <v>0.203372871046229</v>
      </c>
      <c r="K1514" t="s">
        <v>41</v>
      </c>
      <c r="L1514" t="s">
        <v>52</v>
      </c>
      <c r="M1514">
        <v>12</v>
      </c>
      <c r="N1514" t="s">
        <v>53</v>
      </c>
    </row>
    <row r="1515" spans="1:14" x14ac:dyDescent="0.3">
      <c r="A1515" s="1">
        <v>45357</v>
      </c>
      <c r="B1515" t="s">
        <v>31</v>
      </c>
      <c r="C1515" t="s">
        <v>11</v>
      </c>
      <c r="D1515" t="s">
        <v>22</v>
      </c>
      <c r="E1515">
        <v>4</v>
      </c>
      <c r="F1515">
        <v>2648</v>
      </c>
      <c r="G1515">
        <v>707.32</v>
      </c>
      <c r="H1515">
        <v>2024</v>
      </c>
      <c r="I1515" t="s">
        <v>15</v>
      </c>
      <c r="J1515" s="4">
        <v>0.26711480362537798</v>
      </c>
      <c r="K1515" t="s">
        <v>41</v>
      </c>
      <c r="L1515" t="s">
        <v>55</v>
      </c>
      <c r="M1515">
        <v>3</v>
      </c>
      <c r="N1515" t="s">
        <v>56</v>
      </c>
    </row>
    <row r="1516" spans="1:14" x14ac:dyDescent="0.3">
      <c r="A1516" s="1">
        <v>45549</v>
      </c>
      <c r="B1516" t="s">
        <v>31</v>
      </c>
      <c r="C1516" t="s">
        <v>11</v>
      </c>
      <c r="D1516" t="s">
        <v>12</v>
      </c>
      <c r="E1516">
        <v>8</v>
      </c>
      <c r="F1516">
        <v>7496</v>
      </c>
      <c r="G1516">
        <v>2019.32</v>
      </c>
      <c r="H1516">
        <v>2024</v>
      </c>
      <c r="I1516" t="s">
        <v>21</v>
      </c>
      <c r="J1516" s="4">
        <v>0.26938633938100298</v>
      </c>
      <c r="K1516" t="s">
        <v>41</v>
      </c>
      <c r="L1516" t="s">
        <v>60</v>
      </c>
      <c r="M1516">
        <v>9</v>
      </c>
      <c r="N1516" t="s">
        <v>61</v>
      </c>
    </row>
    <row r="1517" spans="1:14" x14ac:dyDescent="0.3">
      <c r="A1517" s="1">
        <v>45620</v>
      </c>
      <c r="B1517" t="s">
        <v>31</v>
      </c>
      <c r="C1517" t="s">
        <v>11</v>
      </c>
      <c r="D1517" t="s">
        <v>22</v>
      </c>
      <c r="E1517">
        <v>8</v>
      </c>
      <c r="F1517">
        <v>536</v>
      </c>
      <c r="G1517">
        <v>57.08</v>
      </c>
      <c r="H1517">
        <v>2024</v>
      </c>
      <c r="I1517" t="s">
        <v>18</v>
      </c>
      <c r="J1517" s="4">
        <v>0.106492537313433</v>
      </c>
      <c r="K1517" t="s">
        <v>41</v>
      </c>
      <c r="L1517" t="s">
        <v>52</v>
      </c>
      <c r="M1517">
        <v>11</v>
      </c>
      <c r="N1517" t="s">
        <v>58</v>
      </c>
    </row>
    <row r="1518" spans="1:14" x14ac:dyDescent="0.3">
      <c r="A1518" s="1">
        <v>45437</v>
      </c>
      <c r="B1518" t="s">
        <v>31</v>
      </c>
      <c r="C1518" t="s">
        <v>11</v>
      </c>
      <c r="D1518" t="s">
        <v>19</v>
      </c>
      <c r="E1518">
        <v>6</v>
      </c>
      <c r="F1518">
        <v>5766</v>
      </c>
      <c r="G1518">
        <v>675.17</v>
      </c>
      <c r="H1518">
        <v>2024</v>
      </c>
      <c r="I1518" t="s">
        <v>20</v>
      </c>
      <c r="J1518" s="4">
        <v>0.11709503988900399</v>
      </c>
      <c r="K1518" t="s">
        <v>41</v>
      </c>
      <c r="L1518" t="s">
        <v>59</v>
      </c>
      <c r="M1518">
        <v>5</v>
      </c>
      <c r="N1518" t="s">
        <v>20</v>
      </c>
    </row>
    <row r="1519" spans="1:14" x14ac:dyDescent="0.3">
      <c r="A1519" s="1">
        <v>45343</v>
      </c>
      <c r="B1519" t="s">
        <v>31</v>
      </c>
      <c r="C1519" t="s">
        <v>11</v>
      </c>
      <c r="D1519" t="s">
        <v>19</v>
      </c>
      <c r="E1519">
        <v>4</v>
      </c>
      <c r="F1519">
        <v>4736</v>
      </c>
      <c r="G1519">
        <v>1026.24</v>
      </c>
      <c r="H1519">
        <v>2024</v>
      </c>
      <c r="I1519" t="s">
        <v>16</v>
      </c>
      <c r="J1519" s="4">
        <v>0.216689189189189</v>
      </c>
      <c r="K1519" t="s">
        <v>41</v>
      </c>
      <c r="L1519" t="s">
        <v>55</v>
      </c>
      <c r="M1519">
        <v>2</v>
      </c>
      <c r="N1519" t="s">
        <v>57</v>
      </c>
    </row>
    <row r="1520" spans="1:14" x14ac:dyDescent="0.3">
      <c r="A1520" s="1">
        <v>45639</v>
      </c>
      <c r="B1520" t="s">
        <v>31</v>
      </c>
      <c r="C1520" t="s">
        <v>11</v>
      </c>
      <c r="D1520" t="s">
        <v>22</v>
      </c>
      <c r="E1520">
        <v>6</v>
      </c>
      <c r="F1520">
        <v>1704</v>
      </c>
      <c r="G1520">
        <v>193.18</v>
      </c>
      <c r="H1520">
        <v>2024</v>
      </c>
      <c r="I1520" t="s">
        <v>13</v>
      </c>
      <c r="J1520" s="4">
        <v>0.11336854460093899</v>
      </c>
      <c r="K1520" t="s">
        <v>41</v>
      </c>
      <c r="L1520" t="s">
        <v>52</v>
      </c>
      <c r="M1520">
        <v>12</v>
      </c>
      <c r="N1520" t="s">
        <v>53</v>
      </c>
    </row>
    <row r="1521" spans="1:14" x14ac:dyDescent="0.3">
      <c r="A1521" s="1">
        <v>45632</v>
      </c>
      <c r="B1521" t="s">
        <v>31</v>
      </c>
      <c r="C1521" t="s">
        <v>11</v>
      </c>
      <c r="D1521" t="s">
        <v>19</v>
      </c>
      <c r="E1521">
        <v>6</v>
      </c>
      <c r="F1521">
        <v>1254</v>
      </c>
      <c r="G1521">
        <v>360.87</v>
      </c>
      <c r="H1521">
        <v>2024</v>
      </c>
      <c r="I1521" t="s">
        <v>13</v>
      </c>
      <c r="J1521" s="4">
        <v>0.28777511961722502</v>
      </c>
      <c r="K1521" t="s">
        <v>41</v>
      </c>
      <c r="L1521" t="s">
        <v>52</v>
      </c>
      <c r="M1521">
        <v>12</v>
      </c>
      <c r="N1521" t="s">
        <v>53</v>
      </c>
    </row>
    <row r="1522" spans="1:14" x14ac:dyDescent="0.3">
      <c r="A1522" s="1">
        <v>45620</v>
      </c>
      <c r="B1522" t="s">
        <v>31</v>
      </c>
      <c r="C1522" t="s">
        <v>11</v>
      </c>
      <c r="D1522" t="s">
        <v>12</v>
      </c>
      <c r="E1522">
        <v>2</v>
      </c>
      <c r="F1522">
        <v>1612</v>
      </c>
      <c r="G1522">
        <v>344.37</v>
      </c>
      <c r="H1522">
        <v>2024</v>
      </c>
      <c r="I1522" t="s">
        <v>18</v>
      </c>
      <c r="J1522" s="4">
        <v>0.21362903225806401</v>
      </c>
      <c r="K1522" t="s">
        <v>41</v>
      </c>
      <c r="L1522" t="s">
        <v>52</v>
      </c>
      <c r="M1522">
        <v>11</v>
      </c>
      <c r="N1522" t="s">
        <v>58</v>
      </c>
    </row>
    <row r="1523" spans="1:14" x14ac:dyDescent="0.3">
      <c r="A1523" s="1">
        <v>45586</v>
      </c>
      <c r="B1523" t="s">
        <v>31</v>
      </c>
      <c r="C1523" t="s">
        <v>11</v>
      </c>
      <c r="D1523" t="s">
        <v>19</v>
      </c>
      <c r="E1523">
        <v>1</v>
      </c>
      <c r="F1523">
        <v>995</v>
      </c>
      <c r="G1523">
        <v>149.86000000000001</v>
      </c>
      <c r="H1523">
        <v>2024</v>
      </c>
      <c r="I1523" t="s">
        <v>14</v>
      </c>
      <c r="J1523" s="4">
        <v>0.15061306532663299</v>
      </c>
      <c r="K1523" t="s">
        <v>41</v>
      </c>
      <c r="L1523" t="s">
        <v>52</v>
      </c>
      <c r="M1523">
        <v>10</v>
      </c>
      <c r="N1523" t="s">
        <v>54</v>
      </c>
    </row>
    <row r="1524" spans="1:14" x14ac:dyDescent="0.3">
      <c r="A1524" s="1">
        <v>45553</v>
      </c>
      <c r="B1524" t="s">
        <v>31</v>
      </c>
      <c r="C1524" t="s">
        <v>11</v>
      </c>
      <c r="D1524" t="s">
        <v>22</v>
      </c>
      <c r="E1524">
        <v>3</v>
      </c>
      <c r="F1524">
        <v>1851</v>
      </c>
      <c r="G1524">
        <v>198.71</v>
      </c>
      <c r="H1524">
        <v>2024</v>
      </c>
      <c r="I1524" t="s">
        <v>21</v>
      </c>
      <c r="J1524" s="4">
        <v>0.107352782279849</v>
      </c>
      <c r="K1524" t="s">
        <v>41</v>
      </c>
      <c r="L1524" t="s">
        <v>60</v>
      </c>
      <c r="M1524">
        <v>9</v>
      </c>
      <c r="N1524" t="s">
        <v>61</v>
      </c>
    </row>
    <row r="1525" spans="1:14" x14ac:dyDescent="0.3">
      <c r="A1525" s="1">
        <v>45602</v>
      </c>
      <c r="B1525" t="s">
        <v>31</v>
      </c>
      <c r="C1525" t="s">
        <v>11</v>
      </c>
      <c r="D1525" t="s">
        <v>22</v>
      </c>
      <c r="E1525">
        <v>2</v>
      </c>
      <c r="F1525">
        <v>1408</v>
      </c>
      <c r="G1525">
        <v>193.09</v>
      </c>
      <c r="H1525">
        <v>2024</v>
      </c>
      <c r="I1525" t="s">
        <v>18</v>
      </c>
      <c r="J1525" s="4">
        <v>0.13713778409090899</v>
      </c>
      <c r="K1525" t="s">
        <v>41</v>
      </c>
      <c r="L1525" t="s">
        <v>52</v>
      </c>
      <c r="M1525">
        <v>11</v>
      </c>
      <c r="N1525" t="s">
        <v>58</v>
      </c>
    </row>
    <row r="1526" spans="1:14" x14ac:dyDescent="0.3">
      <c r="A1526" s="1">
        <v>45560</v>
      </c>
      <c r="B1526" t="s">
        <v>31</v>
      </c>
      <c r="C1526" t="s">
        <v>11</v>
      </c>
      <c r="D1526" t="s">
        <v>12</v>
      </c>
      <c r="E1526">
        <v>4</v>
      </c>
      <c r="F1526">
        <v>1852</v>
      </c>
      <c r="G1526">
        <v>535.07000000000005</v>
      </c>
      <c r="H1526">
        <v>2024</v>
      </c>
      <c r="I1526" t="s">
        <v>21</v>
      </c>
      <c r="J1526" s="4">
        <v>0.288914686825054</v>
      </c>
      <c r="K1526" t="s">
        <v>41</v>
      </c>
      <c r="L1526" t="s">
        <v>60</v>
      </c>
      <c r="M1526">
        <v>9</v>
      </c>
      <c r="N1526" t="s">
        <v>61</v>
      </c>
    </row>
    <row r="1527" spans="1:14" x14ac:dyDescent="0.3">
      <c r="A1527" s="1">
        <v>45555</v>
      </c>
      <c r="B1527" t="s">
        <v>31</v>
      </c>
      <c r="C1527" t="s">
        <v>11</v>
      </c>
      <c r="D1527" t="s">
        <v>19</v>
      </c>
      <c r="E1527">
        <v>1</v>
      </c>
      <c r="F1527">
        <v>166</v>
      </c>
      <c r="G1527">
        <v>31.72</v>
      </c>
      <c r="H1527">
        <v>2024</v>
      </c>
      <c r="I1527" t="s">
        <v>21</v>
      </c>
      <c r="J1527" s="4">
        <v>0.191084337349398</v>
      </c>
      <c r="K1527" t="s">
        <v>41</v>
      </c>
      <c r="L1527" t="s">
        <v>60</v>
      </c>
      <c r="M1527">
        <v>9</v>
      </c>
      <c r="N1527" t="s">
        <v>61</v>
      </c>
    </row>
    <row r="1528" spans="1:14" x14ac:dyDescent="0.3">
      <c r="A1528" s="1">
        <v>45564</v>
      </c>
      <c r="B1528" t="s">
        <v>31</v>
      </c>
      <c r="C1528" t="s">
        <v>11</v>
      </c>
      <c r="D1528" t="s">
        <v>12</v>
      </c>
      <c r="E1528">
        <v>1</v>
      </c>
      <c r="F1528">
        <v>158</v>
      </c>
      <c r="G1528">
        <v>32.89</v>
      </c>
      <c r="H1528">
        <v>2024</v>
      </c>
      <c r="I1528" t="s">
        <v>21</v>
      </c>
      <c r="J1528" s="4">
        <v>0.20816455696202499</v>
      </c>
      <c r="K1528" t="s">
        <v>41</v>
      </c>
      <c r="L1528" t="s">
        <v>60</v>
      </c>
      <c r="M1528">
        <v>9</v>
      </c>
      <c r="N1528" t="s">
        <v>61</v>
      </c>
    </row>
    <row r="1529" spans="1:14" x14ac:dyDescent="0.3">
      <c r="A1529" s="1">
        <v>45571</v>
      </c>
      <c r="B1529" t="s">
        <v>31</v>
      </c>
      <c r="C1529" t="s">
        <v>11</v>
      </c>
      <c r="D1529" t="s">
        <v>17</v>
      </c>
      <c r="E1529">
        <v>3</v>
      </c>
      <c r="F1529">
        <v>300</v>
      </c>
      <c r="G1529">
        <v>38.44</v>
      </c>
      <c r="H1529">
        <v>2024</v>
      </c>
      <c r="I1529" t="s">
        <v>14</v>
      </c>
      <c r="J1529" s="4">
        <v>0.12813333333333299</v>
      </c>
      <c r="K1529" t="s">
        <v>41</v>
      </c>
      <c r="L1529" t="s">
        <v>52</v>
      </c>
      <c r="M1529">
        <v>10</v>
      </c>
      <c r="N1529" t="s">
        <v>54</v>
      </c>
    </row>
    <row r="1530" spans="1:14" x14ac:dyDescent="0.3">
      <c r="A1530" s="1">
        <v>45329</v>
      </c>
      <c r="B1530" t="s">
        <v>31</v>
      </c>
      <c r="C1530" t="s">
        <v>11</v>
      </c>
      <c r="D1530" t="s">
        <v>17</v>
      </c>
      <c r="E1530">
        <v>5</v>
      </c>
      <c r="F1530">
        <v>2060</v>
      </c>
      <c r="G1530">
        <v>403.19</v>
      </c>
      <c r="H1530">
        <v>2024</v>
      </c>
      <c r="I1530" t="s">
        <v>16</v>
      </c>
      <c r="J1530" s="4">
        <v>0.19572330097087401</v>
      </c>
      <c r="K1530" t="s">
        <v>41</v>
      </c>
      <c r="L1530" t="s">
        <v>55</v>
      </c>
      <c r="M1530">
        <v>2</v>
      </c>
      <c r="N1530" t="s">
        <v>57</v>
      </c>
    </row>
    <row r="1531" spans="1:14" x14ac:dyDescent="0.3">
      <c r="A1531" s="1">
        <v>45460</v>
      </c>
      <c r="B1531" t="s">
        <v>31</v>
      </c>
      <c r="C1531" t="s">
        <v>11</v>
      </c>
      <c r="D1531" t="s">
        <v>17</v>
      </c>
      <c r="E1531">
        <v>3</v>
      </c>
      <c r="F1531">
        <v>2193</v>
      </c>
      <c r="G1531">
        <v>477.95</v>
      </c>
      <c r="H1531">
        <v>2024</v>
      </c>
      <c r="I1531" t="s">
        <v>27</v>
      </c>
      <c r="J1531" s="4">
        <v>0.217943456452348</v>
      </c>
      <c r="K1531" t="s">
        <v>41</v>
      </c>
      <c r="L1531" t="s">
        <v>59</v>
      </c>
      <c r="M1531">
        <v>6</v>
      </c>
      <c r="N1531" t="s">
        <v>66</v>
      </c>
    </row>
    <row r="1532" spans="1:14" x14ac:dyDescent="0.3">
      <c r="A1532" s="1">
        <v>45370</v>
      </c>
      <c r="B1532" t="s">
        <v>31</v>
      </c>
      <c r="C1532" t="s">
        <v>11</v>
      </c>
      <c r="D1532" t="s">
        <v>22</v>
      </c>
      <c r="E1532">
        <v>9</v>
      </c>
      <c r="F1532">
        <v>9765</v>
      </c>
      <c r="G1532">
        <v>909.99</v>
      </c>
      <c r="H1532">
        <v>2024</v>
      </c>
      <c r="I1532" t="s">
        <v>15</v>
      </c>
      <c r="J1532" s="4">
        <v>9.3188940092165898E-2</v>
      </c>
      <c r="K1532" t="s">
        <v>41</v>
      </c>
      <c r="L1532" t="s">
        <v>55</v>
      </c>
      <c r="M1532">
        <v>3</v>
      </c>
      <c r="N1532" t="s">
        <v>56</v>
      </c>
    </row>
    <row r="1533" spans="1:14" x14ac:dyDescent="0.3">
      <c r="A1533" s="1">
        <v>45243</v>
      </c>
      <c r="B1533" t="s">
        <v>31</v>
      </c>
      <c r="C1533" t="s">
        <v>11</v>
      </c>
      <c r="D1533" t="s">
        <v>17</v>
      </c>
      <c r="E1533">
        <v>3</v>
      </c>
      <c r="F1533">
        <v>3234</v>
      </c>
      <c r="G1533">
        <v>440.7</v>
      </c>
      <c r="H1533">
        <v>2023</v>
      </c>
      <c r="I1533" t="s">
        <v>18</v>
      </c>
      <c r="J1533" s="4">
        <v>0.136270871985158</v>
      </c>
      <c r="K1533" t="s">
        <v>40</v>
      </c>
      <c r="L1533" t="s">
        <v>52</v>
      </c>
      <c r="M1533">
        <v>11</v>
      </c>
      <c r="N1533" t="s">
        <v>58</v>
      </c>
    </row>
    <row r="1534" spans="1:14" x14ac:dyDescent="0.3">
      <c r="A1534" s="1">
        <v>45046</v>
      </c>
      <c r="B1534" t="s">
        <v>31</v>
      </c>
      <c r="C1534" t="s">
        <v>11</v>
      </c>
      <c r="D1534" t="s">
        <v>12</v>
      </c>
      <c r="E1534">
        <v>6</v>
      </c>
      <c r="F1534">
        <v>4728</v>
      </c>
      <c r="G1534">
        <v>705.85</v>
      </c>
      <c r="H1534">
        <v>2023</v>
      </c>
      <c r="I1534" t="s">
        <v>23</v>
      </c>
      <c r="J1534" s="4">
        <v>0.14929145516074499</v>
      </c>
      <c r="K1534" t="s">
        <v>40</v>
      </c>
      <c r="L1534" t="s">
        <v>59</v>
      </c>
      <c r="M1534">
        <v>4</v>
      </c>
      <c r="N1534" t="s">
        <v>62</v>
      </c>
    </row>
    <row r="1535" spans="1:14" x14ac:dyDescent="0.3">
      <c r="A1535" s="1">
        <v>45184</v>
      </c>
      <c r="B1535" t="s">
        <v>31</v>
      </c>
      <c r="C1535" t="s">
        <v>11</v>
      </c>
      <c r="D1535" t="s">
        <v>12</v>
      </c>
      <c r="E1535">
        <v>4</v>
      </c>
      <c r="F1535">
        <v>640</v>
      </c>
      <c r="G1535">
        <v>149.88999999999999</v>
      </c>
      <c r="H1535">
        <v>2023</v>
      </c>
      <c r="I1535" t="s">
        <v>21</v>
      </c>
      <c r="J1535" s="4">
        <v>0.23420312500000001</v>
      </c>
      <c r="K1535" t="s">
        <v>40</v>
      </c>
      <c r="L1535" t="s">
        <v>60</v>
      </c>
      <c r="M1535">
        <v>9</v>
      </c>
      <c r="N1535" t="s">
        <v>61</v>
      </c>
    </row>
    <row r="1536" spans="1:14" x14ac:dyDescent="0.3">
      <c r="A1536" s="1">
        <v>45149</v>
      </c>
      <c r="B1536" t="s">
        <v>31</v>
      </c>
      <c r="C1536" t="s">
        <v>11</v>
      </c>
      <c r="D1536" t="s">
        <v>19</v>
      </c>
      <c r="E1536">
        <v>5</v>
      </c>
      <c r="F1536">
        <v>2125</v>
      </c>
      <c r="G1536">
        <v>632.67999999999995</v>
      </c>
      <c r="H1536">
        <v>2023</v>
      </c>
      <c r="I1536" t="s">
        <v>24</v>
      </c>
      <c r="J1536" s="4">
        <v>0.29773176470588197</v>
      </c>
      <c r="K1536" t="s">
        <v>40</v>
      </c>
      <c r="L1536" t="s">
        <v>60</v>
      </c>
      <c r="M1536">
        <v>8</v>
      </c>
      <c r="N1536" t="s">
        <v>63</v>
      </c>
    </row>
    <row r="1537" spans="1:14" x14ac:dyDescent="0.3">
      <c r="A1537" s="1">
        <v>44975</v>
      </c>
      <c r="B1537" t="s">
        <v>31</v>
      </c>
      <c r="C1537" t="s">
        <v>11</v>
      </c>
      <c r="D1537" t="s">
        <v>19</v>
      </c>
      <c r="E1537">
        <v>7</v>
      </c>
      <c r="F1537">
        <v>5516</v>
      </c>
      <c r="G1537">
        <v>1475.67</v>
      </c>
      <c r="H1537">
        <v>2023</v>
      </c>
      <c r="I1537" t="s">
        <v>16</v>
      </c>
      <c r="J1537" s="4">
        <v>0.26752538071066001</v>
      </c>
      <c r="K1537" t="s">
        <v>40</v>
      </c>
      <c r="L1537" t="s">
        <v>55</v>
      </c>
      <c r="M1537">
        <v>2</v>
      </c>
      <c r="N1537" t="s">
        <v>57</v>
      </c>
    </row>
    <row r="1538" spans="1:14" x14ac:dyDescent="0.3">
      <c r="A1538" s="1">
        <v>45028</v>
      </c>
      <c r="B1538" t="s">
        <v>31</v>
      </c>
      <c r="C1538" t="s">
        <v>11</v>
      </c>
      <c r="D1538" t="s">
        <v>22</v>
      </c>
      <c r="E1538">
        <v>8</v>
      </c>
      <c r="F1538">
        <v>3312</v>
      </c>
      <c r="G1538">
        <v>811.31</v>
      </c>
      <c r="H1538">
        <v>2023</v>
      </c>
      <c r="I1538" t="s">
        <v>23</v>
      </c>
      <c r="J1538" s="4">
        <v>0.24496074879227001</v>
      </c>
      <c r="K1538" t="s">
        <v>40</v>
      </c>
      <c r="L1538" t="s">
        <v>59</v>
      </c>
      <c r="M1538">
        <v>4</v>
      </c>
      <c r="N1538" t="s">
        <v>62</v>
      </c>
    </row>
    <row r="1539" spans="1:14" x14ac:dyDescent="0.3">
      <c r="A1539" s="1">
        <v>45150</v>
      </c>
      <c r="B1539" t="s">
        <v>31</v>
      </c>
      <c r="C1539" t="s">
        <v>11</v>
      </c>
      <c r="D1539" t="s">
        <v>12</v>
      </c>
      <c r="E1539">
        <v>1</v>
      </c>
      <c r="F1539">
        <v>51</v>
      </c>
      <c r="G1539">
        <v>9.36</v>
      </c>
      <c r="H1539">
        <v>2023</v>
      </c>
      <c r="I1539" t="s">
        <v>24</v>
      </c>
      <c r="J1539" s="4">
        <v>0.183529411764706</v>
      </c>
      <c r="K1539" t="s">
        <v>40</v>
      </c>
      <c r="L1539" t="s">
        <v>60</v>
      </c>
      <c r="M1539">
        <v>8</v>
      </c>
      <c r="N1539" t="s">
        <v>63</v>
      </c>
    </row>
    <row r="1540" spans="1:14" x14ac:dyDescent="0.3">
      <c r="A1540" s="1">
        <v>45110</v>
      </c>
      <c r="B1540" t="s">
        <v>31</v>
      </c>
      <c r="C1540" t="s">
        <v>11</v>
      </c>
      <c r="D1540" t="s">
        <v>12</v>
      </c>
      <c r="E1540">
        <v>6</v>
      </c>
      <c r="F1540">
        <v>5778</v>
      </c>
      <c r="G1540">
        <v>1232.54</v>
      </c>
      <c r="H1540">
        <v>2023</v>
      </c>
      <c r="I1540" t="s">
        <v>25</v>
      </c>
      <c r="J1540" s="4">
        <v>0.21331602630668001</v>
      </c>
      <c r="K1540" t="s">
        <v>40</v>
      </c>
      <c r="L1540" t="s">
        <v>60</v>
      </c>
      <c r="M1540">
        <v>7</v>
      </c>
      <c r="N1540" t="s">
        <v>64</v>
      </c>
    </row>
    <row r="1541" spans="1:14" x14ac:dyDescent="0.3">
      <c r="A1541" s="1">
        <v>45055</v>
      </c>
      <c r="B1541" t="s">
        <v>31</v>
      </c>
      <c r="C1541" t="s">
        <v>11</v>
      </c>
      <c r="D1541" t="s">
        <v>19</v>
      </c>
      <c r="E1541">
        <v>4</v>
      </c>
      <c r="F1541">
        <v>4228</v>
      </c>
      <c r="G1541">
        <v>764.3</v>
      </c>
      <c r="H1541">
        <v>2023</v>
      </c>
      <c r="I1541" t="s">
        <v>20</v>
      </c>
      <c r="J1541" s="4">
        <v>0.180771050141911</v>
      </c>
      <c r="K1541" t="s">
        <v>40</v>
      </c>
      <c r="L1541" t="s">
        <v>59</v>
      </c>
      <c r="M1541">
        <v>5</v>
      </c>
      <c r="N1541" t="s">
        <v>20</v>
      </c>
    </row>
    <row r="1542" spans="1:14" x14ac:dyDescent="0.3">
      <c r="A1542" s="1">
        <v>45233</v>
      </c>
      <c r="B1542" t="s">
        <v>31</v>
      </c>
      <c r="C1542" t="s">
        <v>11</v>
      </c>
      <c r="D1542" t="s">
        <v>12</v>
      </c>
      <c r="E1542">
        <v>5</v>
      </c>
      <c r="F1542">
        <v>1935</v>
      </c>
      <c r="G1542">
        <v>128.01</v>
      </c>
      <c r="H1542">
        <v>2023</v>
      </c>
      <c r="I1542" t="s">
        <v>18</v>
      </c>
      <c r="J1542" s="4">
        <v>6.6155038759689894E-2</v>
      </c>
      <c r="K1542" t="s">
        <v>40</v>
      </c>
      <c r="L1542" t="s">
        <v>52</v>
      </c>
      <c r="M1542">
        <v>11</v>
      </c>
      <c r="N1542" t="s">
        <v>58</v>
      </c>
    </row>
    <row r="1543" spans="1:14" x14ac:dyDescent="0.3">
      <c r="A1543" s="1">
        <v>44958</v>
      </c>
      <c r="B1543" t="s">
        <v>31</v>
      </c>
      <c r="C1543" t="s">
        <v>11</v>
      </c>
      <c r="D1543" t="s">
        <v>17</v>
      </c>
      <c r="E1543">
        <v>8</v>
      </c>
      <c r="F1543">
        <v>4824</v>
      </c>
      <c r="G1543">
        <v>1187.93</v>
      </c>
      <c r="H1543">
        <v>2023</v>
      </c>
      <c r="I1543" t="s">
        <v>16</v>
      </c>
      <c r="J1543" s="4">
        <v>0.246254145936982</v>
      </c>
      <c r="K1543" t="s">
        <v>40</v>
      </c>
      <c r="L1543" t="s">
        <v>55</v>
      </c>
      <c r="M1543">
        <v>2</v>
      </c>
      <c r="N1543" t="s">
        <v>57</v>
      </c>
    </row>
    <row r="1544" spans="1:14" x14ac:dyDescent="0.3">
      <c r="A1544" s="1">
        <v>45049</v>
      </c>
      <c r="B1544" t="s">
        <v>31</v>
      </c>
      <c r="C1544" t="s">
        <v>11</v>
      </c>
      <c r="D1544" t="s">
        <v>19</v>
      </c>
      <c r="E1544">
        <v>1</v>
      </c>
      <c r="F1544">
        <v>985</v>
      </c>
      <c r="G1544">
        <v>196.64</v>
      </c>
      <c r="H1544">
        <v>2023</v>
      </c>
      <c r="I1544" t="s">
        <v>20</v>
      </c>
      <c r="J1544" s="4">
        <v>0.19963451776649699</v>
      </c>
      <c r="K1544" t="s">
        <v>40</v>
      </c>
      <c r="L1544" t="s">
        <v>59</v>
      </c>
      <c r="M1544">
        <v>5</v>
      </c>
      <c r="N1544" t="s">
        <v>20</v>
      </c>
    </row>
    <row r="1545" spans="1:14" x14ac:dyDescent="0.3">
      <c r="A1545" s="1">
        <v>44997</v>
      </c>
      <c r="B1545" t="s">
        <v>31</v>
      </c>
      <c r="C1545" t="s">
        <v>11</v>
      </c>
      <c r="D1545" t="s">
        <v>19</v>
      </c>
      <c r="E1545">
        <v>2</v>
      </c>
      <c r="F1545">
        <v>1180</v>
      </c>
      <c r="G1545">
        <v>261.16000000000003</v>
      </c>
      <c r="H1545">
        <v>2023</v>
      </c>
      <c r="I1545" t="s">
        <v>15</v>
      </c>
      <c r="J1545" s="4">
        <v>0.22132203389830499</v>
      </c>
      <c r="K1545" t="s">
        <v>40</v>
      </c>
      <c r="L1545" t="s">
        <v>55</v>
      </c>
      <c r="M1545">
        <v>3</v>
      </c>
      <c r="N1545" t="s">
        <v>56</v>
      </c>
    </row>
    <row r="1546" spans="1:14" x14ac:dyDescent="0.3">
      <c r="A1546" s="1">
        <v>45053</v>
      </c>
      <c r="B1546" t="s">
        <v>31</v>
      </c>
      <c r="C1546" t="s">
        <v>11</v>
      </c>
      <c r="D1546" t="s">
        <v>12</v>
      </c>
      <c r="E1546">
        <v>8</v>
      </c>
      <c r="F1546">
        <v>7944</v>
      </c>
      <c r="G1546">
        <v>2257.73</v>
      </c>
      <c r="H1546">
        <v>2023</v>
      </c>
      <c r="I1546" t="s">
        <v>20</v>
      </c>
      <c r="J1546" s="4">
        <v>0.28420568982880201</v>
      </c>
      <c r="K1546" t="s">
        <v>40</v>
      </c>
      <c r="L1546" t="s">
        <v>59</v>
      </c>
      <c r="M1546">
        <v>5</v>
      </c>
      <c r="N1546" t="s">
        <v>20</v>
      </c>
    </row>
    <row r="1547" spans="1:14" x14ac:dyDescent="0.3">
      <c r="A1547" s="1">
        <v>45065</v>
      </c>
      <c r="B1547" t="s">
        <v>31</v>
      </c>
      <c r="C1547" t="s">
        <v>11</v>
      </c>
      <c r="D1547" t="s">
        <v>12</v>
      </c>
      <c r="E1547">
        <v>3</v>
      </c>
      <c r="F1547">
        <v>2274</v>
      </c>
      <c r="G1547">
        <v>662</v>
      </c>
      <c r="H1547">
        <v>2023</v>
      </c>
      <c r="I1547" t="s">
        <v>20</v>
      </c>
      <c r="J1547" s="4">
        <v>0.29111697449428298</v>
      </c>
      <c r="K1547" t="s">
        <v>40</v>
      </c>
      <c r="L1547" t="s">
        <v>59</v>
      </c>
      <c r="M1547">
        <v>5</v>
      </c>
      <c r="N1547" t="s">
        <v>20</v>
      </c>
    </row>
    <row r="1548" spans="1:14" x14ac:dyDescent="0.3">
      <c r="A1548" s="1">
        <v>44948</v>
      </c>
      <c r="B1548" t="s">
        <v>31</v>
      </c>
      <c r="C1548" t="s">
        <v>11</v>
      </c>
      <c r="D1548" t="s">
        <v>17</v>
      </c>
      <c r="E1548">
        <v>4</v>
      </c>
      <c r="F1548">
        <v>1740</v>
      </c>
      <c r="G1548">
        <v>224.79</v>
      </c>
      <c r="H1548">
        <v>2023</v>
      </c>
      <c r="I1548" t="s">
        <v>26</v>
      </c>
      <c r="J1548" s="4">
        <v>0.12918965517241399</v>
      </c>
      <c r="K1548" t="s">
        <v>40</v>
      </c>
      <c r="L1548" t="s">
        <v>55</v>
      </c>
      <c r="M1548">
        <v>1</v>
      </c>
      <c r="N1548" t="s">
        <v>65</v>
      </c>
    </row>
    <row r="1549" spans="1:14" x14ac:dyDescent="0.3">
      <c r="A1549" s="1">
        <v>45291</v>
      </c>
      <c r="B1549" t="s">
        <v>31</v>
      </c>
      <c r="C1549" t="s">
        <v>11</v>
      </c>
      <c r="D1549" t="s">
        <v>19</v>
      </c>
      <c r="E1549">
        <v>1</v>
      </c>
      <c r="F1549">
        <v>622</v>
      </c>
      <c r="G1549">
        <v>104.57</v>
      </c>
      <c r="H1549">
        <v>2023</v>
      </c>
      <c r="I1549" t="s">
        <v>13</v>
      </c>
      <c r="J1549" s="4">
        <v>0.168118971061093</v>
      </c>
      <c r="K1549" t="s">
        <v>40</v>
      </c>
      <c r="L1549" t="s">
        <v>52</v>
      </c>
      <c r="M1549">
        <v>12</v>
      </c>
      <c r="N1549" t="s">
        <v>53</v>
      </c>
    </row>
    <row r="1550" spans="1:14" x14ac:dyDescent="0.3">
      <c r="A1550" s="1">
        <v>44954</v>
      </c>
      <c r="B1550" t="s">
        <v>31</v>
      </c>
      <c r="C1550" t="s">
        <v>11</v>
      </c>
      <c r="D1550" t="s">
        <v>19</v>
      </c>
      <c r="E1550">
        <v>7</v>
      </c>
      <c r="F1550">
        <v>3955</v>
      </c>
      <c r="G1550">
        <v>1144.76</v>
      </c>
      <c r="H1550">
        <v>2023</v>
      </c>
      <c r="I1550" t="s">
        <v>26</v>
      </c>
      <c r="J1550" s="4">
        <v>0.28944627054361599</v>
      </c>
      <c r="K1550" t="s">
        <v>40</v>
      </c>
      <c r="L1550" t="s">
        <v>55</v>
      </c>
      <c r="M1550">
        <v>1</v>
      </c>
      <c r="N1550" t="s">
        <v>65</v>
      </c>
    </row>
    <row r="1551" spans="1:14" x14ac:dyDescent="0.3">
      <c r="A1551" s="1">
        <v>45159</v>
      </c>
      <c r="B1551" t="s">
        <v>31</v>
      </c>
      <c r="C1551" t="s">
        <v>11</v>
      </c>
      <c r="D1551" t="s">
        <v>22</v>
      </c>
      <c r="E1551">
        <v>5</v>
      </c>
      <c r="F1551">
        <v>2510</v>
      </c>
      <c r="G1551">
        <v>515.12</v>
      </c>
      <c r="H1551">
        <v>2023</v>
      </c>
      <c r="I1551" t="s">
        <v>24</v>
      </c>
      <c r="J1551" s="4">
        <v>0.205227091633466</v>
      </c>
      <c r="K1551" t="s">
        <v>40</v>
      </c>
      <c r="L1551" t="s">
        <v>60</v>
      </c>
      <c r="M1551">
        <v>8</v>
      </c>
      <c r="N1551" t="s">
        <v>63</v>
      </c>
    </row>
    <row r="1552" spans="1:14" x14ac:dyDescent="0.3">
      <c r="A1552" s="1">
        <v>45081</v>
      </c>
      <c r="B1552" t="s">
        <v>31</v>
      </c>
      <c r="C1552" t="s">
        <v>11</v>
      </c>
      <c r="D1552" t="s">
        <v>12</v>
      </c>
      <c r="E1552">
        <v>3</v>
      </c>
      <c r="F1552">
        <v>3117</v>
      </c>
      <c r="G1552">
        <v>829.09</v>
      </c>
      <c r="H1552">
        <v>2023</v>
      </c>
      <c r="I1552" t="s">
        <v>27</v>
      </c>
      <c r="J1552" s="4">
        <v>0.26598973371831902</v>
      </c>
      <c r="K1552" t="s">
        <v>40</v>
      </c>
      <c r="L1552" t="s">
        <v>59</v>
      </c>
      <c r="M1552">
        <v>6</v>
      </c>
      <c r="N1552" t="s">
        <v>66</v>
      </c>
    </row>
    <row r="1553" spans="1:14" x14ac:dyDescent="0.3">
      <c r="A1553" s="1">
        <v>45200</v>
      </c>
      <c r="B1553" t="s">
        <v>31</v>
      </c>
      <c r="C1553" t="s">
        <v>11</v>
      </c>
      <c r="D1553" t="s">
        <v>19</v>
      </c>
      <c r="E1553">
        <v>3</v>
      </c>
      <c r="F1553">
        <v>1140</v>
      </c>
      <c r="G1553">
        <v>226.52</v>
      </c>
      <c r="H1553">
        <v>2023</v>
      </c>
      <c r="I1553" t="s">
        <v>14</v>
      </c>
      <c r="J1553" s="4">
        <v>0.19870175438596499</v>
      </c>
      <c r="K1553" t="s">
        <v>40</v>
      </c>
      <c r="L1553" t="s">
        <v>52</v>
      </c>
      <c r="M1553">
        <v>10</v>
      </c>
      <c r="N1553" t="s">
        <v>54</v>
      </c>
    </row>
    <row r="1554" spans="1:14" x14ac:dyDescent="0.3">
      <c r="A1554" s="1">
        <v>45032</v>
      </c>
      <c r="B1554" t="s">
        <v>31</v>
      </c>
      <c r="C1554" t="s">
        <v>11</v>
      </c>
      <c r="D1554" t="s">
        <v>19</v>
      </c>
      <c r="E1554">
        <v>7</v>
      </c>
      <c r="F1554">
        <v>5201</v>
      </c>
      <c r="G1554">
        <v>745.2</v>
      </c>
      <c r="H1554">
        <v>2023</v>
      </c>
      <c r="I1554" t="s">
        <v>23</v>
      </c>
      <c r="J1554" s="4">
        <v>0.14328013843491599</v>
      </c>
      <c r="K1554" t="s">
        <v>40</v>
      </c>
      <c r="L1554" t="s">
        <v>59</v>
      </c>
      <c r="M1554">
        <v>4</v>
      </c>
      <c r="N1554" t="s">
        <v>62</v>
      </c>
    </row>
    <row r="1555" spans="1:14" x14ac:dyDescent="0.3">
      <c r="A1555" s="1">
        <v>44936</v>
      </c>
      <c r="B1555" t="s">
        <v>31</v>
      </c>
      <c r="C1555" t="s">
        <v>11</v>
      </c>
      <c r="D1555" t="s">
        <v>19</v>
      </c>
      <c r="E1555">
        <v>4</v>
      </c>
      <c r="F1555">
        <v>1932</v>
      </c>
      <c r="G1555">
        <v>472.91</v>
      </c>
      <c r="H1555">
        <v>2023</v>
      </c>
      <c r="I1555" t="s">
        <v>26</v>
      </c>
      <c r="J1555" s="4">
        <v>0.244777432712215</v>
      </c>
      <c r="K1555" t="s">
        <v>40</v>
      </c>
      <c r="L1555" t="s">
        <v>55</v>
      </c>
      <c r="M1555">
        <v>1</v>
      </c>
      <c r="N1555" t="s">
        <v>65</v>
      </c>
    </row>
    <row r="1556" spans="1:14" x14ac:dyDescent="0.3">
      <c r="A1556" s="1">
        <v>45125</v>
      </c>
      <c r="B1556" t="s">
        <v>31</v>
      </c>
      <c r="C1556" t="s">
        <v>11</v>
      </c>
      <c r="D1556" t="s">
        <v>19</v>
      </c>
      <c r="E1556">
        <v>6</v>
      </c>
      <c r="F1556">
        <v>4662</v>
      </c>
      <c r="G1556">
        <v>350.79</v>
      </c>
      <c r="H1556">
        <v>2023</v>
      </c>
      <c r="I1556" t="s">
        <v>25</v>
      </c>
      <c r="J1556" s="4">
        <v>7.5244530244530206E-2</v>
      </c>
      <c r="K1556" t="s">
        <v>40</v>
      </c>
      <c r="L1556" t="s">
        <v>60</v>
      </c>
      <c r="M1556">
        <v>7</v>
      </c>
      <c r="N1556" t="s">
        <v>64</v>
      </c>
    </row>
    <row r="1557" spans="1:14" x14ac:dyDescent="0.3">
      <c r="A1557" s="1">
        <v>45260</v>
      </c>
      <c r="B1557" t="s">
        <v>31</v>
      </c>
      <c r="C1557" t="s">
        <v>11</v>
      </c>
      <c r="D1557" t="s">
        <v>17</v>
      </c>
      <c r="E1557">
        <v>7</v>
      </c>
      <c r="F1557">
        <v>2639</v>
      </c>
      <c r="G1557">
        <v>268.88</v>
      </c>
      <c r="H1557">
        <v>2023</v>
      </c>
      <c r="I1557" t="s">
        <v>18</v>
      </c>
      <c r="J1557" s="4">
        <v>0.101887078438803</v>
      </c>
      <c r="K1557" t="s">
        <v>40</v>
      </c>
      <c r="L1557" t="s">
        <v>52</v>
      </c>
      <c r="M1557">
        <v>11</v>
      </c>
      <c r="N1557" t="s">
        <v>58</v>
      </c>
    </row>
    <row r="1558" spans="1:14" x14ac:dyDescent="0.3">
      <c r="A1558" s="1">
        <v>45167</v>
      </c>
      <c r="B1558" t="s">
        <v>31</v>
      </c>
      <c r="C1558" t="s">
        <v>11</v>
      </c>
      <c r="D1558" t="s">
        <v>17</v>
      </c>
      <c r="E1558">
        <v>2</v>
      </c>
      <c r="F1558">
        <v>1660</v>
      </c>
      <c r="G1558">
        <v>362.88</v>
      </c>
      <c r="H1558">
        <v>2023</v>
      </c>
      <c r="I1558" t="s">
        <v>24</v>
      </c>
      <c r="J1558" s="4">
        <v>0.21860240963855401</v>
      </c>
      <c r="K1558" t="s">
        <v>40</v>
      </c>
      <c r="L1558" t="s">
        <v>60</v>
      </c>
      <c r="M1558">
        <v>8</v>
      </c>
      <c r="N1558" t="s">
        <v>63</v>
      </c>
    </row>
    <row r="1559" spans="1:14" x14ac:dyDescent="0.3">
      <c r="A1559" s="1">
        <v>45271</v>
      </c>
      <c r="B1559" t="s">
        <v>31</v>
      </c>
      <c r="C1559" t="s">
        <v>11</v>
      </c>
      <c r="D1559" t="s">
        <v>19</v>
      </c>
      <c r="E1559">
        <v>5</v>
      </c>
      <c r="F1559">
        <v>5175</v>
      </c>
      <c r="G1559">
        <v>786.27</v>
      </c>
      <c r="H1559">
        <v>2023</v>
      </c>
      <c r="I1559" t="s">
        <v>13</v>
      </c>
      <c r="J1559" s="4">
        <v>0.151936231884058</v>
      </c>
      <c r="K1559" t="s">
        <v>40</v>
      </c>
      <c r="L1559" t="s">
        <v>52</v>
      </c>
      <c r="M1559">
        <v>12</v>
      </c>
      <c r="N1559" t="s">
        <v>53</v>
      </c>
    </row>
    <row r="1560" spans="1:14" x14ac:dyDescent="0.3">
      <c r="A1560" s="1">
        <v>44939</v>
      </c>
      <c r="B1560" t="s">
        <v>31</v>
      </c>
      <c r="C1560" t="s">
        <v>11</v>
      </c>
      <c r="D1560" t="s">
        <v>19</v>
      </c>
      <c r="E1560">
        <v>6</v>
      </c>
      <c r="F1560">
        <v>2478</v>
      </c>
      <c r="G1560">
        <v>153.86000000000001</v>
      </c>
      <c r="H1560">
        <v>2023</v>
      </c>
      <c r="I1560" t="s">
        <v>26</v>
      </c>
      <c r="J1560" s="4">
        <v>6.2090395480225997E-2</v>
      </c>
      <c r="K1560" t="s">
        <v>40</v>
      </c>
      <c r="L1560" t="s">
        <v>55</v>
      </c>
      <c r="M1560">
        <v>1</v>
      </c>
      <c r="N1560" t="s">
        <v>65</v>
      </c>
    </row>
    <row r="1561" spans="1:14" x14ac:dyDescent="0.3">
      <c r="A1561" s="1">
        <v>45149</v>
      </c>
      <c r="B1561" t="s">
        <v>31</v>
      </c>
      <c r="C1561" t="s">
        <v>11</v>
      </c>
      <c r="D1561" t="s">
        <v>19</v>
      </c>
      <c r="E1561">
        <v>7</v>
      </c>
      <c r="F1561">
        <v>6034</v>
      </c>
      <c r="G1561">
        <v>1018.37</v>
      </c>
      <c r="H1561">
        <v>2023</v>
      </c>
      <c r="I1561" t="s">
        <v>24</v>
      </c>
      <c r="J1561" s="4">
        <v>0.168771958899569</v>
      </c>
      <c r="K1561" t="s">
        <v>40</v>
      </c>
      <c r="L1561" t="s">
        <v>60</v>
      </c>
      <c r="M1561">
        <v>8</v>
      </c>
      <c r="N1561" t="s">
        <v>63</v>
      </c>
    </row>
    <row r="1562" spans="1:14" x14ac:dyDescent="0.3">
      <c r="A1562" s="1">
        <v>45099</v>
      </c>
      <c r="B1562" t="s">
        <v>31</v>
      </c>
      <c r="C1562" t="s">
        <v>11</v>
      </c>
      <c r="D1562" t="s">
        <v>22</v>
      </c>
      <c r="E1562">
        <v>9</v>
      </c>
      <c r="F1562">
        <v>756</v>
      </c>
      <c r="G1562">
        <v>99.21</v>
      </c>
      <c r="H1562">
        <v>2023</v>
      </c>
      <c r="I1562" t="s">
        <v>27</v>
      </c>
      <c r="J1562" s="4">
        <v>0.131230158730159</v>
      </c>
      <c r="K1562" t="s">
        <v>40</v>
      </c>
      <c r="L1562" t="s">
        <v>59</v>
      </c>
      <c r="M1562">
        <v>6</v>
      </c>
      <c r="N1562" t="s">
        <v>66</v>
      </c>
    </row>
    <row r="1563" spans="1:14" x14ac:dyDescent="0.3">
      <c r="A1563" s="1">
        <v>45284</v>
      </c>
      <c r="B1563" t="s">
        <v>31</v>
      </c>
      <c r="C1563" t="s">
        <v>11</v>
      </c>
      <c r="D1563" t="s">
        <v>17</v>
      </c>
      <c r="E1563">
        <v>9</v>
      </c>
      <c r="F1563">
        <v>2430</v>
      </c>
      <c r="G1563">
        <v>613.66999999999996</v>
      </c>
      <c r="H1563">
        <v>2023</v>
      </c>
      <c r="I1563" t="s">
        <v>13</v>
      </c>
      <c r="J1563" s="4">
        <v>0.25253909465020602</v>
      </c>
      <c r="K1563" t="s">
        <v>40</v>
      </c>
      <c r="L1563" t="s">
        <v>52</v>
      </c>
      <c r="M1563">
        <v>12</v>
      </c>
      <c r="N1563" t="s">
        <v>53</v>
      </c>
    </row>
    <row r="1564" spans="1:14" x14ac:dyDescent="0.3">
      <c r="A1564" s="1">
        <v>45054</v>
      </c>
      <c r="B1564" t="s">
        <v>31</v>
      </c>
      <c r="C1564" t="s">
        <v>11</v>
      </c>
      <c r="D1564" t="s">
        <v>22</v>
      </c>
      <c r="E1564">
        <v>4</v>
      </c>
      <c r="F1564">
        <v>3188</v>
      </c>
      <c r="G1564">
        <v>202.81</v>
      </c>
      <c r="H1564">
        <v>2023</v>
      </c>
      <c r="I1564" t="s">
        <v>20</v>
      </c>
      <c r="J1564" s="4">
        <v>6.3616687578419095E-2</v>
      </c>
      <c r="K1564" t="s">
        <v>40</v>
      </c>
      <c r="L1564" t="s">
        <v>59</v>
      </c>
      <c r="M1564">
        <v>5</v>
      </c>
      <c r="N1564" t="s">
        <v>20</v>
      </c>
    </row>
    <row r="1565" spans="1:14" x14ac:dyDescent="0.3">
      <c r="A1565" s="1">
        <v>45247</v>
      </c>
      <c r="B1565" t="s">
        <v>31</v>
      </c>
      <c r="C1565" t="s">
        <v>11</v>
      </c>
      <c r="D1565" t="s">
        <v>12</v>
      </c>
      <c r="E1565">
        <v>7</v>
      </c>
      <c r="F1565">
        <v>1281</v>
      </c>
      <c r="G1565">
        <v>282.63</v>
      </c>
      <c r="H1565">
        <v>2023</v>
      </c>
      <c r="I1565" t="s">
        <v>18</v>
      </c>
      <c r="J1565" s="4">
        <v>0.22063231850117099</v>
      </c>
      <c r="K1565" t="s">
        <v>40</v>
      </c>
      <c r="L1565" t="s">
        <v>52</v>
      </c>
      <c r="M1565">
        <v>11</v>
      </c>
      <c r="N1565" t="s">
        <v>58</v>
      </c>
    </row>
    <row r="1566" spans="1:14" x14ac:dyDescent="0.3">
      <c r="A1566" s="1">
        <v>45186</v>
      </c>
      <c r="B1566" t="s">
        <v>31</v>
      </c>
      <c r="C1566" t="s">
        <v>11</v>
      </c>
      <c r="D1566" t="s">
        <v>17</v>
      </c>
      <c r="E1566">
        <v>7</v>
      </c>
      <c r="F1566">
        <v>6461</v>
      </c>
      <c r="G1566">
        <v>766.45</v>
      </c>
      <c r="H1566">
        <v>2023</v>
      </c>
      <c r="I1566" t="s">
        <v>21</v>
      </c>
      <c r="J1566" s="4">
        <v>0.118627147500387</v>
      </c>
      <c r="K1566" t="s">
        <v>40</v>
      </c>
      <c r="L1566" t="s">
        <v>60</v>
      </c>
      <c r="M1566">
        <v>9</v>
      </c>
      <c r="N1566" t="s">
        <v>61</v>
      </c>
    </row>
    <row r="1567" spans="1:14" x14ac:dyDescent="0.3">
      <c r="A1567" s="1">
        <v>45169</v>
      </c>
      <c r="B1567" t="s">
        <v>31</v>
      </c>
      <c r="C1567" t="s">
        <v>11</v>
      </c>
      <c r="D1567" t="s">
        <v>19</v>
      </c>
      <c r="E1567">
        <v>4</v>
      </c>
      <c r="F1567">
        <v>2556</v>
      </c>
      <c r="G1567">
        <v>412.44</v>
      </c>
      <c r="H1567">
        <v>2023</v>
      </c>
      <c r="I1567" t="s">
        <v>24</v>
      </c>
      <c r="J1567" s="4">
        <v>0.161361502347418</v>
      </c>
      <c r="K1567" t="s">
        <v>40</v>
      </c>
      <c r="L1567" t="s">
        <v>60</v>
      </c>
      <c r="M1567">
        <v>8</v>
      </c>
      <c r="N1567" t="s">
        <v>63</v>
      </c>
    </row>
    <row r="1568" spans="1:14" x14ac:dyDescent="0.3">
      <c r="A1568" s="1">
        <v>45213</v>
      </c>
      <c r="B1568" t="s">
        <v>31</v>
      </c>
      <c r="C1568" t="s">
        <v>11</v>
      </c>
      <c r="D1568" t="s">
        <v>22</v>
      </c>
      <c r="E1568">
        <v>2</v>
      </c>
      <c r="F1568">
        <v>348</v>
      </c>
      <c r="G1568">
        <v>56.31</v>
      </c>
      <c r="H1568">
        <v>2023</v>
      </c>
      <c r="I1568" t="s">
        <v>14</v>
      </c>
      <c r="J1568" s="4">
        <v>0.16181034482758599</v>
      </c>
      <c r="K1568" t="s">
        <v>40</v>
      </c>
      <c r="L1568" t="s">
        <v>52</v>
      </c>
      <c r="M1568">
        <v>10</v>
      </c>
      <c r="N1568" t="s">
        <v>54</v>
      </c>
    </row>
    <row r="1569" spans="1:14" x14ac:dyDescent="0.3">
      <c r="A1569" s="1">
        <v>45131</v>
      </c>
      <c r="B1569" t="s">
        <v>31</v>
      </c>
      <c r="C1569" t="s">
        <v>11</v>
      </c>
      <c r="D1569" t="s">
        <v>22</v>
      </c>
      <c r="E1569">
        <v>7</v>
      </c>
      <c r="F1569">
        <v>4669</v>
      </c>
      <c r="G1569">
        <v>803.21</v>
      </c>
      <c r="H1569">
        <v>2023</v>
      </c>
      <c r="I1569" t="s">
        <v>25</v>
      </c>
      <c r="J1569" s="4">
        <v>0.172030413364746</v>
      </c>
      <c r="K1569" t="s">
        <v>40</v>
      </c>
      <c r="L1569" t="s">
        <v>60</v>
      </c>
      <c r="M1569">
        <v>7</v>
      </c>
      <c r="N1569" t="s">
        <v>64</v>
      </c>
    </row>
    <row r="1570" spans="1:14" x14ac:dyDescent="0.3">
      <c r="A1570" s="1">
        <v>45090</v>
      </c>
      <c r="B1570" t="s">
        <v>31</v>
      </c>
      <c r="C1570" t="s">
        <v>11</v>
      </c>
      <c r="D1570" t="s">
        <v>22</v>
      </c>
      <c r="E1570">
        <v>9</v>
      </c>
      <c r="F1570">
        <v>6948</v>
      </c>
      <c r="G1570">
        <v>1409.3</v>
      </c>
      <c r="H1570">
        <v>2023</v>
      </c>
      <c r="I1570" t="s">
        <v>27</v>
      </c>
      <c r="J1570" s="4">
        <v>0.20283534830166999</v>
      </c>
      <c r="K1570" t="s">
        <v>40</v>
      </c>
      <c r="L1570" t="s">
        <v>59</v>
      </c>
      <c r="M1570">
        <v>6</v>
      </c>
      <c r="N1570" t="s">
        <v>66</v>
      </c>
    </row>
    <row r="1571" spans="1:14" x14ac:dyDescent="0.3">
      <c r="A1571" s="1">
        <v>45239</v>
      </c>
      <c r="B1571" t="s">
        <v>31</v>
      </c>
      <c r="C1571" t="s">
        <v>11</v>
      </c>
      <c r="D1571" t="s">
        <v>19</v>
      </c>
      <c r="E1571">
        <v>6</v>
      </c>
      <c r="F1571">
        <v>5190</v>
      </c>
      <c r="G1571">
        <v>1215.07</v>
      </c>
      <c r="H1571">
        <v>2023</v>
      </c>
      <c r="I1571" t="s">
        <v>18</v>
      </c>
      <c r="J1571" s="4">
        <v>0.23411753371869001</v>
      </c>
      <c r="K1571" t="s">
        <v>40</v>
      </c>
      <c r="L1571" t="s">
        <v>52</v>
      </c>
      <c r="M1571">
        <v>11</v>
      </c>
      <c r="N1571" t="s">
        <v>58</v>
      </c>
    </row>
    <row r="1572" spans="1:14" x14ac:dyDescent="0.3">
      <c r="A1572" s="1">
        <v>45067</v>
      </c>
      <c r="B1572" t="s">
        <v>31</v>
      </c>
      <c r="C1572" t="s">
        <v>11</v>
      </c>
      <c r="D1572" t="s">
        <v>22</v>
      </c>
      <c r="E1572">
        <v>8</v>
      </c>
      <c r="F1572">
        <v>7064</v>
      </c>
      <c r="G1572">
        <v>1554.52</v>
      </c>
      <c r="H1572">
        <v>2023</v>
      </c>
      <c r="I1572" t="s">
        <v>20</v>
      </c>
      <c r="J1572" s="4">
        <v>0.220062287655719</v>
      </c>
      <c r="K1572" t="s">
        <v>40</v>
      </c>
      <c r="L1572" t="s">
        <v>59</v>
      </c>
      <c r="M1572">
        <v>5</v>
      </c>
      <c r="N1572" t="s">
        <v>20</v>
      </c>
    </row>
    <row r="1573" spans="1:14" x14ac:dyDescent="0.3">
      <c r="A1573" s="1">
        <v>45112</v>
      </c>
      <c r="B1573" t="s">
        <v>31</v>
      </c>
      <c r="C1573" t="s">
        <v>11</v>
      </c>
      <c r="D1573" t="s">
        <v>17</v>
      </c>
      <c r="E1573">
        <v>4</v>
      </c>
      <c r="F1573">
        <v>1524</v>
      </c>
      <c r="G1573">
        <v>189.32</v>
      </c>
      <c r="H1573">
        <v>2023</v>
      </c>
      <c r="I1573" t="s">
        <v>25</v>
      </c>
      <c r="J1573" s="4">
        <v>0.124225721784777</v>
      </c>
      <c r="K1573" t="s">
        <v>40</v>
      </c>
      <c r="L1573" t="s">
        <v>60</v>
      </c>
      <c r="M1573">
        <v>7</v>
      </c>
      <c r="N1573" t="s">
        <v>64</v>
      </c>
    </row>
    <row r="1574" spans="1:14" x14ac:dyDescent="0.3">
      <c r="A1574" s="1">
        <v>45073</v>
      </c>
      <c r="B1574" t="s">
        <v>31</v>
      </c>
      <c r="C1574" t="s">
        <v>11</v>
      </c>
      <c r="D1574" t="s">
        <v>17</v>
      </c>
      <c r="E1574">
        <v>1</v>
      </c>
      <c r="F1574">
        <v>1017</v>
      </c>
      <c r="G1574">
        <v>209.97</v>
      </c>
      <c r="H1574">
        <v>2023</v>
      </c>
      <c r="I1574" t="s">
        <v>20</v>
      </c>
      <c r="J1574" s="4">
        <v>0.20646017699114999</v>
      </c>
      <c r="K1574" t="s">
        <v>40</v>
      </c>
      <c r="L1574" t="s">
        <v>59</v>
      </c>
      <c r="M1574">
        <v>5</v>
      </c>
      <c r="N1574" t="s">
        <v>20</v>
      </c>
    </row>
    <row r="1575" spans="1:14" x14ac:dyDescent="0.3">
      <c r="A1575" s="1">
        <v>44957</v>
      </c>
      <c r="B1575" t="s">
        <v>31</v>
      </c>
      <c r="C1575" t="s">
        <v>11</v>
      </c>
      <c r="D1575" t="s">
        <v>12</v>
      </c>
      <c r="E1575">
        <v>6</v>
      </c>
      <c r="F1575">
        <v>1578</v>
      </c>
      <c r="G1575">
        <v>82.85</v>
      </c>
      <c r="H1575">
        <v>2023</v>
      </c>
      <c r="I1575" t="s">
        <v>26</v>
      </c>
      <c r="J1575" s="4">
        <v>5.2503168567807297E-2</v>
      </c>
      <c r="K1575" t="s">
        <v>40</v>
      </c>
      <c r="L1575" t="s">
        <v>55</v>
      </c>
      <c r="M1575">
        <v>1</v>
      </c>
      <c r="N1575" t="s">
        <v>65</v>
      </c>
    </row>
    <row r="1576" spans="1:14" x14ac:dyDescent="0.3">
      <c r="A1576" s="1">
        <v>45208</v>
      </c>
      <c r="B1576" t="s">
        <v>31</v>
      </c>
      <c r="C1576" t="s">
        <v>11</v>
      </c>
      <c r="D1576" t="s">
        <v>22</v>
      </c>
      <c r="E1576">
        <v>2</v>
      </c>
      <c r="F1576">
        <v>912</v>
      </c>
      <c r="G1576">
        <v>161.37</v>
      </c>
      <c r="H1576">
        <v>2023</v>
      </c>
      <c r="I1576" t="s">
        <v>14</v>
      </c>
      <c r="J1576" s="4">
        <v>0.176940789473684</v>
      </c>
      <c r="K1576" t="s">
        <v>40</v>
      </c>
      <c r="L1576" t="s">
        <v>52</v>
      </c>
      <c r="M1576">
        <v>10</v>
      </c>
      <c r="N1576" t="s">
        <v>54</v>
      </c>
    </row>
    <row r="1577" spans="1:14" x14ac:dyDescent="0.3">
      <c r="A1577" s="1">
        <v>44940</v>
      </c>
      <c r="B1577" t="s">
        <v>31</v>
      </c>
      <c r="C1577" t="s">
        <v>11</v>
      </c>
      <c r="D1577" t="s">
        <v>22</v>
      </c>
      <c r="E1577">
        <v>6</v>
      </c>
      <c r="F1577">
        <v>4872</v>
      </c>
      <c r="G1577">
        <v>612.73</v>
      </c>
      <c r="H1577">
        <v>2023</v>
      </c>
      <c r="I1577" t="s">
        <v>26</v>
      </c>
      <c r="J1577" s="4">
        <v>0.12576559934318601</v>
      </c>
      <c r="K1577" t="s">
        <v>40</v>
      </c>
      <c r="L1577" t="s">
        <v>55</v>
      </c>
      <c r="M1577">
        <v>1</v>
      </c>
      <c r="N1577" t="s">
        <v>65</v>
      </c>
    </row>
    <row r="1578" spans="1:14" x14ac:dyDescent="0.3">
      <c r="A1578" s="1">
        <v>45236</v>
      </c>
      <c r="B1578" t="s">
        <v>31</v>
      </c>
      <c r="C1578" t="s">
        <v>11</v>
      </c>
      <c r="D1578" t="s">
        <v>17</v>
      </c>
      <c r="E1578">
        <v>6</v>
      </c>
      <c r="F1578">
        <v>6486</v>
      </c>
      <c r="G1578">
        <v>359.49</v>
      </c>
      <c r="H1578">
        <v>2023</v>
      </c>
      <c r="I1578" t="s">
        <v>18</v>
      </c>
      <c r="J1578" s="4">
        <v>5.5425531914893598E-2</v>
      </c>
      <c r="K1578" t="s">
        <v>40</v>
      </c>
      <c r="L1578" t="s">
        <v>52</v>
      </c>
      <c r="M1578">
        <v>11</v>
      </c>
      <c r="N1578" t="s">
        <v>58</v>
      </c>
    </row>
    <row r="1579" spans="1:14" x14ac:dyDescent="0.3">
      <c r="A1579" s="1">
        <v>44962</v>
      </c>
      <c r="B1579" t="s">
        <v>31</v>
      </c>
      <c r="C1579" t="s">
        <v>11</v>
      </c>
      <c r="D1579" t="s">
        <v>19</v>
      </c>
      <c r="E1579">
        <v>9</v>
      </c>
      <c r="F1579">
        <v>6903</v>
      </c>
      <c r="G1579">
        <v>837.35</v>
      </c>
      <c r="H1579">
        <v>2023</v>
      </c>
      <c r="I1579" t="s">
        <v>16</v>
      </c>
      <c r="J1579" s="4">
        <v>0.121302332319281</v>
      </c>
      <c r="K1579" t="s">
        <v>40</v>
      </c>
      <c r="L1579" t="s">
        <v>55</v>
      </c>
      <c r="M1579">
        <v>2</v>
      </c>
      <c r="N1579" t="s">
        <v>57</v>
      </c>
    </row>
    <row r="1580" spans="1:14" x14ac:dyDescent="0.3">
      <c r="A1580" s="1">
        <v>44939</v>
      </c>
      <c r="B1580" t="s">
        <v>31</v>
      </c>
      <c r="C1580" t="s">
        <v>11</v>
      </c>
      <c r="D1580" t="s">
        <v>12</v>
      </c>
      <c r="E1580">
        <v>6</v>
      </c>
      <c r="F1580">
        <v>7014</v>
      </c>
      <c r="G1580">
        <v>1202.25</v>
      </c>
      <c r="H1580">
        <v>2023</v>
      </c>
      <c r="I1580" t="s">
        <v>26</v>
      </c>
      <c r="J1580" s="4">
        <v>0.17140718562874299</v>
      </c>
      <c r="K1580" t="s">
        <v>40</v>
      </c>
      <c r="L1580" t="s">
        <v>55</v>
      </c>
      <c r="M1580">
        <v>1</v>
      </c>
      <c r="N1580" t="s">
        <v>65</v>
      </c>
    </row>
    <row r="1581" spans="1:14" x14ac:dyDescent="0.3">
      <c r="A1581" s="1">
        <v>45104</v>
      </c>
      <c r="B1581" t="s">
        <v>31</v>
      </c>
      <c r="C1581" t="s">
        <v>11</v>
      </c>
      <c r="D1581" t="s">
        <v>12</v>
      </c>
      <c r="E1581">
        <v>1</v>
      </c>
      <c r="F1581">
        <v>173</v>
      </c>
      <c r="G1581">
        <v>20.96</v>
      </c>
      <c r="H1581">
        <v>2023</v>
      </c>
      <c r="I1581" t="s">
        <v>27</v>
      </c>
      <c r="J1581" s="4">
        <v>0.121156069364162</v>
      </c>
      <c r="K1581" t="s">
        <v>40</v>
      </c>
      <c r="L1581" t="s">
        <v>59</v>
      </c>
      <c r="M1581">
        <v>6</v>
      </c>
      <c r="N1581" t="s">
        <v>66</v>
      </c>
    </row>
    <row r="1582" spans="1:14" x14ac:dyDescent="0.3">
      <c r="A1582" s="1">
        <v>45187</v>
      </c>
      <c r="B1582" t="s">
        <v>31</v>
      </c>
      <c r="C1582" t="s">
        <v>11</v>
      </c>
      <c r="D1582" t="s">
        <v>12</v>
      </c>
      <c r="E1582">
        <v>8</v>
      </c>
      <c r="F1582">
        <v>7048</v>
      </c>
      <c r="G1582">
        <v>391.96</v>
      </c>
      <c r="H1582">
        <v>2023</v>
      </c>
      <c r="I1582" t="s">
        <v>21</v>
      </c>
      <c r="J1582" s="4">
        <v>5.5612939841089698E-2</v>
      </c>
      <c r="K1582" t="s">
        <v>40</v>
      </c>
      <c r="L1582" t="s">
        <v>60</v>
      </c>
      <c r="M1582">
        <v>9</v>
      </c>
      <c r="N1582" t="s">
        <v>61</v>
      </c>
    </row>
    <row r="1583" spans="1:14" x14ac:dyDescent="0.3">
      <c r="A1583" s="1">
        <v>44978</v>
      </c>
      <c r="B1583" t="s">
        <v>31</v>
      </c>
      <c r="C1583" t="s">
        <v>11</v>
      </c>
      <c r="D1583" t="s">
        <v>12</v>
      </c>
      <c r="E1583">
        <v>5</v>
      </c>
      <c r="F1583">
        <v>475</v>
      </c>
      <c r="G1583">
        <v>76.22</v>
      </c>
      <c r="H1583">
        <v>2023</v>
      </c>
      <c r="I1583" t="s">
        <v>16</v>
      </c>
      <c r="J1583" s="4">
        <v>0.160463157894737</v>
      </c>
      <c r="K1583" t="s">
        <v>40</v>
      </c>
      <c r="L1583" t="s">
        <v>55</v>
      </c>
      <c r="M1583">
        <v>2</v>
      </c>
      <c r="N1583" t="s">
        <v>57</v>
      </c>
    </row>
    <row r="1584" spans="1:14" x14ac:dyDescent="0.3">
      <c r="A1584" s="1">
        <v>45162</v>
      </c>
      <c r="B1584" t="s">
        <v>31</v>
      </c>
      <c r="C1584" t="s">
        <v>11</v>
      </c>
      <c r="D1584" t="s">
        <v>12</v>
      </c>
      <c r="E1584">
        <v>1</v>
      </c>
      <c r="F1584">
        <v>137</v>
      </c>
      <c r="G1584">
        <v>39.35</v>
      </c>
      <c r="H1584">
        <v>2023</v>
      </c>
      <c r="I1584" t="s">
        <v>24</v>
      </c>
      <c r="J1584" s="4">
        <v>0.28722627737226297</v>
      </c>
      <c r="K1584" t="s">
        <v>40</v>
      </c>
      <c r="L1584" t="s">
        <v>60</v>
      </c>
      <c r="M1584">
        <v>8</v>
      </c>
      <c r="N1584" t="s">
        <v>63</v>
      </c>
    </row>
    <row r="1585" spans="1:14" x14ac:dyDescent="0.3">
      <c r="A1585" s="1">
        <v>45151</v>
      </c>
      <c r="B1585" t="s">
        <v>31</v>
      </c>
      <c r="C1585" t="s">
        <v>11</v>
      </c>
      <c r="D1585" t="s">
        <v>12</v>
      </c>
      <c r="E1585">
        <v>8</v>
      </c>
      <c r="F1585">
        <v>7776</v>
      </c>
      <c r="G1585">
        <v>498.6</v>
      </c>
      <c r="H1585">
        <v>2023</v>
      </c>
      <c r="I1585" t="s">
        <v>24</v>
      </c>
      <c r="J1585" s="4">
        <v>6.4120370370370397E-2</v>
      </c>
      <c r="K1585" t="s">
        <v>40</v>
      </c>
      <c r="L1585" t="s">
        <v>60</v>
      </c>
      <c r="M1585">
        <v>8</v>
      </c>
      <c r="N1585" t="s">
        <v>63</v>
      </c>
    </row>
    <row r="1586" spans="1:14" x14ac:dyDescent="0.3">
      <c r="A1586" s="1">
        <v>45252</v>
      </c>
      <c r="B1586" t="s">
        <v>31</v>
      </c>
      <c r="C1586" t="s">
        <v>11</v>
      </c>
      <c r="D1586" t="s">
        <v>12</v>
      </c>
      <c r="E1586">
        <v>4</v>
      </c>
      <c r="F1586">
        <v>3684</v>
      </c>
      <c r="G1586">
        <v>1009.1</v>
      </c>
      <c r="H1586">
        <v>2023</v>
      </c>
      <c r="I1586" t="s">
        <v>18</v>
      </c>
      <c r="J1586" s="4">
        <v>0.27391422366992402</v>
      </c>
      <c r="K1586" t="s">
        <v>40</v>
      </c>
      <c r="L1586" t="s">
        <v>52</v>
      </c>
      <c r="M1586">
        <v>11</v>
      </c>
      <c r="N1586" t="s">
        <v>58</v>
      </c>
    </row>
    <row r="1587" spans="1:14" x14ac:dyDescent="0.3">
      <c r="A1587" s="1">
        <v>44960</v>
      </c>
      <c r="B1587" t="s">
        <v>31</v>
      </c>
      <c r="C1587" t="s">
        <v>11</v>
      </c>
      <c r="D1587" t="s">
        <v>17</v>
      </c>
      <c r="E1587">
        <v>8</v>
      </c>
      <c r="F1587">
        <v>7664</v>
      </c>
      <c r="G1587">
        <v>1251.6500000000001</v>
      </c>
      <c r="H1587">
        <v>2023</v>
      </c>
      <c r="I1587" t="s">
        <v>16</v>
      </c>
      <c r="J1587" s="4">
        <v>0.16331550104384099</v>
      </c>
      <c r="K1587" t="s">
        <v>40</v>
      </c>
      <c r="L1587" t="s">
        <v>55</v>
      </c>
      <c r="M1587">
        <v>2</v>
      </c>
      <c r="N1587" t="s">
        <v>57</v>
      </c>
    </row>
    <row r="1588" spans="1:14" x14ac:dyDescent="0.3">
      <c r="A1588" s="1">
        <v>44942</v>
      </c>
      <c r="B1588" t="s">
        <v>31</v>
      </c>
      <c r="C1588" t="s">
        <v>11</v>
      </c>
      <c r="D1588" t="s">
        <v>17</v>
      </c>
      <c r="E1588">
        <v>8</v>
      </c>
      <c r="F1588">
        <v>8896</v>
      </c>
      <c r="G1588">
        <v>1154.96</v>
      </c>
      <c r="H1588">
        <v>2023</v>
      </c>
      <c r="I1588" t="s">
        <v>26</v>
      </c>
      <c r="J1588" s="4">
        <v>0.12982913669064799</v>
      </c>
      <c r="K1588" t="s">
        <v>40</v>
      </c>
      <c r="L1588" t="s">
        <v>55</v>
      </c>
      <c r="M1588">
        <v>1</v>
      </c>
      <c r="N1588" t="s">
        <v>65</v>
      </c>
    </row>
    <row r="1589" spans="1:14" x14ac:dyDescent="0.3">
      <c r="A1589" s="1">
        <v>45035</v>
      </c>
      <c r="B1589" t="s">
        <v>31</v>
      </c>
      <c r="C1589" t="s">
        <v>11</v>
      </c>
      <c r="D1589" t="s">
        <v>12</v>
      </c>
      <c r="E1589">
        <v>2</v>
      </c>
      <c r="F1589">
        <v>604</v>
      </c>
      <c r="G1589">
        <v>102.52</v>
      </c>
      <c r="H1589">
        <v>2023</v>
      </c>
      <c r="I1589" t="s">
        <v>23</v>
      </c>
      <c r="J1589" s="4">
        <v>0.169735099337748</v>
      </c>
      <c r="K1589" t="s">
        <v>40</v>
      </c>
      <c r="L1589" t="s">
        <v>59</v>
      </c>
      <c r="M1589">
        <v>4</v>
      </c>
      <c r="N1589" t="s">
        <v>62</v>
      </c>
    </row>
    <row r="1590" spans="1:14" x14ac:dyDescent="0.3">
      <c r="A1590" s="1">
        <v>45273</v>
      </c>
      <c r="B1590" t="s">
        <v>31</v>
      </c>
      <c r="C1590" t="s">
        <v>11</v>
      </c>
      <c r="D1590" t="s">
        <v>12</v>
      </c>
      <c r="E1590">
        <v>6</v>
      </c>
      <c r="F1590">
        <v>6978</v>
      </c>
      <c r="G1590">
        <v>2028.63</v>
      </c>
      <c r="H1590">
        <v>2023</v>
      </c>
      <c r="I1590" t="s">
        <v>13</v>
      </c>
      <c r="J1590" s="4">
        <v>0.29071797076526201</v>
      </c>
      <c r="K1590" t="s">
        <v>40</v>
      </c>
      <c r="L1590" t="s">
        <v>52</v>
      </c>
      <c r="M1590">
        <v>12</v>
      </c>
      <c r="N1590" t="s">
        <v>53</v>
      </c>
    </row>
    <row r="1591" spans="1:14" x14ac:dyDescent="0.3">
      <c r="A1591" s="1">
        <v>45286</v>
      </c>
      <c r="B1591" t="s">
        <v>31</v>
      </c>
      <c r="C1591" t="s">
        <v>11</v>
      </c>
      <c r="D1591" t="s">
        <v>19</v>
      </c>
      <c r="E1591">
        <v>9</v>
      </c>
      <c r="F1591">
        <v>828</v>
      </c>
      <c r="G1591">
        <v>59.99</v>
      </c>
      <c r="H1591">
        <v>2023</v>
      </c>
      <c r="I1591" t="s">
        <v>13</v>
      </c>
      <c r="J1591" s="4">
        <v>7.2451690821256007E-2</v>
      </c>
      <c r="K1591" t="s">
        <v>40</v>
      </c>
      <c r="L1591" t="s">
        <v>52</v>
      </c>
      <c r="M1591">
        <v>12</v>
      </c>
      <c r="N1591" t="s">
        <v>53</v>
      </c>
    </row>
    <row r="1592" spans="1:14" x14ac:dyDescent="0.3">
      <c r="A1592" s="1">
        <v>45248</v>
      </c>
      <c r="B1592" t="s">
        <v>31</v>
      </c>
      <c r="C1592" t="s">
        <v>11</v>
      </c>
      <c r="D1592" t="s">
        <v>22</v>
      </c>
      <c r="E1592">
        <v>3</v>
      </c>
      <c r="F1592">
        <v>1680</v>
      </c>
      <c r="G1592">
        <v>140.27000000000001</v>
      </c>
      <c r="H1592">
        <v>2023</v>
      </c>
      <c r="I1592" t="s">
        <v>18</v>
      </c>
      <c r="J1592" s="4">
        <v>8.3494047619047607E-2</v>
      </c>
      <c r="K1592" t="s">
        <v>40</v>
      </c>
      <c r="L1592" t="s">
        <v>52</v>
      </c>
      <c r="M1592">
        <v>11</v>
      </c>
      <c r="N1592" t="s">
        <v>58</v>
      </c>
    </row>
    <row r="1593" spans="1:14" x14ac:dyDescent="0.3">
      <c r="A1593" s="1">
        <v>45081</v>
      </c>
      <c r="B1593" t="s">
        <v>31</v>
      </c>
      <c r="C1593" t="s">
        <v>11</v>
      </c>
      <c r="D1593" t="s">
        <v>12</v>
      </c>
      <c r="E1593">
        <v>4</v>
      </c>
      <c r="F1593">
        <v>356</v>
      </c>
      <c r="G1593">
        <v>23.4</v>
      </c>
      <c r="H1593">
        <v>2023</v>
      </c>
      <c r="I1593" t="s">
        <v>27</v>
      </c>
      <c r="J1593" s="4">
        <v>6.5730337078651696E-2</v>
      </c>
      <c r="K1593" t="s">
        <v>40</v>
      </c>
      <c r="L1593" t="s">
        <v>59</v>
      </c>
      <c r="M1593">
        <v>6</v>
      </c>
      <c r="N1593" t="s">
        <v>66</v>
      </c>
    </row>
    <row r="1594" spans="1:14" x14ac:dyDescent="0.3">
      <c r="A1594" s="1">
        <v>45037</v>
      </c>
      <c r="B1594" t="s">
        <v>31</v>
      </c>
      <c r="C1594" t="s">
        <v>11</v>
      </c>
      <c r="D1594" t="s">
        <v>12</v>
      </c>
      <c r="E1594">
        <v>9</v>
      </c>
      <c r="F1594">
        <v>9891</v>
      </c>
      <c r="G1594">
        <v>1774.03</v>
      </c>
      <c r="H1594">
        <v>2023</v>
      </c>
      <c r="I1594" t="s">
        <v>23</v>
      </c>
      <c r="J1594" s="4">
        <v>0.179358002224244</v>
      </c>
      <c r="K1594" t="s">
        <v>40</v>
      </c>
      <c r="L1594" t="s">
        <v>59</v>
      </c>
      <c r="M1594">
        <v>4</v>
      </c>
      <c r="N1594" t="s">
        <v>62</v>
      </c>
    </row>
    <row r="1595" spans="1:14" x14ac:dyDescent="0.3">
      <c r="A1595" s="1">
        <v>45154</v>
      </c>
      <c r="B1595" t="s">
        <v>31</v>
      </c>
      <c r="C1595" t="s">
        <v>11</v>
      </c>
      <c r="D1595" t="s">
        <v>12</v>
      </c>
      <c r="E1595">
        <v>6</v>
      </c>
      <c r="F1595">
        <v>1926</v>
      </c>
      <c r="G1595">
        <v>393.01</v>
      </c>
      <c r="H1595">
        <v>2023</v>
      </c>
      <c r="I1595" t="s">
        <v>24</v>
      </c>
      <c r="J1595" s="4">
        <v>0.204055036344756</v>
      </c>
      <c r="K1595" t="s">
        <v>40</v>
      </c>
      <c r="L1595" t="s">
        <v>60</v>
      </c>
      <c r="M1595">
        <v>8</v>
      </c>
      <c r="N1595" t="s">
        <v>63</v>
      </c>
    </row>
    <row r="1596" spans="1:14" x14ac:dyDescent="0.3">
      <c r="A1596" s="1">
        <v>45083</v>
      </c>
      <c r="B1596" t="s">
        <v>31</v>
      </c>
      <c r="C1596" t="s">
        <v>11</v>
      </c>
      <c r="D1596" t="s">
        <v>17</v>
      </c>
      <c r="E1596">
        <v>1</v>
      </c>
      <c r="F1596">
        <v>258</v>
      </c>
      <c r="G1596">
        <v>27.01</v>
      </c>
      <c r="H1596">
        <v>2023</v>
      </c>
      <c r="I1596" t="s">
        <v>27</v>
      </c>
      <c r="J1596" s="4">
        <v>0.10468992248062001</v>
      </c>
      <c r="K1596" t="s">
        <v>40</v>
      </c>
      <c r="L1596" t="s">
        <v>59</v>
      </c>
      <c r="M1596">
        <v>6</v>
      </c>
      <c r="N1596" t="s">
        <v>66</v>
      </c>
    </row>
    <row r="1597" spans="1:14" x14ac:dyDescent="0.3">
      <c r="A1597" s="1">
        <v>45120</v>
      </c>
      <c r="B1597" t="s">
        <v>31</v>
      </c>
      <c r="C1597" t="s">
        <v>11</v>
      </c>
      <c r="D1597" t="s">
        <v>19</v>
      </c>
      <c r="E1597">
        <v>1</v>
      </c>
      <c r="F1597">
        <v>677</v>
      </c>
      <c r="G1597">
        <v>88.41</v>
      </c>
      <c r="H1597">
        <v>2023</v>
      </c>
      <c r="I1597" t="s">
        <v>25</v>
      </c>
      <c r="J1597" s="4">
        <v>0.13059084194977799</v>
      </c>
      <c r="K1597" t="s">
        <v>40</v>
      </c>
      <c r="L1597" t="s">
        <v>60</v>
      </c>
      <c r="M1597">
        <v>7</v>
      </c>
      <c r="N1597" t="s">
        <v>64</v>
      </c>
    </row>
    <row r="1598" spans="1:14" x14ac:dyDescent="0.3">
      <c r="A1598" s="1">
        <v>44987</v>
      </c>
      <c r="B1598" t="s">
        <v>31</v>
      </c>
      <c r="C1598" t="s">
        <v>11</v>
      </c>
      <c r="D1598" t="s">
        <v>12</v>
      </c>
      <c r="E1598">
        <v>2</v>
      </c>
      <c r="F1598">
        <v>1132</v>
      </c>
      <c r="G1598">
        <v>290.56</v>
      </c>
      <c r="H1598">
        <v>2023</v>
      </c>
      <c r="I1598" t="s">
        <v>15</v>
      </c>
      <c r="J1598" s="4">
        <v>0.25667844522968197</v>
      </c>
      <c r="K1598" t="s">
        <v>40</v>
      </c>
      <c r="L1598" t="s">
        <v>55</v>
      </c>
      <c r="M1598">
        <v>3</v>
      </c>
      <c r="N1598" t="s">
        <v>56</v>
      </c>
    </row>
    <row r="1599" spans="1:14" x14ac:dyDescent="0.3">
      <c r="A1599" s="1">
        <v>45245</v>
      </c>
      <c r="B1599" t="s">
        <v>31</v>
      </c>
      <c r="C1599" t="s">
        <v>11</v>
      </c>
      <c r="D1599" t="s">
        <v>12</v>
      </c>
      <c r="E1599">
        <v>1</v>
      </c>
      <c r="F1599">
        <v>1128</v>
      </c>
      <c r="G1599">
        <v>73.739999999999995</v>
      </c>
      <c r="H1599">
        <v>2023</v>
      </c>
      <c r="I1599" t="s">
        <v>18</v>
      </c>
      <c r="J1599" s="4">
        <v>6.5372340425531902E-2</v>
      </c>
      <c r="K1599" t="s">
        <v>40</v>
      </c>
      <c r="L1599" t="s">
        <v>52</v>
      </c>
      <c r="M1599">
        <v>11</v>
      </c>
      <c r="N1599" t="s">
        <v>58</v>
      </c>
    </row>
    <row r="1600" spans="1:14" x14ac:dyDescent="0.3">
      <c r="A1600" s="1">
        <v>45194</v>
      </c>
      <c r="B1600" t="s">
        <v>31</v>
      </c>
      <c r="C1600" t="s">
        <v>11</v>
      </c>
      <c r="D1600" t="s">
        <v>12</v>
      </c>
      <c r="E1600">
        <v>1</v>
      </c>
      <c r="F1600">
        <v>111</v>
      </c>
      <c r="G1600">
        <v>13.61</v>
      </c>
      <c r="H1600">
        <v>2023</v>
      </c>
      <c r="I1600" t="s">
        <v>21</v>
      </c>
      <c r="J1600" s="4">
        <v>0.122612612612613</v>
      </c>
      <c r="K1600" t="s">
        <v>40</v>
      </c>
      <c r="L1600" t="s">
        <v>60</v>
      </c>
      <c r="M1600">
        <v>9</v>
      </c>
      <c r="N1600" t="s">
        <v>61</v>
      </c>
    </row>
    <row r="1601" spans="1:14" x14ac:dyDescent="0.3">
      <c r="A1601" s="1">
        <v>45267</v>
      </c>
      <c r="B1601" t="s">
        <v>31</v>
      </c>
      <c r="C1601" t="s">
        <v>11</v>
      </c>
      <c r="D1601" t="s">
        <v>12</v>
      </c>
      <c r="E1601">
        <v>9</v>
      </c>
      <c r="F1601">
        <v>10404</v>
      </c>
      <c r="G1601">
        <v>2028.21</v>
      </c>
      <c r="H1601">
        <v>2023</v>
      </c>
      <c r="I1601" t="s">
        <v>13</v>
      </c>
      <c r="J1601" s="4">
        <v>0.19494521337946899</v>
      </c>
      <c r="K1601" t="s">
        <v>40</v>
      </c>
      <c r="L1601" t="s">
        <v>52</v>
      </c>
      <c r="M1601">
        <v>12</v>
      </c>
      <c r="N1601" t="s">
        <v>53</v>
      </c>
    </row>
    <row r="1602" spans="1:14" x14ac:dyDescent="0.3">
      <c r="A1602" s="1">
        <v>45002</v>
      </c>
      <c r="B1602" t="s">
        <v>31</v>
      </c>
      <c r="C1602" t="s">
        <v>11</v>
      </c>
      <c r="D1602" t="s">
        <v>22</v>
      </c>
      <c r="E1602">
        <v>5</v>
      </c>
      <c r="F1602">
        <v>5930</v>
      </c>
      <c r="G1602">
        <v>1193.32</v>
      </c>
      <c r="H1602">
        <v>2023</v>
      </c>
      <c r="I1602" t="s">
        <v>15</v>
      </c>
      <c r="J1602" s="4">
        <v>0.201234401349072</v>
      </c>
      <c r="K1602" t="s">
        <v>40</v>
      </c>
      <c r="L1602" t="s">
        <v>55</v>
      </c>
      <c r="M1602">
        <v>3</v>
      </c>
      <c r="N1602" t="s">
        <v>56</v>
      </c>
    </row>
    <row r="1603" spans="1:14" x14ac:dyDescent="0.3">
      <c r="A1603" s="1">
        <v>45188</v>
      </c>
      <c r="B1603" t="s">
        <v>31</v>
      </c>
      <c r="C1603" t="s">
        <v>11</v>
      </c>
      <c r="D1603" t="s">
        <v>12</v>
      </c>
      <c r="E1603">
        <v>7</v>
      </c>
      <c r="F1603">
        <v>4452</v>
      </c>
      <c r="G1603">
        <v>920.05</v>
      </c>
      <c r="H1603">
        <v>2023</v>
      </c>
      <c r="I1603" t="s">
        <v>21</v>
      </c>
      <c r="J1603" s="4">
        <v>0.206659928122192</v>
      </c>
      <c r="K1603" t="s">
        <v>40</v>
      </c>
      <c r="L1603" t="s">
        <v>60</v>
      </c>
      <c r="M1603">
        <v>9</v>
      </c>
      <c r="N1603" t="s">
        <v>61</v>
      </c>
    </row>
    <row r="1604" spans="1:14" x14ac:dyDescent="0.3">
      <c r="A1604" s="1">
        <v>44976</v>
      </c>
      <c r="B1604" t="s">
        <v>31</v>
      </c>
      <c r="C1604" t="s">
        <v>11</v>
      </c>
      <c r="D1604" t="s">
        <v>22</v>
      </c>
      <c r="E1604">
        <v>4</v>
      </c>
      <c r="F1604">
        <v>3152</v>
      </c>
      <c r="G1604">
        <v>307.62</v>
      </c>
      <c r="H1604">
        <v>2023</v>
      </c>
      <c r="I1604" t="s">
        <v>16</v>
      </c>
      <c r="J1604" s="4">
        <v>9.7595177664974594E-2</v>
      </c>
      <c r="K1604" t="s">
        <v>40</v>
      </c>
      <c r="L1604" t="s">
        <v>55</v>
      </c>
      <c r="M1604">
        <v>2</v>
      </c>
      <c r="N1604" t="s">
        <v>57</v>
      </c>
    </row>
    <row r="1605" spans="1:14" x14ac:dyDescent="0.3">
      <c r="A1605" s="1">
        <v>45265</v>
      </c>
      <c r="B1605" t="s">
        <v>31</v>
      </c>
      <c r="C1605" t="s">
        <v>11</v>
      </c>
      <c r="D1605" t="s">
        <v>17</v>
      </c>
      <c r="E1605">
        <v>2</v>
      </c>
      <c r="F1605">
        <v>876</v>
      </c>
      <c r="G1605">
        <v>66.680000000000007</v>
      </c>
      <c r="H1605">
        <v>2023</v>
      </c>
      <c r="I1605" t="s">
        <v>13</v>
      </c>
      <c r="J1605" s="4">
        <v>7.61187214611872E-2</v>
      </c>
      <c r="K1605" t="s">
        <v>40</v>
      </c>
      <c r="L1605" t="s">
        <v>52</v>
      </c>
      <c r="M1605">
        <v>12</v>
      </c>
      <c r="N1605" t="s">
        <v>53</v>
      </c>
    </row>
    <row r="1606" spans="1:14" x14ac:dyDescent="0.3">
      <c r="A1606" s="1">
        <v>44977</v>
      </c>
      <c r="B1606" t="s">
        <v>31</v>
      </c>
      <c r="C1606" t="s">
        <v>11</v>
      </c>
      <c r="D1606" t="s">
        <v>17</v>
      </c>
      <c r="E1606">
        <v>5</v>
      </c>
      <c r="F1606">
        <v>4005</v>
      </c>
      <c r="G1606">
        <v>226.09</v>
      </c>
      <c r="H1606">
        <v>2023</v>
      </c>
      <c r="I1606" t="s">
        <v>16</v>
      </c>
      <c r="J1606" s="4">
        <v>5.6451935081148603E-2</v>
      </c>
      <c r="K1606" t="s">
        <v>40</v>
      </c>
      <c r="L1606" t="s">
        <v>55</v>
      </c>
      <c r="M1606">
        <v>2</v>
      </c>
      <c r="N1606" t="s">
        <v>57</v>
      </c>
    </row>
    <row r="1607" spans="1:14" x14ac:dyDescent="0.3">
      <c r="A1607" s="1">
        <v>45262</v>
      </c>
      <c r="B1607" t="s">
        <v>31</v>
      </c>
      <c r="C1607" t="s">
        <v>11</v>
      </c>
      <c r="D1607" t="s">
        <v>12</v>
      </c>
      <c r="E1607">
        <v>2</v>
      </c>
      <c r="F1607">
        <v>1736</v>
      </c>
      <c r="G1607">
        <v>388.09</v>
      </c>
      <c r="H1607">
        <v>2023</v>
      </c>
      <c r="I1607" t="s">
        <v>13</v>
      </c>
      <c r="J1607" s="4">
        <v>0.223554147465438</v>
      </c>
      <c r="K1607" t="s">
        <v>40</v>
      </c>
      <c r="L1607" t="s">
        <v>52</v>
      </c>
      <c r="M1607">
        <v>12</v>
      </c>
      <c r="N1607" t="s">
        <v>53</v>
      </c>
    </row>
    <row r="1608" spans="1:14" x14ac:dyDescent="0.3">
      <c r="A1608" s="1">
        <v>45009</v>
      </c>
      <c r="B1608" t="s">
        <v>31</v>
      </c>
      <c r="C1608" t="s">
        <v>11</v>
      </c>
      <c r="D1608" t="s">
        <v>19</v>
      </c>
      <c r="E1608">
        <v>1</v>
      </c>
      <c r="F1608">
        <v>266</v>
      </c>
      <c r="G1608">
        <v>55.52</v>
      </c>
      <c r="H1608">
        <v>2023</v>
      </c>
      <c r="I1608" t="s">
        <v>15</v>
      </c>
      <c r="J1608" s="4">
        <v>0.208721804511278</v>
      </c>
      <c r="K1608" t="s">
        <v>40</v>
      </c>
      <c r="L1608" t="s">
        <v>55</v>
      </c>
      <c r="M1608">
        <v>3</v>
      </c>
      <c r="N1608" t="s">
        <v>56</v>
      </c>
    </row>
    <row r="1609" spans="1:14" x14ac:dyDescent="0.3">
      <c r="A1609" s="1">
        <v>45154</v>
      </c>
      <c r="B1609" t="s">
        <v>31</v>
      </c>
      <c r="C1609" t="s">
        <v>11</v>
      </c>
      <c r="D1609" t="s">
        <v>22</v>
      </c>
      <c r="E1609">
        <v>4</v>
      </c>
      <c r="F1609">
        <v>2444</v>
      </c>
      <c r="G1609">
        <v>155.41999999999999</v>
      </c>
      <c r="H1609">
        <v>2023</v>
      </c>
      <c r="I1609" t="s">
        <v>24</v>
      </c>
      <c r="J1609" s="4">
        <v>6.3592471358428798E-2</v>
      </c>
      <c r="K1609" t="s">
        <v>40</v>
      </c>
      <c r="L1609" t="s">
        <v>60</v>
      </c>
      <c r="M1609">
        <v>8</v>
      </c>
      <c r="N1609" t="s">
        <v>63</v>
      </c>
    </row>
    <row r="1610" spans="1:14" x14ac:dyDescent="0.3">
      <c r="A1610" s="1">
        <v>45263</v>
      </c>
      <c r="B1610" t="s">
        <v>31</v>
      </c>
      <c r="C1610" t="s">
        <v>11</v>
      </c>
      <c r="D1610" t="s">
        <v>19</v>
      </c>
      <c r="E1610">
        <v>1</v>
      </c>
      <c r="F1610">
        <v>1039</v>
      </c>
      <c r="G1610">
        <v>137.24</v>
      </c>
      <c r="H1610">
        <v>2023</v>
      </c>
      <c r="I1610" t="s">
        <v>13</v>
      </c>
      <c r="J1610" s="4">
        <v>0.13208854667950001</v>
      </c>
      <c r="K1610" t="s">
        <v>40</v>
      </c>
      <c r="L1610" t="s">
        <v>52</v>
      </c>
      <c r="M1610">
        <v>12</v>
      </c>
      <c r="N1610" t="s">
        <v>53</v>
      </c>
    </row>
    <row r="1611" spans="1:14" x14ac:dyDescent="0.3">
      <c r="A1611" s="1">
        <v>45255</v>
      </c>
      <c r="B1611" t="s">
        <v>31</v>
      </c>
      <c r="C1611" t="s">
        <v>11</v>
      </c>
      <c r="D1611" t="s">
        <v>12</v>
      </c>
      <c r="E1611">
        <v>9</v>
      </c>
      <c r="F1611">
        <v>9090</v>
      </c>
      <c r="G1611">
        <v>937.69</v>
      </c>
      <c r="H1611">
        <v>2023</v>
      </c>
      <c r="I1611" t="s">
        <v>18</v>
      </c>
      <c r="J1611" s="4">
        <v>0.10315621562156201</v>
      </c>
      <c r="K1611" t="s">
        <v>40</v>
      </c>
      <c r="L1611" t="s">
        <v>52</v>
      </c>
      <c r="M1611">
        <v>11</v>
      </c>
      <c r="N1611" t="s">
        <v>58</v>
      </c>
    </row>
    <row r="1612" spans="1:14" x14ac:dyDescent="0.3">
      <c r="A1612" s="1">
        <v>45085</v>
      </c>
      <c r="B1612" t="s">
        <v>31</v>
      </c>
      <c r="C1612" t="s">
        <v>11</v>
      </c>
      <c r="D1612" t="s">
        <v>19</v>
      </c>
      <c r="E1612">
        <v>6</v>
      </c>
      <c r="F1612">
        <v>2940</v>
      </c>
      <c r="G1612">
        <v>184.97</v>
      </c>
      <c r="H1612">
        <v>2023</v>
      </c>
      <c r="I1612" t="s">
        <v>27</v>
      </c>
      <c r="J1612" s="4">
        <v>6.2914965986394594E-2</v>
      </c>
      <c r="K1612" t="s">
        <v>40</v>
      </c>
      <c r="L1612" t="s">
        <v>59</v>
      </c>
      <c r="M1612">
        <v>6</v>
      </c>
      <c r="N1612" t="s">
        <v>66</v>
      </c>
    </row>
    <row r="1613" spans="1:14" x14ac:dyDescent="0.3">
      <c r="A1613" s="1">
        <v>45137</v>
      </c>
      <c r="B1613" t="s">
        <v>31</v>
      </c>
      <c r="C1613" t="s">
        <v>11</v>
      </c>
      <c r="D1613" t="s">
        <v>22</v>
      </c>
      <c r="E1613">
        <v>3</v>
      </c>
      <c r="F1613">
        <v>2379</v>
      </c>
      <c r="G1613">
        <v>148.68</v>
      </c>
      <c r="H1613">
        <v>2023</v>
      </c>
      <c r="I1613" t="s">
        <v>25</v>
      </c>
      <c r="J1613" s="4">
        <v>6.2496847414880201E-2</v>
      </c>
      <c r="K1613" t="s">
        <v>40</v>
      </c>
      <c r="L1613" t="s">
        <v>60</v>
      </c>
      <c r="M1613">
        <v>7</v>
      </c>
      <c r="N1613" t="s">
        <v>64</v>
      </c>
    </row>
    <row r="1614" spans="1:14" x14ac:dyDescent="0.3">
      <c r="A1614" s="1">
        <v>45224</v>
      </c>
      <c r="B1614" t="s">
        <v>31</v>
      </c>
      <c r="C1614" t="s">
        <v>11</v>
      </c>
      <c r="D1614" t="s">
        <v>19</v>
      </c>
      <c r="E1614">
        <v>2</v>
      </c>
      <c r="F1614">
        <v>1614</v>
      </c>
      <c r="G1614">
        <v>376.31</v>
      </c>
      <c r="H1614">
        <v>2023</v>
      </c>
      <c r="I1614" t="s">
        <v>14</v>
      </c>
      <c r="J1614" s="4">
        <v>0.23315365551424999</v>
      </c>
      <c r="K1614" t="s">
        <v>40</v>
      </c>
      <c r="L1614" t="s">
        <v>52</v>
      </c>
      <c r="M1614">
        <v>10</v>
      </c>
      <c r="N1614" t="s">
        <v>54</v>
      </c>
    </row>
    <row r="1615" spans="1:14" x14ac:dyDescent="0.3">
      <c r="A1615" s="1">
        <v>45212</v>
      </c>
      <c r="B1615" t="s">
        <v>31</v>
      </c>
      <c r="C1615" t="s">
        <v>11</v>
      </c>
      <c r="D1615" t="s">
        <v>22</v>
      </c>
      <c r="E1615">
        <v>7</v>
      </c>
      <c r="F1615">
        <v>4697</v>
      </c>
      <c r="G1615">
        <v>976.26</v>
      </c>
      <c r="H1615">
        <v>2023</v>
      </c>
      <c r="I1615" t="s">
        <v>14</v>
      </c>
      <c r="J1615" s="4">
        <v>0.207847562273792</v>
      </c>
      <c r="K1615" t="s">
        <v>40</v>
      </c>
      <c r="L1615" t="s">
        <v>52</v>
      </c>
      <c r="M1615">
        <v>10</v>
      </c>
      <c r="N1615" t="s">
        <v>54</v>
      </c>
    </row>
    <row r="1616" spans="1:14" x14ac:dyDescent="0.3">
      <c r="A1616" s="1">
        <v>45277</v>
      </c>
      <c r="B1616" t="s">
        <v>31</v>
      </c>
      <c r="C1616" t="s">
        <v>11</v>
      </c>
      <c r="D1616" t="s">
        <v>22</v>
      </c>
      <c r="E1616">
        <v>2</v>
      </c>
      <c r="F1616">
        <v>822</v>
      </c>
      <c r="G1616">
        <v>183.45</v>
      </c>
      <c r="H1616">
        <v>2023</v>
      </c>
      <c r="I1616" t="s">
        <v>13</v>
      </c>
      <c r="J1616" s="4">
        <v>0.223175182481752</v>
      </c>
      <c r="K1616" t="s">
        <v>40</v>
      </c>
      <c r="L1616" t="s">
        <v>52</v>
      </c>
      <c r="M1616">
        <v>12</v>
      </c>
      <c r="N1616" t="s">
        <v>53</v>
      </c>
    </row>
    <row r="1617" spans="1:14" x14ac:dyDescent="0.3">
      <c r="A1617" s="1">
        <v>45291</v>
      </c>
      <c r="B1617" t="s">
        <v>31</v>
      </c>
      <c r="C1617" t="s">
        <v>11</v>
      </c>
      <c r="D1617" t="s">
        <v>17</v>
      </c>
      <c r="E1617">
        <v>9</v>
      </c>
      <c r="F1617">
        <v>5427</v>
      </c>
      <c r="G1617">
        <v>731.33</v>
      </c>
      <c r="H1617">
        <v>2023</v>
      </c>
      <c r="I1617" t="s">
        <v>13</v>
      </c>
      <c r="J1617" s="4">
        <v>0.1347576930164</v>
      </c>
      <c r="K1617" t="s">
        <v>40</v>
      </c>
      <c r="L1617" t="s">
        <v>52</v>
      </c>
      <c r="M1617">
        <v>12</v>
      </c>
      <c r="N1617" t="s">
        <v>53</v>
      </c>
    </row>
    <row r="1618" spans="1:14" x14ac:dyDescent="0.3">
      <c r="A1618" s="1">
        <v>45004</v>
      </c>
      <c r="B1618" t="s">
        <v>31</v>
      </c>
      <c r="C1618" t="s">
        <v>11</v>
      </c>
      <c r="D1618" t="s">
        <v>17</v>
      </c>
      <c r="E1618">
        <v>6</v>
      </c>
      <c r="F1618">
        <v>4872</v>
      </c>
      <c r="G1618">
        <v>786.79</v>
      </c>
      <c r="H1618">
        <v>2023</v>
      </c>
      <c r="I1618" t="s">
        <v>15</v>
      </c>
      <c r="J1618" s="4">
        <v>0.161492200328407</v>
      </c>
      <c r="K1618" t="s">
        <v>40</v>
      </c>
      <c r="L1618" t="s">
        <v>55</v>
      </c>
      <c r="M1618">
        <v>3</v>
      </c>
      <c r="N1618" t="s">
        <v>56</v>
      </c>
    </row>
    <row r="1619" spans="1:14" x14ac:dyDescent="0.3">
      <c r="A1619" s="1">
        <v>45211</v>
      </c>
      <c r="B1619" t="s">
        <v>31</v>
      </c>
      <c r="C1619" t="s">
        <v>11</v>
      </c>
      <c r="D1619" t="s">
        <v>22</v>
      </c>
      <c r="E1619">
        <v>1</v>
      </c>
      <c r="F1619">
        <v>192</v>
      </c>
      <c r="G1619">
        <v>16.47</v>
      </c>
      <c r="H1619">
        <v>2023</v>
      </c>
      <c r="I1619" t="s">
        <v>14</v>
      </c>
      <c r="J1619" s="4">
        <v>8.5781250000000003E-2</v>
      </c>
      <c r="K1619" t="s">
        <v>40</v>
      </c>
      <c r="L1619" t="s">
        <v>52</v>
      </c>
      <c r="M1619">
        <v>10</v>
      </c>
      <c r="N1619" t="s">
        <v>54</v>
      </c>
    </row>
    <row r="1620" spans="1:14" x14ac:dyDescent="0.3">
      <c r="A1620" s="1">
        <v>44952</v>
      </c>
      <c r="B1620" t="s">
        <v>31</v>
      </c>
      <c r="C1620" t="s">
        <v>11</v>
      </c>
      <c r="D1620" t="s">
        <v>19</v>
      </c>
      <c r="E1620">
        <v>7</v>
      </c>
      <c r="F1620">
        <v>7238</v>
      </c>
      <c r="G1620">
        <v>1597.03</v>
      </c>
      <c r="H1620">
        <v>2023</v>
      </c>
      <c r="I1620" t="s">
        <v>26</v>
      </c>
      <c r="J1620" s="4">
        <v>0.22064520585797201</v>
      </c>
      <c r="K1620" t="s">
        <v>40</v>
      </c>
      <c r="L1620" t="s">
        <v>55</v>
      </c>
      <c r="M1620">
        <v>1</v>
      </c>
      <c r="N1620" t="s">
        <v>65</v>
      </c>
    </row>
    <row r="1621" spans="1:14" x14ac:dyDescent="0.3">
      <c r="A1621" s="1">
        <v>44992</v>
      </c>
      <c r="B1621" t="s">
        <v>31</v>
      </c>
      <c r="C1621" t="s">
        <v>11</v>
      </c>
      <c r="D1621" t="s">
        <v>19</v>
      </c>
      <c r="E1621">
        <v>1</v>
      </c>
      <c r="F1621">
        <v>464</v>
      </c>
      <c r="G1621">
        <v>66.260000000000005</v>
      </c>
      <c r="H1621">
        <v>2023</v>
      </c>
      <c r="I1621" t="s">
        <v>15</v>
      </c>
      <c r="J1621" s="4">
        <v>0.14280172413793099</v>
      </c>
      <c r="K1621" t="s">
        <v>40</v>
      </c>
      <c r="L1621" t="s">
        <v>55</v>
      </c>
      <c r="M1621">
        <v>3</v>
      </c>
      <c r="N1621" t="s">
        <v>56</v>
      </c>
    </row>
    <row r="1622" spans="1:14" x14ac:dyDescent="0.3">
      <c r="A1622" s="1">
        <v>45073</v>
      </c>
      <c r="B1622" t="s">
        <v>31</v>
      </c>
      <c r="C1622" t="s">
        <v>11</v>
      </c>
      <c r="D1622" t="s">
        <v>12</v>
      </c>
      <c r="E1622">
        <v>6</v>
      </c>
      <c r="F1622">
        <v>4188</v>
      </c>
      <c r="G1622">
        <v>1231.1600000000001</v>
      </c>
      <c r="H1622">
        <v>2023</v>
      </c>
      <c r="I1622" t="s">
        <v>20</v>
      </c>
      <c r="J1622" s="4">
        <v>0.29397325692454601</v>
      </c>
      <c r="K1622" t="s">
        <v>40</v>
      </c>
      <c r="L1622" t="s">
        <v>59</v>
      </c>
      <c r="M1622">
        <v>5</v>
      </c>
      <c r="N1622" t="s">
        <v>20</v>
      </c>
    </row>
    <row r="1623" spans="1:14" x14ac:dyDescent="0.3">
      <c r="A1623" s="1">
        <v>45103</v>
      </c>
      <c r="B1623" t="s">
        <v>31</v>
      </c>
      <c r="C1623" t="s">
        <v>11</v>
      </c>
      <c r="D1623" t="s">
        <v>17</v>
      </c>
      <c r="E1623">
        <v>6</v>
      </c>
      <c r="F1623">
        <v>7026</v>
      </c>
      <c r="G1623">
        <v>459.4</v>
      </c>
      <c r="H1623">
        <v>2023</v>
      </c>
      <c r="I1623" t="s">
        <v>27</v>
      </c>
      <c r="J1623" s="4">
        <v>6.5385710219185905E-2</v>
      </c>
      <c r="K1623" t="s">
        <v>40</v>
      </c>
      <c r="L1623" t="s">
        <v>59</v>
      </c>
      <c r="M1623">
        <v>6</v>
      </c>
      <c r="N1623" t="s">
        <v>66</v>
      </c>
    </row>
    <row r="1624" spans="1:14" x14ac:dyDescent="0.3">
      <c r="A1624" s="1">
        <v>45025</v>
      </c>
      <c r="B1624" t="s">
        <v>31</v>
      </c>
      <c r="C1624" t="s">
        <v>11</v>
      </c>
      <c r="D1624" t="s">
        <v>22</v>
      </c>
      <c r="E1624">
        <v>4</v>
      </c>
      <c r="F1624">
        <v>4224</v>
      </c>
      <c r="G1624">
        <v>477.33</v>
      </c>
      <c r="H1624">
        <v>2023</v>
      </c>
      <c r="I1624" t="s">
        <v>23</v>
      </c>
      <c r="J1624" s="4">
        <v>0.113004261363636</v>
      </c>
      <c r="K1624" t="s">
        <v>40</v>
      </c>
      <c r="L1624" t="s">
        <v>59</v>
      </c>
      <c r="M1624">
        <v>4</v>
      </c>
      <c r="N1624" t="s">
        <v>62</v>
      </c>
    </row>
    <row r="1625" spans="1:14" x14ac:dyDescent="0.3">
      <c r="A1625" s="1">
        <v>45010</v>
      </c>
      <c r="B1625" t="s">
        <v>31</v>
      </c>
      <c r="C1625" t="s">
        <v>11</v>
      </c>
      <c r="D1625" t="s">
        <v>19</v>
      </c>
      <c r="E1625">
        <v>2</v>
      </c>
      <c r="F1625">
        <v>1178</v>
      </c>
      <c r="G1625">
        <v>120.51</v>
      </c>
      <c r="H1625">
        <v>2023</v>
      </c>
      <c r="I1625" t="s">
        <v>15</v>
      </c>
      <c r="J1625" s="4">
        <v>0.102300509337861</v>
      </c>
      <c r="K1625" t="s">
        <v>40</v>
      </c>
      <c r="L1625" t="s">
        <v>55</v>
      </c>
      <c r="M1625">
        <v>3</v>
      </c>
      <c r="N1625" t="s">
        <v>56</v>
      </c>
    </row>
    <row r="1626" spans="1:14" x14ac:dyDescent="0.3">
      <c r="A1626" s="1">
        <v>45123</v>
      </c>
      <c r="B1626" t="s">
        <v>31</v>
      </c>
      <c r="C1626" t="s">
        <v>11</v>
      </c>
      <c r="D1626" t="s">
        <v>19</v>
      </c>
      <c r="E1626">
        <v>8</v>
      </c>
      <c r="F1626">
        <v>1728</v>
      </c>
      <c r="G1626">
        <v>477.7</v>
      </c>
      <c r="H1626">
        <v>2023</v>
      </c>
      <c r="I1626" t="s">
        <v>25</v>
      </c>
      <c r="J1626" s="4">
        <v>0.27644675925925899</v>
      </c>
      <c r="K1626" t="s">
        <v>40</v>
      </c>
      <c r="L1626" t="s">
        <v>60</v>
      </c>
      <c r="M1626">
        <v>7</v>
      </c>
      <c r="N1626" t="s">
        <v>64</v>
      </c>
    </row>
    <row r="1627" spans="1:14" x14ac:dyDescent="0.3">
      <c r="A1627" s="1">
        <v>44927</v>
      </c>
      <c r="B1627" t="s">
        <v>31</v>
      </c>
      <c r="C1627" t="s">
        <v>11</v>
      </c>
      <c r="D1627" t="s">
        <v>12</v>
      </c>
      <c r="E1627">
        <v>2</v>
      </c>
      <c r="F1627">
        <v>1514</v>
      </c>
      <c r="G1627">
        <v>180.67</v>
      </c>
      <c r="H1627">
        <v>2023</v>
      </c>
      <c r="I1627" t="s">
        <v>26</v>
      </c>
      <c r="J1627" s="4">
        <v>0.119332892998679</v>
      </c>
      <c r="K1627" t="s">
        <v>40</v>
      </c>
      <c r="L1627" t="s">
        <v>55</v>
      </c>
      <c r="M1627">
        <v>1</v>
      </c>
      <c r="N1627" t="s">
        <v>65</v>
      </c>
    </row>
    <row r="1628" spans="1:14" x14ac:dyDescent="0.3">
      <c r="A1628" s="1">
        <v>44961</v>
      </c>
      <c r="B1628" t="s">
        <v>31</v>
      </c>
      <c r="C1628" t="s">
        <v>11</v>
      </c>
      <c r="D1628" t="s">
        <v>12</v>
      </c>
      <c r="E1628">
        <v>6</v>
      </c>
      <c r="F1628">
        <v>1956</v>
      </c>
      <c r="G1628">
        <v>434.03</v>
      </c>
      <c r="H1628">
        <v>2023</v>
      </c>
      <c r="I1628" t="s">
        <v>16</v>
      </c>
      <c r="J1628" s="4">
        <v>0.22189672801636001</v>
      </c>
      <c r="K1628" t="s">
        <v>40</v>
      </c>
      <c r="L1628" t="s">
        <v>55</v>
      </c>
      <c r="M1628">
        <v>2</v>
      </c>
      <c r="N1628" t="s">
        <v>57</v>
      </c>
    </row>
    <row r="1629" spans="1:14" x14ac:dyDescent="0.3">
      <c r="A1629" s="1">
        <v>44944</v>
      </c>
      <c r="B1629" t="s">
        <v>31</v>
      </c>
      <c r="C1629" t="s">
        <v>11</v>
      </c>
      <c r="D1629" t="s">
        <v>17</v>
      </c>
      <c r="E1629">
        <v>7</v>
      </c>
      <c r="F1629">
        <v>3038</v>
      </c>
      <c r="G1629">
        <v>570.98</v>
      </c>
      <c r="H1629">
        <v>2023</v>
      </c>
      <c r="I1629" t="s">
        <v>26</v>
      </c>
      <c r="J1629" s="4">
        <v>0.18794601711652401</v>
      </c>
      <c r="K1629" t="s">
        <v>40</v>
      </c>
      <c r="L1629" t="s">
        <v>55</v>
      </c>
      <c r="M1629">
        <v>1</v>
      </c>
      <c r="N1629" t="s">
        <v>65</v>
      </c>
    </row>
    <row r="1630" spans="1:14" x14ac:dyDescent="0.3">
      <c r="A1630" s="1">
        <v>44973</v>
      </c>
      <c r="B1630" t="s">
        <v>31</v>
      </c>
      <c r="C1630" t="s">
        <v>11</v>
      </c>
      <c r="D1630" t="s">
        <v>22</v>
      </c>
      <c r="E1630">
        <v>3</v>
      </c>
      <c r="F1630">
        <v>582</v>
      </c>
      <c r="G1630">
        <v>48.08</v>
      </c>
      <c r="H1630">
        <v>2023</v>
      </c>
      <c r="I1630" t="s">
        <v>16</v>
      </c>
      <c r="J1630" s="4">
        <v>8.2611683848797204E-2</v>
      </c>
      <c r="K1630" t="s">
        <v>40</v>
      </c>
      <c r="L1630" t="s">
        <v>55</v>
      </c>
      <c r="M1630">
        <v>2</v>
      </c>
      <c r="N1630" t="s">
        <v>57</v>
      </c>
    </row>
    <row r="1631" spans="1:14" x14ac:dyDescent="0.3">
      <c r="A1631" s="1">
        <v>45097</v>
      </c>
      <c r="B1631" t="s">
        <v>31</v>
      </c>
      <c r="C1631" t="s">
        <v>11</v>
      </c>
      <c r="D1631" t="s">
        <v>17</v>
      </c>
      <c r="E1631">
        <v>3</v>
      </c>
      <c r="F1631">
        <v>897</v>
      </c>
      <c r="G1631">
        <v>235.67</v>
      </c>
      <c r="H1631">
        <v>2023</v>
      </c>
      <c r="I1631" t="s">
        <v>27</v>
      </c>
      <c r="J1631" s="4">
        <v>0.26273132664436999</v>
      </c>
      <c r="K1631" t="s">
        <v>40</v>
      </c>
      <c r="L1631" t="s">
        <v>59</v>
      </c>
      <c r="M1631">
        <v>6</v>
      </c>
      <c r="N1631" t="s">
        <v>66</v>
      </c>
    </row>
    <row r="1632" spans="1:14" x14ac:dyDescent="0.3">
      <c r="A1632" s="1">
        <v>45137</v>
      </c>
      <c r="B1632" t="s">
        <v>31</v>
      </c>
      <c r="C1632" t="s">
        <v>11</v>
      </c>
      <c r="D1632" t="s">
        <v>22</v>
      </c>
      <c r="E1632">
        <v>8</v>
      </c>
      <c r="F1632">
        <v>7640</v>
      </c>
      <c r="G1632">
        <v>1663.63</v>
      </c>
      <c r="H1632">
        <v>2023</v>
      </c>
      <c r="I1632" t="s">
        <v>25</v>
      </c>
      <c r="J1632" s="4">
        <v>0.21775261780104699</v>
      </c>
      <c r="K1632" t="s">
        <v>40</v>
      </c>
      <c r="L1632" t="s">
        <v>60</v>
      </c>
      <c r="M1632">
        <v>7</v>
      </c>
      <c r="N1632" t="s">
        <v>64</v>
      </c>
    </row>
    <row r="1633" spans="1:14" x14ac:dyDescent="0.3">
      <c r="A1633" s="1">
        <v>45198</v>
      </c>
      <c r="B1633" t="s">
        <v>31</v>
      </c>
      <c r="C1633" t="s">
        <v>11</v>
      </c>
      <c r="D1633" t="s">
        <v>12</v>
      </c>
      <c r="E1633">
        <v>7</v>
      </c>
      <c r="F1633">
        <v>1596</v>
      </c>
      <c r="G1633">
        <v>359.71</v>
      </c>
      <c r="H1633">
        <v>2023</v>
      </c>
      <c r="I1633" t="s">
        <v>21</v>
      </c>
      <c r="J1633" s="4">
        <v>0.22538220551378399</v>
      </c>
      <c r="K1633" t="s">
        <v>40</v>
      </c>
      <c r="L1633" t="s">
        <v>60</v>
      </c>
      <c r="M1633">
        <v>9</v>
      </c>
      <c r="N1633" t="s">
        <v>61</v>
      </c>
    </row>
    <row r="1634" spans="1:14" x14ac:dyDescent="0.3">
      <c r="A1634" s="1">
        <v>45138</v>
      </c>
      <c r="B1634" t="s">
        <v>31</v>
      </c>
      <c r="C1634" t="s">
        <v>11</v>
      </c>
      <c r="D1634" t="s">
        <v>22</v>
      </c>
      <c r="E1634">
        <v>1</v>
      </c>
      <c r="F1634">
        <v>419</v>
      </c>
      <c r="G1634">
        <v>99.5</v>
      </c>
      <c r="H1634">
        <v>2023</v>
      </c>
      <c r="I1634" t="s">
        <v>25</v>
      </c>
      <c r="J1634" s="4">
        <v>0.23747016706443899</v>
      </c>
      <c r="K1634" t="s">
        <v>40</v>
      </c>
      <c r="L1634" t="s">
        <v>60</v>
      </c>
      <c r="M1634">
        <v>7</v>
      </c>
      <c r="N1634" t="s">
        <v>64</v>
      </c>
    </row>
    <row r="1635" spans="1:14" x14ac:dyDescent="0.3">
      <c r="A1635" s="1">
        <v>44956</v>
      </c>
      <c r="B1635" t="s">
        <v>31</v>
      </c>
      <c r="C1635" t="s">
        <v>11</v>
      </c>
      <c r="D1635" t="s">
        <v>22</v>
      </c>
      <c r="E1635">
        <v>6</v>
      </c>
      <c r="F1635">
        <v>5604</v>
      </c>
      <c r="G1635">
        <v>615.07000000000005</v>
      </c>
      <c r="H1635">
        <v>2023</v>
      </c>
      <c r="I1635" t="s">
        <v>26</v>
      </c>
      <c r="J1635" s="4">
        <v>0.10975553176302601</v>
      </c>
      <c r="K1635" t="s">
        <v>40</v>
      </c>
      <c r="L1635" t="s">
        <v>55</v>
      </c>
      <c r="M1635">
        <v>1</v>
      </c>
      <c r="N1635" t="s">
        <v>65</v>
      </c>
    </row>
    <row r="1636" spans="1:14" x14ac:dyDescent="0.3">
      <c r="A1636" s="1">
        <v>44993</v>
      </c>
      <c r="B1636" t="s">
        <v>31</v>
      </c>
      <c r="C1636" t="s">
        <v>11</v>
      </c>
      <c r="D1636" t="s">
        <v>19</v>
      </c>
      <c r="E1636">
        <v>2</v>
      </c>
      <c r="F1636">
        <v>2042</v>
      </c>
      <c r="G1636">
        <v>501.34</v>
      </c>
      <c r="H1636">
        <v>2023</v>
      </c>
      <c r="I1636" t="s">
        <v>15</v>
      </c>
      <c r="J1636" s="4">
        <v>0.245514201762977</v>
      </c>
      <c r="K1636" t="s">
        <v>40</v>
      </c>
      <c r="L1636" t="s">
        <v>55</v>
      </c>
      <c r="M1636">
        <v>3</v>
      </c>
      <c r="N1636" t="s">
        <v>56</v>
      </c>
    </row>
    <row r="1637" spans="1:14" x14ac:dyDescent="0.3">
      <c r="A1637" s="1">
        <v>45014</v>
      </c>
      <c r="B1637" t="s">
        <v>31</v>
      </c>
      <c r="C1637" t="s">
        <v>11</v>
      </c>
      <c r="D1637" t="s">
        <v>19</v>
      </c>
      <c r="E1637">
        <v>7</v>
      </c>
      <c r="F1637">
        <v>2317</v>
      </c>
      <c r="G1637">
        <v>677.61</v>
      </c>
      <c r="H1637">
        <v>2023</v>
      </c>
      <c r="I1637" t="s">
        <v>15</v>
      </c>
      <c r="J1637" s="4">
        <v>0.292451445835132</v>
      </c>
      <c r="K1637" t="s">
        <v>40</v>
      </c>
      <c r="L1637" t="s">
        <v>55</v>
      </c>
      <c r="M1637">
        <v>3</v>
      </c>
      <c r="N1637" t="s">
        <v>56</v>
      </c>
    </row>
    <row r="1638" spans="1:14" x14ac:dyDescent="0.3">
      <c r="A1638" s="1">
        <v>45246</v>
      </c>
      <c r="B1638" t="s">
        <v>31</v>
      </c>
      <c r="C1638" t="s">
        <v>11</v>
      </c>
      <c r="D1638" t="s">
        <v>22</v>
      </c>
      <c r="E1638">
        <v>1</v>
      </c>
      <c r="F1638">
        <v>558</v>
      </c>
      <c r="G1638">
        <v>49.81</v>
      </c>
      <c r="H1638">
        <v>2023</v>
      </c>
      <c r="I1638" t="s">
        <v>18</v>
      </c>
      <c r="J1638" s="4">
        <v>8.9265232974910402E-2</v>
      </c>
      <c r="K1638" t="s">
        <v>40</v>
      </c>
      <c r="L1638" t="s">
        <v>52</v>
      </c>
      <c r="M1638">
        <v>11</v>
      </c>
      <c r="N1638" t="s">
        <v>58</v>
      </c>
    </row>
    <row r="1639" spans="1:14" x14ac:dyDescent="0.3">
      <c r="A1639" s="1">
        <v>45006</v>
      </c>
      <c r="B1639" t="s">
        <v>31</v>
      </c>
      <c r="C1639" t="s">
        <v>11</v>
      </c>
      <c r="D1639" t="s">
        <v>19</v>
      </c>
      <c r="E1639">
        <v>9</v>
      </c>
      <c r="F1639">
        <v>2034</v>
      </c>
      <c r="G1639">
        <v>593.13</v>
      </c>
      <c r="H1639">
        <v>2023</v>
      </c>
      <c r="I1639" t="s">
        <v>15</v>
      </c>
      <c r="J1639" s="4">
        <v>0.29160766961651902</v>
      </c>
      <c r="K1639" t="s">
        <v>40</v>
      </c>
      <c r="L1639" t="s">
        <v>55</v>
      </c>
      <c r="M1639">
        <v>3</v>
      </c>
      <c r="N1639" t="s">
        <v>56</v>
      </c>
    </row>
    <row r="1640" spans="1:14" x14ac:dyDescent="0.3">
      <c r="A1640" s="1">
        <v>45118</v>
      </c>
      <c r="B1640" t="s">
        <v>31</v>
      </c>
      <c r="C1640" t="s">
        <v>11</v>
      </c>
      <c r="D1640" t="s">
        <v>19</v>
      </c>
      <c r="E1640">
        <v>6</v>
      </c>
      <c r="F1640">
        <v>882</v>
      </c>
      <c r="G1640">
        <v>180.63</v>
      </c>
      <c r="H1640">
        <v>2023</v>
      </c>
      <c r="I1640" t="s">
        <v>25</v>
      </c>
      <c r="J1640" s="4">
        <v>0.20479591836734701</v>
      </c>
      <c r="K1640" t="s">
        <v>40</v>
      </c>
      <c r="L1640" t="s">
        <v>60</v>
      </c>
      <c r="M1640">
        <v>7</v>
      </c>
      <c r="N1640" t="s">
        <v>64</v>
      </c>
    </row>
    <row r="1641" spans="1:14" x14ac:dyDescent="0.3">
      <c r="A1641" s="1">
        <v>45087</v>
      </c>
      <c r="B1641" t="s">
        <v>31</v>
      </c>
      <c r="C1641" t="s">
        <v>11</v>
      </c>
      <c r="D1641" t="s">
        <v>12</v>
      </c>
      <c r="E1641">
        <v>7</v>
      </c>
      <c r="F1641">
        <v>5712</v>
      </c>
      <c r="G1641">
        <v>929.42</v>
      </c>
      <c r="H1641">
        <v>2023</v>
      </c>
      <c r="I1641" t="s">
        <v>27</v>
      </c>
      <c r="J1641" s="4">
        <v>0.162713585434174</v>
      </c>
      <c r="K1641" t="s">
        <v>40</v>
      </c>
      <c r="L1641" t="s">
        <v>59</v>
      </c>
      <c r="M1641">
        <v>6</v>
      </c>
      <c r="N1641" t="s">
        <v>66</v>
      </c>
    </row>
    <row r="1642" spans="1:14" x14ac:dyDescent="0.3">
      <c r="A1642" s="1">
        <v>45255</v>
      </c>
      <c r="B1642" t="s">
        <v>31</v>
      </c>
      <c r="C1642" t="s">
        <v>11</v>
      </c>
      <c r="D1642" t="s">
        <v>17</v>
      </c>
      <c r="E1642">
        <v>1</v>
      </c>
      <c r="F1642">
        <v>307</v>
      </c>
      <c r="G1642">
        <v>50.2</v>
      </c>
      <c r="H1642">
        <v>2023</v>
      </c>
      <c r="I1642" t="s">
        <v>18</v>
      </c>
      <c r="J1642" s="4">
        <v>0.16351791530944601</v>
      </c>
      <c r="K1642" t="s">
        <v>40</v>
      </c>
      <c r="L1642" t="s">
        <v>52</v>
      </c>
      <c r="M1642">
        <v>11</v>
      </c>
      <c r="N1642" t="s">
        <v>58</v>
      </c>
    </row>
    <row r="1643" spans="1:14" x14ac:dyDescent="0.3">
      <c r="A1643" s="1">
        <v>44807</v>
      </c>
      <c r="B1643" t="s">
        <v>31</v>
      </c>
      <c r="C1643" t="s">
        <v>11</v>
      </c>
      <c r="D1643" t="s">
        <v>12</v>
      </c>
      <c r="E1643">
        <v>2</v>
      </c>
      <c r="F1643">
        <v>1668</v>
      </c>
      <c r="G1643">
        <v>437.3</v>
      </c>
      <c r="H1643">
        <v>2022</v>
      </c>
      <c r="I1643" t="s">
        <v>21</v>
      </c>
      <c r="J1643" s="4">
        <v>0.26217026378896902</v>
      </c>
      <c r="K1643" t="s">
        <v>42</v>
      </c>
      <c r="L1643" t="s">
        <v>60</v>
      </c>
      <c r="M1643">
        <v>9</v>
      </c>
      <c r="N1643" t="s">
        <v>61</v>
      </c>
    </row>
    <row r="1644" spans="1:14" x14ac:dyDescent="0.3">
      <c r="A1644" s="1">
        <v>44900</v>
      </c>
      <c r="B1644" t="s">
        <v>31</v>
      </c>
      <c r="C1644" t="s">
        <v>11</v>
      </c>
      <c r="D1644" t="s">
        <v>12</v>
      </c>
      <c r="E1644">
        <v>5</v>
      </c>
      <c r="F1644">
        <v>390</v>
      </c>
      <c r="G1644">
        <v>27.77</v>
      </c>
      <c r="H1644">
        <v>2022</v>
      </c>
      <c r="I1644" t="s">
        <v>13</v>
      </c>
      <c r="J1644" s="4">
        <v>7.1205128205128199E-2</v>
      </c>
      <c r="K1644" t="s">
        <v>42</v>
      </c>
      <c r="L1644" t="s">
        <v>52</v>
      </c>
      <c r="M1644">
        <v>12</v>
      </c>
      <c r="N1644" t="s">
        <v>53</v>
      </c>
    </row>
    <row r="1645" spans="1:14" x14ac:dyDescent="0.3">
      <c r="A1645" s="1">
        <v>44687</v>
      </c>
      <c r="B1645" t="s">
        <v>31</v>
      </c>
      <c r="C1645" t="s">
        <v>11</v>
      </c>
      <c r="D1645" t="s">
        <v>19</v>
      </c>
      <c r="E1645">
        <v>6</v>
      </c>
      <c r="F1645">
        <v>612</v>
      </c>
      <c r="G1645">
        <v>83.75</v>
      </c>
      <c r="H1645">
        <v>2022</v>
      </c>
      <c r="I1645" t="s">
        <v>20</v>
      </c>
      <c r="J1645" s="4">
        <v>0.13684640522875799</v>
      </c>
      <c r="K1645" t="s">
        <v>42</v>
      </c>
      <c r="L1645" t="s">
        <v>59</v>
      </c>
      <c r="M1645">
        <v>5</v>
      </c>
      <c r="N1645" t="s">
        <v>20</v>
      </c>
    </row>
    <row r="1646" spans="1:14" x14ac:dyDescent="0.3">
      <c r="A1646" s="1">
        <v>44759</v>
      </c>
      <c r="B1646" t="s">
        <v>31</v>
      </c>
      <c r="C1646" t="s">
        <v>11</v>
      </c>
      <c r="D1646" t="s">
        <v>22</v>
      </c>
      <c r="E1646">
        <v>5</v>
      </c>
      <c r="F1646">
        <v>765</v>
      </c>
      <c r="G1646">
        <v>157.63999999999999</v>
      </c>
      <c r="H1646">
        <v>2022</v>
      </c>
      <c r="I1646" t="s">
        <v>25</v>
      </c>
      <c r="J1646" s="4">
        <v>0.20606535947712401</v>
      </c>
      <c r="K1646" t="s">
        <v>42</v>
      </c>
      <c r="L1646" t="s">
        <v>60</v>
      </c>
      <c r="M1646">
        <v>7</v>
      </c>
      <c r="N1646" t="s">
        <v>64</v>
      </c>
    </row>
    <row r="1647" spans="1:14" x14ac:dyDescent="0.3">
      <c r="A1647" s="1">
        <v>44675</v>
      </c>
      <c r="B1647" t="s">
        <v>31</v>
      </c>
      <c r="C1647" t="s">
        <v>11</v>
      </c>
      <c r="D1647" t="s">
        <v>22</v>
      </c>
      <c r="E1647">
        <v>2</v>
      </c>
      <c r="F1647">
        <v>1102</v>
      </c>
      <c r="G1647">
        <v>176.53</v>
      </c>
      <c r="H1647">
        <v>2022</v>
      </c>
      <c r="I1647" t="s">
        <v>23</v>
      </c>
      <c r="J1647" s="4">
        <v>0.16019056261343001</v>
      </c>
      <c r="K1647" t="s">
        <v>42</v>
      </c>
      <c r="L1647" t="s">
        <v>59</v>
      </c>
      <c r="M1647">
        <v>4</v>
      </c>
      <c r="N1647" t="s">
        <v>62</v>
      </c>
    </row>
    <row r="1648" spans="1:14" x14ac:dyDescent="0.3">
      <c r="A1648" s="1">
        <v>44869</v>
      </c>
      <c r="B1648" t="s">
        <v>31</v>
      </c>
      <c r="C1648" t="s">
        <v>11</v>
      </c>
      <c r="D1648" t="s">
        <v>12</v>
      </c>
      <c r="E1648">
        <v>7</v>
      </c>
      <c r="F1648">
        <v>1400</v>
      </c>
      <c r="G1648">
        <v>80.489999999999995</v>
      </c>
      <c r="H1648">
        <v>2022</v>
      </c>
      <c r="I1648" t="s">
        <v>18</v>
      </c>
      <c r="J1648" s="4">
        <v>5.7492857142857103E-2</v>
      </c>
      <c r="K1648" t="s">
        <v>42</v>
      </c>
      <c r="L1648" t="s">
        <v>52</v>
      </c>
      <c r="M1648">
        <v>11</v>
      </c>
      <c r="N1648" t="s">
        <v>58</v>
      </c>
    </row>
    <row r="1649" spans="1:14" x14ac:dyDescent="0.3">
      <c r="A1649" s="1">
        <v>44690</v>
      </c>
      <c r="B1649" t="s">
        <v>31</v>
      </c>
      <c r="C1649" t="s">
        <v>11</v>
      </c>
      <c r="D1649" t="s">
        <v>19</v>
      </c>
      <c r="E1649">
        <v>7</v>
      </c>
      <c r="F1649">
        <v>7567</v>
      </c>
      <c r="G1649">
        <v>2213.1799999999998</v>
      </c>
      <c r="H1649">
        <v>2022</v>
      </c>
      <c r="I1649" t="s">
        <v>20</v>
      </c>
      <c r="J1649" s="4">
        <v>0.292477864411259</v>
      </c>
      <c r="K1649" t="s">
        <v>42</v>
      </c>
      <c r="L1649" t="s">
        <v>59</v>
      </c>
      <c r="M1649">
        <v>5</v>
      </c>
      <c r="N1649" t="s">
        <v>20</v>
      </c>
    </row>
    <row r="1650" spans="1:14" x14ac:dyDescent="0.3">
      <c r="A1650" s="1">
        <v>44710</v>
      </c>
      <c r="B1650" t="s">
        <v>31</v>
      </c>
      <c r="C1650" t="s">
        <v>11</v>
      </c>
      <c r="D1650" t="s">
        <v>12</v>
      </c>
      <c r="E1650">
        <v>5</v>
      </c>
      <c r="F1650">
        <v>2385</v>
      </c>
      <c r="G1650">
        <v>258.60000000000002</v>
      </c>
      <c r="H1650">
        <v>2022</v>
      </c>
      <c r="I1650" t="s">
        <v>20</v>
      </c>
      <c r="J1650" s="4">
        <v>0.108427672955975</v>
      </c>
      <c r="K1650" t="s">
        <v>42</v>
      </c>
      <c r="L1650" t="s">
        <v>59</v>
      </c>
      <c r="M1650">
        <v>5</v>
      </c>
      <c r="N1650" t="s">
        <v>20</v>
      </c>
    </row>
    <row r="1651" spans="1:14" x14ac:dyDescent="0.3">
      <c r="A1651" s="1">
        <v>44640</v>
      </c>
      <c r="B1651" t="s">
        <v>31</v>
      </c>
      <c r="C1651" t="s">
        <v>11</v>
      </c>
      <c r="D1651" t="s">
        <v>17</v>
      </c>
      <c r="E1651">
        <v>8</v>
      </c>
      <c r="F1651">
        <v>6200</v>
      </c>
      <c r="G1651">
        <v>1296.8399999999999</v>
      </c>
      <c r="H1651">
        <v>2022</v>
      </c>
      <c r="I1651" t="s">
        <v>15</v>
      </c>
      <c r="J1651" s="4">
        <v>0.20916774193548399</v>
      </c>
      <c r="K1651" t="s">
        <v>42</v>
      </c>
      <c r="L1651" t="s">
        <v>55</v>
      </c>
      <c r="M1651">
        <v>3</v>
      </c>
      <c r="N1651" t="s">
        <v>56</v>
      </c>
    </row>
    <row r="1652" spans="1:14" x14ac:dyDescent="0.3">
      <c r="A1652" s="1">
        <v>44730</v>
      </c>
      <c r="B1652" t="s">
        <v>31</v>
      </c>
      <c r="C1652" t="s">
        <v>11</v>
      </c>
      <c r="D1652" t="s">
        <v>17</v>
      </c>
      <c r="E1652">
        <v>3</v>
      </c>
      <c r="F1652">
        <v>2655</v>
      </c>
      <c r="G1652">
        <v>646.91</v>
      </c>
      <c r="H1652">
        <v>2022</v>
      </c>
      <c r="I1652" t="s">
        <v>27</v>
      </c>
      <c r="J1652" s="4">
        <v>0.24365725047080999</v>
      </c>
      <c r="K1652" t="s">
        <v>42</v>
      </c>
      <c r="L1652" t="s">
        <v>59</v>
      </c>
      <c r="M1652">
        <v>6</v>
      </c>
      <c r="N1652" t="s">
        <v>66</v>
      </c>
    </row>
    <row r="1653" spans="1:14" x14ac:dyDescent="0.3">
      <c r="A1653" s="1">
        <v>44839</v>
      </c>
      <c r="B1653" t="s">
        <v>31</v>
      </c>
      <c r="C1653" t="s">
        <v>11</v>
      </c>
      <c r="D1653" t="s">
        <v>19</v>
      </c>
      <c r="E1653">
        <v>3</v>
      </c>
      <c r="F1653">
        <v>411</v>
      </c>
      <c r="G1653">
        <v>55.73</v>
      </c>
      <c r="H1653">
        <v>2022</v>
      </c>
      <c r="I1653" t="s">
        <v>14</v>
      </c>
      <c r="J1653" s="4">
        <v>0.13559610705596101</v>
      </c>
      <c r="K1653" t="s">
        <v>42</v>
      </c>
      <c r="L1653" t="s">
        <v>52</v>
      </c>
      <c r="M1653">
        <v>10</v>
      </c>
      <c r="N1653" t="s">
        <v>54</v>
      </c>
    </row>
    <row r="1654" spans="1:14" x14ac:dyDescent="0.3">
      <c r="A1654" s="1">
        <v>44808</v>
      </c>
      <c r="B1654" t="s">
        <v>31</v>
      </c>
      <c r="C1654" t="s">
        <v>11</v>
      </c>
      <c r="D1654" t="s">
        <v>12</v>
      </c>
      <c r="E1654">
        <v>4</v>
      </c>
      <c r="F1654">
        <v>3892</v>
      </c>
      <c r="G1654">
        <v>1052.72</v>
      </c>
      <c r="H1654">
        <v>2022</v>
      </c>
      <c r="I1654" t="s">
        <v>21</v>
      </c>
      <c r="J1654" s="4">
        <v>0.27048304213771801</v>
      </c>
      <c r="K1654" t="s">
        <v>42</v>
      </c>
      <c r="L1654" t="s">
        <v>60</v>
      </c>
      <c r="M1654">
        <v>9</v>
      </c>
      <c r="N1654" t="s">
        <v>61</v>
      </c>
    </row>
    <row r="1655" spans="1:14" x14ac:dyDescent="0.3">
      <c r="A1655" s="1">
        <v>44775</v>
      </c>
      <c r="B1655" t="s">
        <v>31</v>
      </c>
      <c r="C1655" t="s">
        <v>11</v>
      </c>
      <c r="D1655" t="s">
        <v>17</v>
      </c>
      <c r="E1655">
        <v>8</v>
      </c>
      <c r="F1655">
        <v>3168</v>
      </c>
      <c r="G1655">
        <v>747.33</v>
      </c>
      <c r="H1655">
        <v>2022</v>
      </c>
      <c r="I1655" t="s">
        <v>24</v>
      </c>
      <c r="J1655" s="4">
        <v>0.23589962121212099</v>
      </c>
      <c r="K1655" t="s">
        <v>42</v>
      </c>
      <c r="L1655" t="s">
        <v>60</v>
      </c>
      <c r="M1655">
        <v>8</v>
      </c>
      <c r="N1655" t="s">
        <v>63</v>
      </c>
    </row>
    <row r="1656" spans="1:14" x14ac:dyDescent="0.3">
      <c r="A1656" s="1">
        <v>44634</v>
      </c>
      <c r="B1656" t="s">
        <v>31</v>
      </c>
      <c r="C1656" t="s">
        <v>11</v>
      </c>
      <c r="D1656" t="s">
        <v>17</v>
      </c>
      <c r="E1656">
        <v>4</v>
      </c>
      <c r="F1656">
        <v>2640</v>
      </c>
      <c r="G1656">
        <v>183.23</v>
      </c>
      <c r="H1656">
        <v>2022</v>
      </c>
      <c r="I1656" t="s">
        <v>15</v>
      </c>
      <c r="J1656" s="4">
        <v>6.9405303030302998E-2</v>
      </c>
      <c r="K1656" t="s">
        <v>42</v>
      </c>
      <c r="L1656" t="s">
        <v>55</v>
      </c>
      <c r="M1656">
        <v>3</v>
      </c>
      <c r="N1656" t="s">
        <v>56</v>
      </c>
    </row>
    <row r="1657" spans="1:14" x14ac:dyDescent="0.3">
      <c r="A1657" s="1">
        <v>44855</v>
      </c>
      <c r="B1657" t="s">
        <v>31</v>
      </c>
      <c r="C1657" t="s">
        <v>11</v>
      </c>
      <c r="D1657" t="s">
        <v>17</v>
      </c>
      <c r="E1657">
        <v>9</v>
      </c>
      <c r="F1657">
        <v>9360</v>
      </c>
      <c r="G1657">
        <v>910.35</v>
      </c>
      <c r="H1657">
        <v>2022</v>
      </c>
      <c r="I1657" t="s">
        <v>14</v>
      </c>
      <c r="J1657" s="4">
        <v>9.7259615384615403E-2</v>
      </c>
      <c r="K1657" t="s">
        <v>42</v>
      </c>
      <c r="L1657" t="s">
        <v>52</v>
      </c>
      <c r="M1657">
        <v>10</v>
      </c>
      <c r="N1657" t="s">
        <v>54</v>
      </c>
    </row>
    <row r="1658" spans="1:14" x14ac:dyDescent="0.3">
      <c r="A1658" s="1">
        <v>44835</v>
      </c>
      <c r="B1658" t="s">
        <v>31</v>
      </c>
      <c r="C1658" t="s">
        <v>11</v>
      </c>
      <c r="D1658" t="s">
        <v>19</v>
      </c>
      <c r="E1658">
        <v>9</v>
      </c>
      <c r="F1658">
        <v>7425</v>
      </c>
      <c r="G1658">
        <v>1580.86</v>
      </c>
      <c r="H1658">
        <v>2022</v>
      </c>
      <c r="I1658" t="s">
        <v>14</v>
      </c>
      <c r="J1658" s="4">
        <v>0.21291043771043799</v>
      </c>
      <c r="K1658" t="s">
        <v>42</v>
      </c>
      <c r="L1658" t="s">
        <v>52</v>
      </c>
      <c r="M1658">
        <v>10</v>
      </c>
      <c r="N1658" t="s">
        <v>54</v>
      </c>
    </row>
    <row r="1659" spans="1:14" x14ac:dyDescent="0.3">
      <c r="A1659" s="1">
        <v>44569</v>
      </c>
      <c r="B1659" t="s">
        <v>31</v>
      </c>
      <c r="C1659" t="s">
        <v>11</v>
      </c>
      <c r="D1659" t="s">
        <v>22</v>
      </c>
      <c r="E1659">
        <v>7</v>
      </c>
      <c r="F1659">
        <v>3983</v>
      </c>
      <c r="G1659">
        <v>360.13</v>
      </c>
      <c r="H1659">
        <v>2022</v>
      </c>
      <c r="I1659" t="s">
        <v>26</v>
      </c>
      <c r="J1659" s="4">
        <v>9.0416771277931199E-2</v>
      </c>
      <c r="K1659" t="s">
        <v>42</v>
      </c>
      <c r="L1659" t="s">
        <v>55</v>
      </c>
      <c r="M1659">
        <v>1</v>
      </c>
      <c r="N1659" t="s">
        <v>65</v>
      </c>
    </row>
    <row r="1660" spans="1:14" x14ac:dyDescent="0.3">
      <c r="A1660" s="1">
        <v>44885</v>
      </c>
      <c r="B1660" t="s">
        <v>31</v>
      </c>
      <c r="C1660" t="s">
        <v>11</v>
      </c>
      <c r="D1660" t="s">
        <v>17</v>
      </c>
      <c r="E1660">
        <v>4</v>
      </c>
      <c r="F1660">
        <v>3640</v>
      </c>
      <c r="G1660">
        <v>695.31</v>
      </c>
      <c r="H1660">
        <v>2022</v>
      </c>
      <c r="I1660" t="s">
        <v>18</v>
      </c>
      <c r="J1660" s="4">
        <v>0.191019230769231</v>
      </c>
      <c r="K1660" t="s">
        <v>42</v>
      </c>
      <c r="L1660" t="s">
        <v>52</v>
      </c>
      <c r="M1660">
        <v>11</v>
      </c>
      <c r="N1660" t="s">
        <v>58</v>
      </c>
    </row>
    <row r="1661" spans="1:14" x14ac:dyDescent="0.3">
      <c r="A1661" s="1">
        <v>44876</v>
      </c>
      <c r="B1661" t="s">
        <v>31</v>
      </c>
      <c r="C1661" t="s">
        <v>11</v>
      </c>
      <c r="D1661" t="s">
        <v>19</v>
      </c>
      <c r="E1661">
        <v>1</v>
      </c>
      <c r="F1661">
        <v>1131</v>
      </c>
      <c r="G1661">
        <v>304.62</v>
      </c>
      <c r="H1661">
        <v>2022</v>
      </c>
      <c r="I1661" t="s">
        <v>18</v>
      </c>
      <c r="J1661" s="4">
        <v>0.26933687002652501</v>
      </c>
      <c r="K1661" t="s">
        <v>42</v>
      </c>
      <c r="L1661" t="s">
        <v>52</v>
      </c>
      <c r="M1661">
        <v>11</v>
      </c>
      <c r="N1661" t="s">
        <v>58</v>
      </c>
    </row>
    <row r="1662" spans="1:14" x14ac:dyDescent="0.3">
      <c r="A1662" s="1">
        <v>44634</v>
      </c>
      <c r="B1662" t="s">
        <v>31</v>
      </c>
      <c r="C1662" t="s">
        <v>11</v>
      </c>
      <c r="D1662" t="s">
        <v>17</v>
      </c>
      <c r="E1662">
        <v>5</v>
      </c>
      <c r="F1662">
        <v>4255</v>
      </c>
      <c r="G1662">
        <v>961.41</v>
      </c>
      <c r="H1662">
        <v>2022</v>
      </c>
      <c r="I1662" t="s">
        <v>15</v>
      </c>
      <c r="J1662" s="4">
        <v>0.22594829612220901</v>
      </c>
      <c r="K1662" t="s">
        <v>42</v>
      </c>
      <c r="L1662" t="s">
        <v>55</v>
      </c>
      <c r="M1662">
        <v>3</v>
      </c>
      <c r="N1662" t="s">
        <v>56</v>
      </c>
    </row>
    <row r="1663" spans="1:14" x14ac:dyDescent="0.3">
      <c r="A1663" s="1">
        <v>44878</v>
      </c>
      <c r="B1663" t="s">
        <v>31</v>
      </c>
      <c r="C1663" t="s">
        <v>11</v>
      </c>
      <c r="D1663" t="s">
        <v>12</v>
      </c>
      <c r="E1663">
        <v>1</v>
      </c>
      <c r="F1663">
        <v>954</v>
      </c>
      <c r="G1663">
        <v>48.97</v>
      </c>
      <c r="H1663">
        <v>2022</v>
      </c>
      <c r="I1663" t="s">
        <v>18</v>
      </c>
      <c r="J1663" s="4">
        <v>5.1331236897274597E-2</v>
      </c>
      <c r="K1663" t="s">
        <v>42</v>
      </c>
      <c r="L1663" t="s">
        <v>52</v>
      </c>
      <c r="M1663">
        <v>11</v>
      </c>
      <c r="N1663" t="s">
        <v>58</v>
      </c>
    </row>
    <row r="1664" spans="1:14" x14ac:dyDescent="0.3">
      <c r="A1664" s="1">
        <v>44768</v>
      </c>
      <c r="B1664" t="s">
        <v>31</v>
      </c>
      <c r="C1664" t="s">
        <v>11</v>
      </c>
      <c r="D1664" t="s">
        <v>12</v>
      </c>
      <c r="E1664">
        <v>1</v>
      </c>
      <c r="F1664">
        <v>1041</v>
      </c>
      <c r="G1664">
        <v>132.46</v>
      </c>
      <c r="H1664">
        <v>2022</v>
      </c>
      <c r="I1664" t="s">
        <v>25</v>
      </c>
      <c r="J1664" s="4">
        <v>0.12724303554274699</v>
      </c>
      <c r="K1664" t="s">
        <v>42</v>
      </c>
      <c r="L1664" t="s">
        <v>60</v>
      </c>
      <c r="M1664">
        <v>7</v>
      </c>
      <c r="N1664" t="s">
        <v>64</v>
      </c>
    </row>
    <row r="1665" spans="1:14" x14ac:dyDescent="0.3">
      <c r="A1665" s="1">
        <v>44898</v>
      </c>
      <c r="B1665" t="s">
        <v>31</v>
      </c>
      <c r="C1665" t="s">
        <v>11</v>
      </c>
      <c r="D1665" t="s">
        <v>22</v>
      </c>
      <c r="E1665">
        <v>1</v>
      </c>
      <c r="F1665">
        <v>325</v>
      </c>
      <c r="G1665">
        <v>46.84</v>
      </c>
      <c r="H1665">
        <v>2022</v>
      </c>
      <c r="I1665" t="s">
        <v>13</v>
      </c>
      <c r="J1665" s="4">
        <v>0.14412307692307699</v>
      </c>
      <c r="K1665" t="s">
        <v>42</v>
      </c>
      <c r="L1665" t="s">
        <v>52</v>
      </c>
      <c r="M1665">
        <v>12</v>
      </c>
      <c r="N1665" t="s">
        <v>53</v>
      </c>
    </row>
    <row r="1666" spans="1:14" x14ac:dyDescent="0.3">
      <c r="A1666" s="1">
        <v>44753</v>
      </c>
      <c r="B1666" t="s">
        <v>31</v>
      </c>
      <c r="C1666" t="s">
        <v>11</v>
      </c>
      <c r="D1666" t="s">
        <v>19</v>
      </c>
      <c r="E1666">
        <v>5</v>
      </c>
      <c r="F1666">
        <v>3940</v>
      </c>
      <c r="G1666">
        <v>755.11</v>
      </c>
      <c r="H1666">
        <v>2022</v>
      </c>
      <c r="I1666" t="s">
        <v>25</v>
      </c>
      <c r="J1666" s="4">
        <v>0.191652284263959</v>
      </c>
      <c r="K1666" t="s">
        <v>42</v>
      </c>
      <c r="L1666" t="s">
        <v>60</v>
      </c>
      <c r="M1666">
        <v>7</v>
      </c>
      <c r="N1666" t="s">
        <v>64</v>
      </c>
    </row>
    <row r="1667" spans="1:14" x14ac:dyDescent="0.3">
      <c r="A1667" s="1">
        <v>44574</v>
      </c>
      <c r="B1667" t="s">
        <v>31</v>
      </c>
      <c r="C1667" t="s">
        <v>11</v>
      </c>
      <c r="D1667" t="s">
        <v>19</v>
      </c>
      <c r="E1667">
        <v>2</v>
      </c>
      <c r="F1667">
        <v>1668</v>
      </c>
      <c r="G1667">
        <v>470.42</v>
      </c>
      <c r="H1667">
        <v>2022</v>
      </c>
      <c r="I1667" t="s">
        <v>26</v>
      </c>
      <c r="J1667" s="4">
        <v>0.28202637889688198</v>
      </c>
      <c r="K1667" t="s">
        <v>42</v>
      </c>
      <c r="L1667" t="s">
        <v>55</v>
      </c>
      <c r="M1667">
        <v>1</v>
      </c>
      <c r="N1667" t="s">
        <v>65</v>
      </c>
    </row>
    <row r="1668" spans="1:14" x14ac:dyDescent="0.3">
      <c r="A1668" s="1">
        <v>44818</v>
      </c>
      <c r="B1668" t="s">
        <v>31</v>
      </c>
      <c r="C1668" t="s">
        <v>11</v>
      </c>
      <c r="D1668" t="s">
        <v>19</v>
      </c>
      <c r="E1668">
        <v>5</v>
      </c>
      <c r="F1668">
        <v>1520</v>
      </c>
      <c r="G1668">
        <v>433.53</v>
      </c>
      <c r="H1668">
        <v>2022</v>
      </c>
      <c r="I1668" t="s">
        <v>21</v>
      </c>
      <c r="J1668" s="4">
        <v>0.28521710526315802</v>
      </c>
      <c r="K1668" t="s">
        <v>42</v>
      </c>
      <c r="L1668" t="s">
        <v>60</v>
      </c>
      <c r="M1668">
        <v>9</v>
      </c>
      <c r="N1668" t="s">
        <v>61</v>
      </c>
    </row>
    <row r="1669" spans="1:14" x14ac:dyDescent="0.3">
      <c r="A1669" s="1">
        <v>44754</v>
      </c>
      <c r="B1669" t="s">
        <v>31</v>
      </c>
      <c r="C1669" t="s">
        <v>11</v>
      </c>
      <c r="D1669" t="s">
        <v>12</v>
      </c>
      <c r="E1669">
        <v>7</v>
      </c>
      <c r="F1669">
        <v>4417</v>
      </c>
      <c r="G1669">
        <v>495.37</v>
      </c>
      <c r="H1669">
        <v>2022</v>
      </c>
      <c r="I1669" t="s">
        <v>25</v>
      </c>
      <c r="J1669" s="4">
        <v>0.112150781073127</v>
      </c>
      <c r="K1669" t="s">
        <v>42</v>
      </c>
      <c r="L1669" t="s">
        <v>60</v>
      </c>
      <c r="M1669">
        <v>7</v>
      </c>
      <c r="N1669" t="s">
        <v>64</v>
      </c>
    </row>
    <row r="1670" spans="1:14" x14ac:dyDescent="0.3">
      <c r="A1670" s="1">
        <v>44683</v>
      </c>
      <c r="B1670" t="s">
        <v>31</v>
      </c>
      <c r="C1670" t="s">
        <v>11</v>
      </c>
      <c r="D1670" t="s">
        <v>17</v>
      </c>
      <c r="E1670">
        <v>1</v>
      </c>
      <c r="F1670">
        <v>161</v>
      </c>
      <c r="G1670">
        <v>36.58</v>
      </c>
      <c r="H1670">
        <v>2022</v>
      </c>
      <c r="I1670" t="s">
        <v>20</v>
      </c>
      <c r="J1670" s="4">
        <v>0.227204968944099</v>
      </c>
      <c r="K1670" t="s">
        <v>42</v>
      </c>
      <c r="L1670" t="s">
        <v>59</v>
      </c>
      <c r="M1670">
        <v>5</v>
      </c>
      <c r="N1670" t="s">
        <v>20</v>
      </c>
    </row>
    <row r="1671" spans="1:14" x14ac:dyDescent="0.3">
      <c r="A1671" s="1">
        <v>44826</v>
      </c>
      <c r="B1671" t="s">
        <v>31</v>
      </c>
      <c r="C1671" t="s">
        <v>11</v>
      </c>
      <c r="D1671" t="s">
        <v>17</v>
      </c>
      <c r="E1671">
        <v>4</v>
      </c>
      <c r="F1671">
        <v>2432</v>
      </c>
      <c r="G1671">
        <v>657.18</v>
      </c>
      <c r="H1671">
        <v>2022</v>
      </c>
      <c r="I1671" t="s">
        <v>21</v>
      </c>
      <c r="J1671" s="4">
        <v>0.27022203947368401</v>
      </c>
      <c r="K1671" t="s">
        <v>42</v>
      </c>
      <c r="L1671" t="s">
        <v>60</v>
      </c>
      <c r="M1671">
        <v>9</v>
      </c>
      <c r="N1671" t="s">
        <v>61</v>
      </c>
    </row>
    <row r="1672" spans="1:14" x14ac:dyDescent="0.3">
      <c r="A1672" s="1">
        <v>44639</v>
      </c>
      <c r="B1672" t="s">
        <v>31</v>
      </c>
      <c r="C1672" t="s">
        <v>11</v>
      </c>
      <c r="D1672" t="s">
        <v>12</v>
      </c>
      <c r="E1672">
        <v>4</v>
      </c>
      <c r="F1672">
        <v>2428</v>
      </c>
      <c r="G1672">
        <v>485.75</v>
      </c>
      <c r="H1672">
        <v>2022</v>
      </c>
      <c r="I1672" t="s">
        <v>15</v>
      </c>
      <c r="J1672" s="4">
        <v>0.200061779242175</v>
      </c>
      <c r="K1672" t="s">
        <v>42</v>
      </c>
      <c r="L1672" t="s">
        <v>55</v>
      </c>
      <c r="M1672">
        <v>3</v>
      </c>
      <c r="N1672" t="s">
        <v>56</v>
      </c>
    </row>
    <row r="1673" spans="1:14" x14ac:dyDescent="0.3">
      <c r="A1673" s="1">
        <v>44787</v>
      </c>
      <c r="B1673" t="s">
        <v>31</v>
      </c>
      <c r="C1673" t="s">
        <v>11</v>
      </c>
      <c r="D1673" t="s">
        <v>17</v>
      </c>
      <c r="E1673">
        <v>3</v>
      </c>
      <c r="F1673">
        <v>3408</v>
      </c>
      <c r="G1673">
        <v>727.26</v>
      </c>
      <c r="H1673">
        <v>2022</v>
      </c>
      <c r="I1673" t="s">
        <v>24</v>
      </c>
      <c r="J1673" s="4">
        <v>0.21339788732394399</v>
      </c>
      <c r="K1673" t="s">
        <v>42</v>
      </c>
      <c r="L1673" t="s">
        <v>60</v>
      </c>
      <c r="M1673">
        <v>8</v>
      </c>
      <c r="N1673" t="s">
        <v>63</v>
      </c>
    </row>
    <row r="1674" spans="1:14" x14ac:dyDescent="0.3">
      <c r="A1674" s="1">
        <v>44580</v>
      </c>
      <c r="B1674" t="s">
        <v>31</v>
      </c>
      <c r="C1674" t="s">
        <v>11</v>
      </c>
      <c r="D1674" t="s">
        <v>17</v>
      </c>
      <c r="E1674">
        <v>4</v>
      </c>
      <c r="F1674">
        <v>3668</v>
      </c>
      <c r="G1674">
        <v>839.4</v>
      </c>
      <c r="H1674">
        <v>2022</v>
      </c>
      <c r="I1674" t="s">
        <v>26</v>
      </c>
      <c r="J1674" s="4">
        <v>0.228844056706652</v>
      </c>
      <c r="K1674" t="s">
        <v>42</v>
      </c>
      <c r="L1674" t="s">
        <v>55</v>
      </c>
      <c r="M1674">
        <v>1</v>
      </c>
      <c r="N1674" t="s">
        <v>65</v>
      </c>
    </row>
    <row r="1675" spans="1:14" x14ac:dyDescent="0.3">
      <c r="A1675" s="1">
        <v>44798</v>
      </c>
      <c r="B1675" t="s">
        <v>31</v>
      </c>
      <c r="C1675" t="s">
        <v>11</v>
      </c>
      <c r="D1675" t="s">
        <v>19</v>
      </c>
      <c r="E1675">
        <v>6</v>
      </c>
      <c r="F1675">
        <v>6780</v>
      </c>
      <c r="G1675">
        <v>811.92</v>
      </c>
      <c r="H1675">
        <v>2022</v>
      </c>
      <c r="I1675" t="s">
        <v>24</v>
      </c>
      <c r="J1675" s="4">
        <v>0.119752212389381</v>
      </c>
      <c r="K1675" t="s">
        <v>42</v>
      </c>
      <c r="L1675" t="s">
        <v>60</v>
      </c>
      <c r="M1675">
        <v>8</v>
      </c>
      <c r="N1675" t="s">
        <v>63</v>
      </c>
    </row>
    <row r="1676" spans="1:14" x14ac:dyDescent="0.3">
      <c r="A1676" s="1">
        <v>44683</v>
      </c>
      <c r="B1676" t="s">
        <v>31</v>
      </c>
      <c r="C1676" t="s">
        <v>11</v>
      </c>
      <c r="D1676" t="s">
        <v>17</v>
      </c>
      <c r="E1676">
        <v>2</v>
      </c>
      <c r="F1676">
        <v>1270</v>
      </c>
      <c r="G1676">
        <v>229.39</v>
      </c>
      <c r="H1676">
        <v>2022</v>
      </c>
      <c r="I1676" t="s">
        <v>20</v>
      </c>
      <c r="J1676" s="4">
        <v>0.180622047244094</v>
      </c>
      <c r="K1676" t="s">
        <v>42</v>
      </c>
      <c r="L1676" t="s">
        <v>59</v>
      </c>
      <c r="M1676">
        <v>5</v>
      </c>
      <c r="N1676" t="s">
        <v>20</v>
      </c>
    </row>
    <row r="1677" spans="1:14" x14ac:dyDescent="0.3">
      <c r="A1677" s="1">
        <v>44912</v>
      </c>
      <c r="B1677" t="s">
        <v>31</v>
      </c>
      <c r="C1677" t="s">
        <v>11</v>
      </c>
      <c r="D1677" t="s">
        <v>19</v>
      </c>
      <c r="E1677">
        <v>5</v>
      </c>
      <c r="F1677">
        <v>1365</v>
      </c>
      <c r="G1677">
        <v>310.66000000000003</v>
      </c>
      <c r="H1677">
        <v>2022</v>
      </c>
      <c r="I1677" t="s">
        <v>13</v>
      </c>
      <c r="J1677" s="4">
        <v>0.22758974358974399</v>
      </c>
      <c r="K1677" t="s">
        <v>42</v>
      </c>
      <c r="L1677" t="s">
        <v>52</v>
      </c>
      <c r="M1677">
        <v>12</v>
      </c>
      <c r="N1677" t="s">
        <v>53</v>
      </c>
    </row>
    <row r="1678" spans="1:14" x14ac:dyDescent="0.3">
      <c r="A1678" s="1">
        <v>44837</v>
      </c>
      <c r="B1678" t="s">
        <v>31</v>
      </c>
      <c r="C1678" t="s">
        <v>11</v>
      </c>
      <c r="D1678" t="s">
        <v>22</v>
      </c>
      <c r="E1678">
        <v>9</v>
      </c>
      <c r="F1678">
        <v>4536</v>
      </c>
      <c r="G1678">
        <v>479.78</v>
      </c>
      <c r="H1678">
        <v>2022</v>
      </c>
      <c r="I1678" t="s">
        <v>14</v>
      </c>
      <c r="J1678" s="4">
        <v>0.10577160493827201</v>
      </c>
      <c r="K1678" t="s">
        <v>42</v>
      </c>
      <c r="L1678" t="s">
        <v>52</v>
      </c>
      <c r="M1678">
        <v>10</v>
      </c>
      <c r="N1678" t="s">
        <v>54</v>
      </c>
    </row>
    <row r="1679" spans="1:14" x14ac:dyDescent="0.3">
      <c r="A1679" s="1">
        <v>44718</v>
      </c>
      <c r="B1679" t="s">
        <v>31</v>
      </c>
      <c r="C1679" t="s">
        <v>11</v>
      </c>
      <c r="D1679" t="s">
        <v>19</v>
      </c>
      <c r="E1679">
        <v>9</v>
      </c>
      <c r="F1679">
        <v>3951</v>
      </c>
      <c r="G1679">
        <v>908.13</v>
      </c>
      <c r="H1679">
        <v>2022</v>
      </c>
      <c r="I1679" t="s">
        <v>27</v>
      </c>
      <c r="J1679" s="4">
        <v>0.229848139711465</v>
      </c>
      <c r="K1679" t="s">
        <v>42</v>
      </c>
      <c r="L1679" t="s">
        <v>59</v>
      </c>
      <c r="M1679">
        <v>6</v>
      </c>
      <c r="N1679" t="s">
        <v>66</v>
      </c>
    </row>
    <row r="1680" spans="1:14" x14ac:dyDescent="0.3">
      <c r="A1680" s="1">
        <v>44730</v>
      </c>
      <c r="B1680" t="s">
        <v>31</v>
      </c>
      <c r="C1680" t="s">
        <v>11</v>
      </c>
      <c r="D1680" t="s">
        <v>22</v>
      </c>
      <c r="E1680">
        <v>4</v>
      </c>
      <c r="F1680">
        <v>3520</v>
      </c>
      <c r="G1680">
        <v>417.26</v>
      </c>
      <c r="H1680">
        <v>2022</v>
      </c>
      <c r="I1680" t="s">
        <v>27</v>
      </c>
      <c r="J1680" s="4">
        <v>0.11853977272727299</v>
      </c>
      <c r="K1680" t="s">
        <v>42</v>
      </c>
      <c r="L1680" t="s">
        <v>59</v>
      </c>
      <c r="M1680">
        <v>6</v>
      </c>
      <c r="N1680" t="s">
        <v>66</v>
      </c>
    </row>
    <row r="1681" spans="1:14" x14ac:dyDescent="0.3">
      <c r="A1681" s="1">
        <v>44797</v>
      </c>
      <c r="B1681" t="s">
        <v>31</v>
      </c>
      <c r="C1681" t="s">
        <v>11</v>
      </c>
      <c r="D1681" t="s">
        <v>19</v>
      </c>
      <c r="E1681">
        <v>9</v>
      </c>
      <c r="F1681">
        <v>2466</v>
      </c>
      <c r="G1681">
        <v>638.41</v>
      </c>
      <c r="H1681">
        <v>2022</v>
      </c>
      <c r="I1681" t="s">
        <v>24</v>
      </c>
      <c r="J1681" s="4">
        <v>0.25888483373884802</v>
      </c>
      <c r="K1681" t="s">
        <v>42</v>
      </c>
      <c r="L1681" t="s">
        <v>60</v>
      </c>
      <c r="M1681">
        <v>8</v>
      </c>
      <c r="N1681" t="s">
        <v>63</v>
      </c>
    </row>
    <row r="1682" spans="1:14" x14ac:dyDescent="0.3">
      <c r="A1682" s="1">
        <v>44918</v>
      </c>
      <c r="B1682" t="s">
        <v>31</v>
      </c>
      <c r="C1682" t="s">
        <v>11</v>
      </c>
      <c r="D1682" t="s">
        <v>17</v>
      </c>
      <c r="E1682">
        <v>8</v>
      </c>
      <c r="F1682">
        <v>4096</v>
      </c>
      <c r="G1682">
        <v>266.35000000000002</v>
      </c>
      <c r="H1682">
        <v>2022</v>
      </c>
      <c r="I1682" t="s">
        <v>13</v>
      </c>
      <c r="J1682" s="4">
        <v>6.5026855468750006E-2</v>
      </c>
      <c r="K1682" t="s">
        <v>42</v>
      </c>
      <c r="L1682" t="s">
        <v>52</v>
      </c>
      <c r="M1682">
        <v>12</v>
      </c>
      <c r="N1682" t="s">
        <v>53</v>
      </c>
    </row>
    <row r="1683" spans="1:14" x14ac:dyDescent="0.3">
      <c r="A1683" s="1">
        <v>44757</v>
      </c>
      <c r="B1683" t="s">
        <v>31</v>
      </c>
      <c r="C1683" t="s">
        <v>11</v>
      </c>
      <c r="D1683" t="s">
        <v>19</v>
      </c>
      <c r="E1683">
        <v>7</v>
      </c>
      <c r="F1683">
        <v>4032</v>
      </c>
      <c r="G1683">
        <v>742.98</v>
      </c>
      <c r="H1683">
        <v>2022</v>
      </c>
      <c r="I1683" t="s">
        <v>25</v>
      </c>
      <c r="J1683" s="4">
        <v>0.184270833333333</v>
      </c>
      <c r="K1683" t="s">
        <v>42</v>
      </c>
      <c r="L1683" t="s">
        <v>60</v>
      </c>
      <c r="M1683">
        <v>7</v>
      </c>
      <c r="N1683" t="s">
        <v>64</v>
      </c>
    </row>
    <row r="1684" spans="1:14" x14ac:dyDescent="0.3">
      <c r="A1684" s="1">
        <v>44726</v>
      </c>
      <c r="B1684" t="s">
        <v>31</v>
      </c>
      <c r="C1684" t="s">
        <v>11</v>
      </c>
      <c r="D1684" t="s">
        <v>17</v>
      </c>
      <c r="E1684">
        <v>3</v>
      </c>
      <c r="F1684">
        <v>1119</v>
      </c>
      <c r="G1684">
        <v>108.68</v>
      </c>
      <c r="H1684">
        <v>2022</v>
      </c>
      <c r="I1684" t="s">
        <v>27</v>
      </c>
      <c r="J1684" s="4">
        <v>9.7122430741733698E-2</v>
      </c>
      <c r="K1684" t="s">
        <v>42</v>
      </c>
      <c r="L1684" t="s">
        <v>59</v>
      </c>
      <c r="M1684">
        <v>6</v>
      </c>
      <c r="N1684" t="s">
        <v>66</v>
      </c>
    </row>
    <row r="1685" spans="1:14" x14ac:dyDescent="0.3">
      <c r="A1685" s="1">
        <v>44645</v>
      </c>
      <c r="B1685" t="s">
        <v>31</v>
      </c>
      <c r="C1685" t="s">
        <v>11</v>
      </c>
      <c r="D1685" t="s">
        <v>22</v>
      </c>
      <c r="E1685">
        <v>2</v>
      </c>
      <c r="F1685">
        <v>1298</v>
      </c>
      <c r="G1685">
        <v>204.08</v>
      </c>
      <c r="H1685">
        <v>2022</v>
      </c>
      <c r="I1685" t="s">
        <v>15</v>
      </c>
      <c r="J1685" s="4">
        <v>0.15722650231124799</v>
      </c>
      <c r="K1685" t="s">
        <v>42</v>
      </c>
      <c r="L1685" t="s">
        <v>55</v>
      </c>
      <c r="M1685">
        <v>3</v>
      </c>
      <c r="N1685" t="s">
        <v>56</v>
      </c>
    </row>
    <row r="1686" spans="1:14" x14ac:dyDescent="0.3">
      <c r="A1686" s="1">
        <v>44747</v>
      </c>
      <c r="B1686" t="s">
        <v>31</v>
      </c>
      <c r="C1686" t="s">
        <v>11</v>
      </c>
      <c r="D1686" t="s">
        <v>12</v>
      </c>
      <c r="E1686">
        <v>1</v>
      </c>
      <c r="F1686">
        <v>1104</v>
      </c>
      <c r="G1686">
        <v>277.85000000000002</v>
      </c>
      <c r="H1686">
        <v>2022</v>
      </c>
      <c r="I1686" t="s">
        <v>25</v>
      </c>
      <c r="J1686" s="4">
        <v>0.25167572463768101</v>
      </c>
      <c r="K1686" t="s">
        <v>42</v>
      </c>
      <c r="L1686" t="s">
        <v>60</v>
      </c>
      <c r="M1686">
        <v>7</v>
      </c>
      <c r="N1686" t="s">
        <v>64</v>
      </c>
    </row>
    <row r="1687" spans="1:14" x14ac:dyDescent="0.3">
      <c r="A1687" s="1">
        <v>44784</v>
      </c>
      <c r="B1687" t="s">
        <v>31</v>
      </c>
      <c r="C1687" t="s">
        <v>11</v>
      </c>
      <c r="D1687" t="s">
        <v>19</v>
      </c>
      <c r="E1687">
        <v>9</v>
      </c>
      <c r="F1687">
        <v>2718</v>
      </c>
      <c r="G1687">
        <v>271.51</v>
      </c>
      <c r="H1687">
        <v>2022</v>
      </c>
      <c r="I1687" t="s">
        <v>24</v>
      </c>
      <c r="J1687" s="4">
        <v>9.98933038999264E-2</v>
      </c>
      <c r="K1687" t="s">
        <v>42</v>
      </c>
      <c r="L1687" t="s">
        <v>60</v>
      </c>
      <c r="M1687">
        <v>8</v>
      </c>
      <c r="N1687" t="s">
        <v>63</v>
      </c>
    </row>
    <row r="1688" spans="1:14" x14ac:dyDescent="0.3">
      <c r="A1688" s="1">
        <v>44703</v>
      </c>
      <c r="B1688" t="s">
        <v>31</v>
      </c>
      <c r="C1688" t="s">
        <v>11</v>
      </c>
      <c r="D1688" t="s">
        <v>17</v>
      </c>
      <c r="E1688">
        <v>6</v>
      </c>
      <c r="F1688">
        <v>4596</v>
      </c>
      <c r="G1688">
        <v>1162.75</v>
      </c>
      <c r="H1688">
        <v>2022</v>
      </c>
      <c r="I1688" t="s">
        <v>20</v>
      </c>
      <c r="J1688" s="4">
        <v>0.25299173194081798</v>
      </c>
      <c r="K1688" t="s">
        <v>42</v>
      </c>
      <c r="L1688" t="s">
        <v>59</v>
      </c>
      <c r="M1688">
        <v>5</v>
      </c>
      <c r="N1688" t="s">
        <v>20</v>
      </c>
    </row>
    <row r="1689" spans="1:14" x14ac:dyDescent="0.3">
      <c r="A1689" s="1">
        <v>44572</v>
      </c>
      <c r="B1689" t="s">
        <v>31</v>
      </c>
      <c r="C1689" t="s">
        <v>11</v>
      </c>
      <c r="D1689" t="s">
        <v>19</v>
      </c>
      <c r="E1689">
        <v>3</v>
      </c>
      <c r="F1689">
        <v>2139</v>
      </c>
      <c r="G1689">
        <v>422.52</v>
      </c>
      <c r="H1689">
        <v>2022</v>
      </c>
      <c r="I1689" t="s">
        <v>26</v>
      </c>
      <c r="J1689" s="4">
        <v>0.19753155680224399</v>
      </c>
      <c r="K1689" t="s">
        <v>42</v>
      </c>
      <c r="L1689" t="s">
        <v>55</v>
      </c>
      <c r="M1689">
        <v>1</v>
      </c>
      <c r="N1689" t="s">
        <v>65</v>
      </c>
    </row>
    <row r="1690" spans="1:14" x14ac:dyDescent="0.3">
      <c r="A1690" s="1">
        <v>44898</v>
      </c>
      <c r="B1690" t="s">
        <v>31</v>
      </c>
      <c r="C1690" t="s">
        <v>11</v>
      </c>
      <c r="D1690" t="s">
        <v>19</v>
      </c>
      <c r="E1690">
        <v>8</v>
      </c>
      <c r="F1690">
        <v>5496</v>
      </c>
      <c r="G1690">
        <v>1104.93</v>
      </c>
      <c r="H1690">
        <v>2022</v>
      </c>
      <c r="I1690" t="s">
        <v>13</v>
      </c>
      <c r="J1690" s="4">
        <v>0.201042576419214</v>
      </c>
      <c r="K1690" t="s">
        <v>42</v>
      </c>
      <c r="L1690" t="s">
        <v>52</v>
      </c>
      <c r="M1690">
        <v>12</v>
      </c>
      <c r="N1690" t="s">
        <v>53</v>
      </c>
    </row>
    <row r="1691" spans="1:14" x14ac:dyDescent="0.3">
      <c r="A1691" s="1">
        <v>44798</v>
      </c>
      <c r="B1691" t="s">
        <v>31</v>
      </c>
      <c r="C1691" t="s">
        <v>11</v>
      </c>
      <c r="D1691" t="s">
        <v>17</v>
      </c>
      <c r="E1691">
        <v>3</v>
      </c>
      <c r="F1691">
        <v>2652</v>
      </c>
      <c r="G1691">
        <v>161.66999999999999</v>
      </c>
      <c r="H1691">
        <v>2022</v>
      </c>
      <c r="I1691" t="s">
        <v>24</v>
      </c>
      <c r="J1691" s="4">
        <v>6.09615384615384E-2</v>
      </c>
      <c r="K1691" t="s">
        <v>42</v>
      </c>
      <c r="L1691" t="s">
        <v>60</v>
      </c>
      <c r="M1691">
        <v>8</v>
      </c>
      <c r="N1691" t="s">
        <v>63</v>
      </c>
    </row>
    <row r="1692" spans="1:14" x14ac:dyDescent="0.3">
      <c r="A1692" s="1">
        <v>44891</v>
      </c>
      <c r="B1692" t="s">
        <v>31</v>
      </c>
      <c r="C1692" t="s">
        <v>11</v>
      </c>
      <c r="D1692" t="s">
        <v>12</v>
      </c>
      <c r="E1692">
        <v>1</v>
      </c>
      <c r="F1692">
        <v>877</v>
      </c>
      <c r="G1692">
        <v>110.99</v>
      </c>
      <c r="H1692">
        <v>2022</v>
      </c>
      <c r="I1692" t="s">
        <v>18</v>
      </c>
      <c r="J1692" s="4">
        <v>0.12655644241733199</v>
      </c>
      <c r="K1692" t="s">
        <v>42</v>
      </c>
      <c r="L1692" t="s">
        <v>52</v>
      </c>
      <c r="M1692">
        <v>11</v>
      </c>
      <c r="N1692" t="s">
        <v>58</v>
      </c>
    </row>
    <row r="1693" spans="1:14" x14ac:dyDescent="0.3">
      <c r="A1693" s="1">
        <v>44864</v>
      </c>
      <c r="B1693" t="s">
        <v>31</v>
      </c>
      <c r="C1693" t="s">
        <v>11</v>
      </c>
      <c r="D1693" t="s">
        <v>19</v>
      </c>
      <c r="E1693">
        <v>6</v>
      </c>
      <c r="F1693">
        <v>3288</v>
      </c>
      <c r="G1693">
        <v>249.02</v>
      </c>
      <c r="H1693">
        <v>2022</v>
      </c>
      <c r="I1693" t="s">
        <v>14</v>
      </c>
      <c r="J1693" s="4">
        <v>7.5736009732360096E-2</v>
      </c>
      <c r="K1693" t="s">
        <v>42</v>
      </c>
      <c r="L1693" t="s">
        <v>52</v>
      </c>
      <c r="M1693">
        <v>10</v>
      </c>
      <c r="N1693" t="s">
        <v>54</v>
      </c>
    </row>
    <row r="1694" spans="1:14" x14ac:dyDescent="0.3">
      <c r="A1694" s="1">
        <v>44805</v>
      </c>
      <c r="B1694" t="s">
        <v>31</v>
      </c>
      <c r="C1694" t="s">
        <v>11</v>
      </c>
      <c r="D1694" t="s">
        <v>22</v>
      </c>
      <c r="E1694">
        <v>4</v>
      </c>
      <c r="F1694">
        <v>3868</v>
      </c>
      <c r="G1694">
        <v>819.26</v>
      </c>
      <c r="H1694">
        <v>2022</v>
      </c>
      <c r="I1694" t="s">
        <v>21</v>
      </c>
      <c r="J1694" s="4">
        <v>0.21180455015511901</v>
      </c>
      <c r="K1694" t="s">
        <v>42</v>
      </c>
      <c r="L1694" t="s">
        <v>60</v>
      </c>
      <c r="M1694">
        <v>9</v>
      </c>
      <c r="N1694" t="s">
        <v>61</v>
      </c>
    </row>
    <row r="1695" spans="1:14" x14ac:dyDescent="0.3">
      <c r="A1695" s="1">
        <v>44872</v>
      </c>
      <c r="B1695" t="s">
        <v>31</v>
      </c>
      <c r="C1695" t="s">
        <v>11</v>
      </c>
      <c r="D1695" t="s">
        <v>17</v>
      </c>
      <c r="E1695">
        <v>2</v>
      </c>
      <c r="F1695">
        <v>744</v>
      </c>
      <c r="G1695">
        <v>110.81</v>
      </c>
      <c r="H1695">
        <v>2022</v>
      </c>
      <c r="I1695" t="s">
        <v>18</v>
      </c>
      <c r="J1695" s="4">
        <v>0.14893817204301099</v>
      </c>
      <c r="K1695" t="s">
        <v>42</v>
      </c>
      <c r="L1695" t="s">
        <v>52</v>
      </c>
      <c r="M1695">
        <v>11</v>
      </c>
      <c r="N1695" t="s">
        <v>58</v>
      </c>
    </row>
    <row r="1696" spans="1:14" x14ac:dyDescent="0.3">
      <c r="A1696" s="1">
        <v>44857</v>
      </c>
      <c r="B1696" t="s">
        <v>31</v>
      </c>
      <c r="C1696" t="s">
        <v>11</v>
      </c>
      <c r="D1696" t="s">
        <v>22</v>
      </c>
      <c r="E1696">
        <v>3</v>
      </c>
      <c r="F1696">
        <v>987</v>
      </c>
      <c r="G1696">
        <v>97.01</v>
      </c>
      <c r="H1696">
        <v>2022</v>
      </c>
      <c r="I1696" t="s">
        <v>14</v>
      </c>
      <c r="J1696" s="4">
        <v>9.8287740628166198E-2</v>
      </c>
      <c r="K1696" t="s">
        <v>42</v>
      </c>
      <c r="L1696" t="s">
        <v>52</v>
      </c>
      <c r="M1696">
        <v>10</v>
      </c>
      <c r="N1696" t="s">
        <v>54</v>
      </c>
    </row>
    <row r="1697" spans="1:14" x14ac:dyDescent="0.3">
      <c r="A1697" s="1">
        <v>44590</v>
      </c>
      <c r="B1697" t="s">
        <v>31</v>
      </c>
      <c r="C1697" t="s">
        <v>11</v>
      </c>
      <c r="D1697" t="s">
        <v>19</v>
      </c>
      <c r="E1697">
        <v>7</v>
      </c>
      <c r="F1697">
        <v>2968</v>
      </c>
      <c r="G1697">
        <v>728.94</v>
      </c>
      <c r="H1697">
        <v>2022</v>
      </c>
      <c r="I1697" t="s">
        <v>26</v>
      </c>
      <c r="J1697" s="4">
        <v>0.24559973045822101</v>
      </c>
      <c r="K1697" t="s">
        <v>42</v>
      </c>
      <c r="L1697" t="s">
        <v>55</v>
      </c>
      <c r="M1697">
        <v>1</v>
      </c>
      <c r="N1697" t="s">
        <v>65</v>
      </c>
    </row>
    <row r="1698" spans="1:14" x14ac:dyDescent="0.3">
      <c r="A1698" s="1">
        <v>44888</v>
      </c>
      <c r="B1698" t="s">
        <v>31</v>
      </c>
      <c r="C1698" t="s">
        <v>11</v>
      </c>
      <c r="D1698" t="s">
        <v>19</v>
      </c>
      <c r="E1698">
        <v>9</v>
      </c>
      <c r="F1698">
        <v>6102</v>
      </c>
      <c r="G1698">
        <v>947.91</v>
      </c>
      <c r="H1698">
        <v>2022</v>
      </c>
      <c r="I1698" t="s">
        <v>18</v>
      </c>
      <c r="J1698" s="4">
        <v>0.155344149459194</v>
      </c>
      <c r="K1698" t="s">
        <v>42</v>
      </c>
      <c r="L1698" t="s">
        <v>52</v>
      </c>
      <c r="M1698">
        <v>11</v>
      </c>
      <c r="N1698" t="s">
        <v>58</v>
      </c>
    </row>
    <row r="1699" spans="1:14" x14ac:dyDescent="0.3">
      <c r="A1699" s="1">
        <v>44856</v>
      </c>
      <c r="B1699" t="s">
        <v>31</v>
      </c>
      <c r="C1699" t="s">
        <v>11</v>
      </c>
      <c r="D1699" t="s">
        <v>19</v>
      </c>
      <c r="E1699">
        <v>8</v>
      </c>
      <c r="F1699">
        <v>6056</v>
      </c>
      <c r="G1699">
        <v>1029.9000000000001</v>
      </c>
      <c r="H1699">
        <v>2022</v>
      </c>
      <c r="I1699" t="s">
        <v>14</v>
      </c>
      <c r="J1699" s="4">
        <v>0.170062747688243</v>
      </c>
      <c r="K1699" t="s">
        <v>42</v>
      </c>
      <c r="L1699" t="s">
        <v>52</v>
      </c>
      <c r="M1699">
        <v>10</v>
      </c>
      <c r="N1699" t="s">
        <v>54</v>
      </c>
    </row>
    <row r="1700" spans="1:14" x14ac:dyDescent="0.3">
      <c r="A1700" s="1">
        <v>44672</v>
      </c>
      <c r="B1700" t="s">
        <v>31</v>
      </c>
      <c r="C1700" t="s">
        <v>11</v>
      </c>
      <c r="D1700" t="s">
        <v>12</v>
      </c>
      <c r="E1700">
        <v>8</v>
      </c>
      <c r="F1700">
        <v>2680</v>
      </c>
      <c r="G1700">
        <v>598.97</v>
      </c>
      <c r="H1700">
        <v>2022</v>
      </c>
      <c r="I1700" t="s">
        <v>23</v>
      </c>
      <c r="J1700" s="4">
        <v>0.22349626865671601</v>
      </c>
      <c r="K1700" t="s">
        <v>42</v>
      </c>
      <c r="L1700" t="s">
        <v>59</v>
      </c>
      <c r="M1700">
        <v>4</v>
      </c>
      <c r="N1700" t="s">
        <v>62</v>
      </c>
    </row>
    <row r="1701" spans="1:14" x14ac:dyDescent="0.3">
      <c r="A1701" s="1">
        <v>44831</v>
      </c>
      <c r="B1701" t="s">
        <v>31</v>
      </c>
      <c r="C1701" t="s">
        <v>11</v>
      </c>
      <c r="D1701" t="s">
        <v>19</v>
      </c>
      <c r="E1701">
        <v>8</v>
      </c>
      <c r="F1701">
        <v>9208</v>
      </c>
      <c r="G1701">
        <v>2595.33</v>
      </c>
      <c r="H1701">
        <v>2022</v>
      </c>
      <c r="I1701" t="s">
        <v>21</v>
      </c>
      <c r="J1701" s="4">
        <v>0.28185599478714202</v>
      </c>
      <c r="K1701" t="s">
        <v>42</v>
      </c>
      <c r="L1701" t="s">
        <v>60</v>
      </c>
      <c r="M1701">
        <v>9</v>
      </c>
      <c r="N1701" t="s">
        <v>61</v>
      </c>
    </row>
    <row r="1702" spans="1:14" x14ac:dyDescent="0.3">
      <c r="A1702" s="1">
        <v>44601</v>
      </c>
      <c r="B1702" t="s">
        <v>31</v>
      </c>
      <c r="C1702" t="s">
        <v>11</v>
      </c>
      <c r="D1702" t="s">
        <v>19</v>
      </c>
      <c r="E1702">
        <v>7</v>
      </c>
      <c r="F1702">
        <v>4529</v>
      </c>
      <c r="G1702">
        <v>273.97000000000003</v>
      </c>
      <c r="H1702">
        <v>2022</v>
      </c>
      <c r="I1702" t="s">
        <v>16</v>
      </c>
      <c r="J1702" s="4">
        <v>6.0492382424376198E-2</v>
      </c>
      <c r="K1702" t="s">
        <v>42</v>
      </c>
      <c r="L1702" t="s">
        <v>55</v>
      </c>
      <c r="M1702">
        <v>2</v>
      </c>
      <c r="N1702" t="s">
        <v>57</v>
      </c>
    </row>
    <row r="1703" spans="1:14" x14ac:dyDescent="0.3">
      <c r="A1703" s="1">
        <v>44592</v>
      </c>
      <c r="B1703" t="s">
        <v>31</v>
      </c>
      <c r="C1703" t="s">
        <v>11</v>
      </c>
      <c r="D1703" t="s">
        <v>12</v>
      </c>
      <c r="E1703">
        <v>2</v>
      </c>
      <c r="F1703">
        <v>1438</v>
      </c>
      <c r="G1703">
        <v>315.83</v>
      </c>
      <c r="H1703">
        <v>2022</v>
      </c>
      <c r="I1703" t="s">
        <v>26</v>
      </c>
      <c r="J1703" s="4">
        <v>0.21963143254520201</v>
      </c>
      <c r="K1703" t="s">
        <v>42</v>
      </c>
      <c r="L1703" t="s">
        <v>55</v>
      </c>
      <c r="M1703">
        <v>1</v>
      </c>
      <c r="N1703" t="s">
        <v>65</v>
      </c>
    </row>
    <row r="1704" spans="1:14" x14ac:dyDescent="0.3">
      <c r="A1704" s="1">
        <v>44710</v>
      </c>
      <c r="B1704" t="s">
        <v>31</v>
      </c>
      <c r="C1704" t="s">
        <v>11</v>
      </c>
      <c r="D1704" t="s">
        <v>17</v>
      </c>
      <c r="E1704">
        <v>3</v>
      </c>
      <c r="F1704">
        <v>1674</v>
      </c>
      <c r="G1704">
        <v>106.24</v>
      </c>
      <c r="H1704">
        <v>2022</v>
      </c>
      <c r="I1704" t="s">
        <v>20</v>
      </c>
      <c r="J1704" s="4">
        <v>6.3464755077658294E-2</v>
      </c>
      <c r="K1704" t="s">
        <v>42</v>
      </c>
      <c r="L1704" t="s">
        <v>59</v>
      </c>
      <c r="M1704">
        <v>5</v>
      </c>
      <c r="N1704" t="s">
        <v>20</v>
      </c>
    </row>
    <row r="1705" spans="1:14" x14ac:dyDescent="0.3">
      <c r="A1705" s="1">
        <v>44881</v>
      </c>
      <c r="B1705" t="s">
        <v>31</v>
      </c>
      <c r="C1705" t="s">
        <v>11</v>
      </c>
      <c r="D1705" t="s">
        <v>17</v>
      </c>
      <c r="E1705">
        <v>5</v>
      </c>
      <c r="F1705">
        <v>590</v>
      </c>
      <c r="G1705">
        <v>52.55</v>
      </c>
      <c r="H1705">
        <v>2022</v>
      </c>
      <c r="I1705" t="s">
        <v>18</v>
      </c>
      <c r="J1705" s="4">
        <v>8.9067796610169503E-2</v>
      </c>
      <c r="K1705" t="s">
        <v>42</v>
      </c>
      <c r="L1705" t="s">
        <v>52</v>
      </c>
      <c r="M1705">
        <v>11</v>
      </c>
      <c r="N1705" t="s">
        <v>58</v>
      </c>
    </row>
    <row r="1706" spans="1:14" x14ac:dyDescent="0.3">
      <c r="A1706" s="1">
        <v>44568</v>
      </c>
      <c r="B1706" t="s">
        <v>31</v>
      </c>
      <c r="C1706" t="s">
        <v>11</v>
      </c>
      <c r="D1706" t="s">
        <v>22</v>
      </c>
      <c r="E1706">
        <v>3</v>
      </c>
      <c r="F1706">
        <v>2031</v>
      </c>
      <c r="G1706">
        <v>466.25</v>
      </c>
      <c r="H1706">
        <v>2022</v>
      </c>
      <c r="I1706" t="s">
        <v>26</v>
      </c>
      <c r="J1706" s="4">
        <v>0.229566715903496</v>
      </c>
      <c r="K1706" t="s">
        <v>42</v>
      </c>
      <c r="L1706" t="s">
        <v>55</v>
      </c>
      <c r="M1706">
        <v>1</v>
      </c>
      <c r="N1706" t="s">
        <v>65</v>
      </c>
    </row>
    <row r="1707" spans="1:14" x14ac:dyDescent="0.3">
      <c r="A1707" s="1">
        <v>44624</v>
      </c>
      <c r="B1707" t="s">
        <v>31</v>
      </c>
      <c r="C1707" t="s">
        <v>11</v>
      </c>
      <c r="D1707" t="s">
        <v>12</v>
      </c>
      <c r="E1707">
        <v>6</v>
      </c>
      <c r="F1707">
        <v>7128</v>
      </c>
      <c r="G1707">
        <v>544.54</v>
      </c>
      <c r="H1707">
        <v>2022</v>
      </c>
      <c r="I1707" t="s">
        <v>15</v>
      </c>
      <c r="J1707" s="4">
        <v>7.63945005611672E-2</v>
      </c>
      <c r="K1707" t="s">
        <v>42</v>
      </c>
      <c r="L1707" t="s">
        <v>55</v>
      </c>
      <c r="M1707">
        <v>3</v>
      </c>
      <c r="N1707" t="s">
        <v>56</v>
      </c>
    </row>
    <row r="1708" spans="1:14" x14ac:dyDescent="0.3">
      <c r="A1708" s="1">
        <v>44730</v>
      </c>
      <c r="B1708" t="s">
        <v>31</v>
      </c>
      <c r="C1708" t="s">
        <v>11</v>
      </c>
      <c r="D1708" t="s">
        <v>12</v>
      </c>
      <c r="E1708">
        <v>8</v>
      </c>
      <c r="F1708">
        <v>8032</v>
      </c>
      <c r="G1708">
        <v>1987.82</v>
      </c>
      <c r="H1708">
        <v>2022</v>
      </c>
      <c r="I1708" t="s">
        <v>27</v>
      </c>
      <c r="J1708" s="4">
        <v>0.24748754980079701</v>
      </c>
      <c r="K1708" t="s">
        <v>42</v>
      </c>
      <c r="L1708" t="s">
        <v>59</v>
      </c>
      <c r="M1708">
        <v>6</v>
      </c>
      <c r="N1708" t="s">
        <v>66</v>
      </c>
    </row>
    <row r="1709" spans="1:14" x14ac:dyDescent="0.3">
      <c r="A1709" s="1">
        <v>44901</v>
      </c>
      <c r="B1709" t="s">
        <v>31</v>
      </c>
      <c r="C1709" t="s">
        <v>11</v>
      </c>
      <c r="D1709" t="s">
        <v>17</v>
      </c>
      <c r="E1709">
        <v>2</v>
      </c>
      <c r="F1709">
        <v>1614</v>
      </c>
      <c r="G1709">
        <v>331.3</v>
      </c>
      <c r="H1709">
        <v>2022</v>
      </c>
      <c r="I1709" t="s">
        <v>13</v>
      </c>
      <c r="J1709" s="4">
        <v>0.205266418835192</v>
      </c>
      <c r="K1709" t="s">
        <v>42</v>
      </c>
      <c r="L1709" t="s">
        <v>52</v>
      </c>
      <c r="M1709">
        <v>12</v>
      </c>
      <c r="N1709" t="s">
        <v>53</v>
      </c>
    </row>
    <row r="1710" spans="1:14" x14ac:dyDescent="0.3">
      <c r="A1710" s="1">
        <v>44609</v>
      </c>
      <c r="B1710" t="s">
        <v>31</v>
      </c>
      <c r="C1710" t="s">
        <v>11</v>
      </c>
      <c r="D1710" t="s">
        <v>12</v>
      </c>
      <c r="E1710">
        <v>2</v>
      </c>
      <c r="F1710">
        <v>2260</v>
      </c>
      <c r="G1710">
        <v>268.47000000000003</v>
      </c>
      <c r="H1710">
        <v>2022</v>
      </c>
      <c r="I1710" t="s">
        <v>16</v>
      </c>
      <c r="J1710" s="4">
        <v>0.11879203539822999</v>
      </c>
      <c r="K1710" t="s">
        <v>42</v>
      </c>
      <c r="L1710" t="s">
        <v>55</v>
      </c>
      <c r="M1710">
        <v>2</v>
      </c>
      <c r="N1710" t="s">
        <v>57</v>
      </c>
    </row>
    <row r="1711" spans="1:14" x14ac:dyDescent="0.3">
      <c r="A1711" s="1">
        <v>44916</v>
      </c>
      <c r="B1711" t="s">
        <v>31</v>
      </c>
      <c r="C1711" t="s">
        <v>11</v>
      </c>
      <c r="D1711" t="s">
        <v>19</v>
      </c>
      <c r="E1711">
        <v>1</v>
      </c>
      <c r="F1711">
        <v>393</v>
      </c>
      <c r="G1711">
        <v>41.05</v>
      </c>
      <c r="H1711">
        <v>2022</v>
      </c>
      <c r="I1711" t="s">
        <v>13</v>
      </c>
      <c r="J1711" s="4">
        <v>0.104452926208651</v>
      </c>
      <c r="K1711" t="s">
        <v>42</v>
      </c>
      <c r="L1711" t="s">
        <v>52</v>
      </c>
      <c r="M1711">
        <v>12</v>
      </c>
      <c r="N1711" t="s">
        <v>53</v>
      </c>
    </row>
    <row r="1712" spans="1:14" x14ac:dyDescent="0.3">
      <c r="A1712" s="1">
        <v>44674</v>
      </c>
      <c r="B1712" t="s">
        <v>31</v>
      </c>
      <c r="C1712" t="s">
        <v>11</v>
      </c>
      <c r="D1712" t="s">
        <v>19</v>
      </c>
      <c r="E1712">
        <v>1</v>
      </c>
      <c r="F1712">
        <v>300</v>
      </c>
      <c r="G1712">
        <v>45.81</v>
      </c>
      <c r="H1712">
        <v>2022</v>
      </c>
      <c r="I1712" t="s">
        <v>23</v>
      </c>
      <c r="J1712" s="4">
        <v>0.1527</v>
      </c>
      <c r="K1712" t="s">
        <v>42</v>
      </c>
      <c r="L1712" t="s">
        <v>59</v>
      </c>
      <c r="M1712">
        <v>4</v>
      </c>
      <c r="N1712" t="s">
        <v>62</v>
      </c>
    </row>
    <row r="1713" spans="1:14" x14ac:dyDescent="0.3">
      <c r="A1713" s="1">
        <v>44872</v>
      </c>
      <c r="B1713" t="s">
        <v>31</v>
      </c>
      <c r="C1713" t="s">
        <v>11</v>
      </c>
      <c r="D1713" t="s">
        <v>12</v>
      </c>
      <c r="E1713">
        <v>8</v>
      </c>
      <c r="F1713">
        <v>544</v>
      </c>
      <c r="G1713">
        <v>40.78</v>
      </c>
      <c r="H1713">
        <v>2022</v>
      </c>
      <c r="I1713" t="s">
        <v>18</v>
      </c>
      <c r="J1713" s="4">
        <v>7.4963235294117594E-2</v>
      </c>
      <c r="K1713" t="s">
        <v>42</v>
      </c>
      <c r="L1713" t="s">
        <v>52</v>
      </c>
      <c r="M1713">
        <v>11</v>
      </c>
      <c r="N1713" t="s">
        <v>58</v>
      </c>
    </row>
    <row r="1714" spans="1:14" x14ac:dyDescent="0.3">
      <c r="A1714" s="1">
        <v>44690</v>
      </c>
      <c r="B1714" t="s">
        <v>31</v>
      </c>
      <c r="C1714" t="s">
        <v>11</v>
      </c>
      <c r="D1714" t="s">
        <v>12</v>
      </c>
      <c r="E1714">
        <v>2</v>
      </c>
      <c r="F1714">
        <v>1232</v>
      </c>
      <c r="G1714">
        <v>155.52000000000001</v>
      </c>
      <c r="H1714">
        <v>2022</v>
      </c>
      <c r="I1714" t="s">
        <v>20</v>
      </c>
      <c r="J1714" s="4">
        <v>0.126233766233766</v>
      </c>
      <c r="K1714" t="s">
        <v>42</v>
      </c>
      <c r="L1714" t="s">
        <v>59</v>
      </c>
      <c r="M1714">
        <v>5</v>
      </c>
      <c r="N1714" t="s">
        <v>20</v>
      </c>
    </row>
    <row r="1715" spans="1:14" x14ac:dyDescent="0.3">
      <c r="A1715" s="1">
        <v>44660</v>
      </c>
      <c r="B1715" t="s">
        <v>31</v>
      </c>
      <c r="C1715" t="s">
        <v>11</v>
      </c>
      <c r="D1715" t="s">
        <v>19</v>
      </c>
      <c r="E1715">
        <v>9</v>
      </c>
      <c r="F1715">
        <v>9117</v>
      </c>
      <c r="G1715">
        <v>1780.52</v>
      </c>
      <c r="H1715">
        <v>2022</v>
      </c>
      <c r="I1715" t="s">
        <v>23</v>
      </c>
      <c r="J1715" s="4">
        <v>0.19529669847537601</v>
      </c>
      <c r="K1715" t="s">
        <v>42</v>
      </c>
      <c r="L1715" t="s">
        <v>59</v>
      </c>
      <c r="M1715">
        <v>4</v>
      </c>
      <c r="N1715" t="s">
        <v>62</v>
      </c>
    </row>
    <row r="1716" spans="1:14" x14ac:dyDescent="0.3">
      <c r="A1716" s="1">
        <v>44679</v>
      </c>
      <c r="B1716" t="s">
        <v>31</v>
      </c>
      <c r="C1716" t="s">
        <v>11</v>
      </c>
      <c r="D1716" t="s">
        <v>19</v>
      </c>
      <c r="E1716">
        <v>2</v>
      </c>
      <c r="F1716">
        <v>606</v>
      </c>
      <c r="G1716">
        <v>150.94999999999999</v>
      </c>
      <c r="H1716">
        <v>2022</v>
      </c>
      <c r="I1716" t="s">
        <v>23</v>
      </c>
      <c r="J1716" s="4">
        <v>0.24909240924092399</v>
      </c>
      <c r="K1716" t="s">
        <v>42</v>
      </c>
      <c r="L1716" t="s">
        <v>59</v>
      </c>
      <c r="M1716">
        <v>4</v>
      </c>
      <c r="N1716" t="s">
        <v>62</v>
      </c>
    </row>
    <row r="1717" spans="1:14" x14ac:dyDescent="0.3">
      <c r="A1717" s="1">
        <v>44589</v>
      </c>
      <c r="B1717" t="s">
        <v>31</v>
      </c>
      <c r="C1717" t="s">
        <v>11</v>
      </c>
      <c r="D1717" t="s">
        <v>12</v>
      </c>
      <c r="E1717">
        <v>3</v>
      </c>
      <c r="F1717">
        <v>1830</v>
      </c>
      <c r="G1717">
        <v>403.42</v>
      </c>
      <c r="H1717">
        <v>2022</v>
      </c>
      <c r="I1717" t="s">
        <v>26</v>
      </c>
      <c r="J1717" s="4">
        <v>0.220448087431694</v>
      </c>
      <c r="K1717" t="s">
        <v>42</v>
      </c>
      <c r="L1717" t="s">
        <v>55</v>
      </c>
      <c r="M1717">
        <v>1</v>
      </c>
      <c r="N1717" t="s">
        <v>65</v>
      </c>
    </row>
    <row r="1718" spans="1:14" x14ac:dyDescent="0.3">
      <c r="A1718" s="1">
        <v>44719</v>
      </c>
      <c r="B1718" t="s">
        <v>31</v>
      </c>
      <c r="C1718" t="s">
        <v>11</v>
      </c>
      <c r="D1718" t="s">
        <v>12</v>
      </c>
      <c r="E1718">
        <v>7</v>
      </c>
      <c r="F1718">
        <v>4438</v>
      </c>
      <c r="G1718">
        <v>770.3</v>
      </c>
      <c r="H1718">
        <v>2022</v>
      </c>
      <c r="I1718" t="s">
        <v>27</v>
      </c>
      <c r="J1718" s="4">
        <v>0.173569175304191</v>
      </c>
      <c r="K1718" t="s">
        <v>42</v>
      </c>
      <c r="L1718" t="s">
        <v>59</v>
      </c>
      <c r="M1718">
        <v>6</v>
      </c>
      <c r="N1718" t="s">
        <v>66</v>
      </c>
    </row>
    <row r="1719" spans="1:14" x14ac:dyDescent="0.3">
      <c r="A1719" s="1">
        <v>44851</v>
      </c>
      <c r="B1719" t="s">
        <v>31</v>
      </c>
      <c r="C1719" t="s">
        <v>11</v>
      </c>
      <c r="D1719" t="s">
        <v>19</v>
      </c>
      <c r="E1719">
        <v>1</v>
      </c>
      <c r="F1719">
        <v>593</v>
      </c>
      <c r="G1719">
        <v>133.01</v>
      </c>
      <c r="H1719">
        <v>2022</v>
      </c>
      <c r="I1719" t="s">
        <v>14</v>
      </c>
      <c r="J1719" s="4">
        <v>0.22430016863406399</v>
      </c>
      <c r="K1719" t="s">
        <v>42</v>
      </c>
      <c r="L1719" t="s">
        <v>52</v>
      </c>
      <c r="M1719">
        <v>10</v>
      </c>
      <c r="N1719" t="s">
        <v>54</v>
      </c>
    </row>
    <row r="1720" spans="1:14" x14ac:dyDescent="0.3">
      <c r="A1720" s="1">
        <v>44809</v>
      </c>
      <c r="B1720" t="s">
        <v>31</v>
      </c>
      <c r="C1720" t="s">
        <v>11</v>
      </c>
      <c r="D1720" t="s">
        <v>17</v>
      </c>
      <c r="E1720">
        <v>7</v>
      </c>
      <c r="F1720">
        <v>6020</v>
      </c>
      <c r="G1720">
        <v>384.74</v>
      </c>
      <c r="H1720">
        <v>2022</v>
      </c>
      <c r="I1720" t="s">
        <v>21</v>
      </c>
      <c r="J1720" s="4">
        <v>6.3910299003322305E-2</v>
      </c>
      <c r="K1720" t="s">
        <v>42</v>
      </c>
      <c r="L1720" t="s">
        <v>60</v>
      </c>
      <c r="M1720">
        <v>9</v>
      </c>
      <c r="N1720" t="s">
        <v>61</v>
      </c>
    </row>
    <row r="1721" spans="1:14" x14ac:dyDescent="0.3">
      <c r="A1721" s="1">
        <v>44785</v>
      </c>
      <c r="B1721" t="s">
        <v>31</v>
      </c>
      <c r="C1721" t="s">
        <v>11</v>
      </c>
      <c r="D1721" t="s">
        <v>22</v>
      </c>
      <c r="E1721">
        <v>5</v>
      </c>
      <c r="F1721">
        <v>2665</v>
      </c>
      <c r="G1721">
        <v>369.73</v>
      </c>
      <c r="H1721">
        <v>2022</v>
      </c>
      <c r="I1721" t="s">
        <v>24</v>
      </c>
      <c r="J1721" s="4">
        <v>0.13873545966228901</v>
      </c>
      <c r="K1721" t="s">
        <v>42</v>
      </c>
      <c r="L1721" t="s">
        <v>60</v>
      </c>
      <c r="M1721">
        <v>8</v>
      </c>
      <c r="N1721" t="s">
        <v>63</v>
      </c>
    </row>
    <row r="1722" spans="1:14" x14ac:dyDescent="0.3">
      <c r="A1722" s="1">
        <v>44623</v>
      </c>
      <c r="B1722" t="s">
        <v>31</v>
      </c>
      <c r="C1722" t="s">
        <v>11</v>
      </c>
      <c r="D1722" t="s">
        <v>19</v>
      </c>
      <c r="E1722">
        <v>7</v>
      </c>
      <c r="F1722">
        <v>5180</v>
      </c>
      <c r="G1722">
        <v>463.35</v>
      </c>
      <c r="H1722">
        <v>2022</v>
      </c>
      <c r="I1722" t="s">
        <v>15</v>
      </c>
      <c r="J1722" s="4">
        <v>8.9449806949807004E-2</v>
      </c>
      <c r="K1722" t="s">
        <v>42</v>
      </c>
      <c r="L1722" t="s">
        <v>55</v>
      </c>
      <c r="M1722">
        <v>3</v>
      </c>
      <c r="N1722" t="s">
        <v>56</v>
      </c>
    </row>
    <row r="1723" spans="1:14" x14ac:dyDescent="0.3">
      <c r="A1723" s="1">
        <v>44854</v>
      </c>
      <c r="B1723" t="s">
        <v>31</v>
      </c>
      <c r="C1723" t="s">
        <v>11</v>
      </c>
      <c r="D1723" t="s">
        <v>12</v>
      </c>
      <c r="E1723">
        <v>8</v>
      </c>
      <c r="F1723">
        <v>4240</v>
      </c>
      <c r="G1723">
        <v>519.72</v>
      </c>
      <c r="H1723">
        <v>2022</v>
      </c>
      <c r="I1723" t="s">
        <v>14</v>
      </c>
      <c r="J1723" s="4">
        <v>0.122575471698113</v>
      </c>
      <c r="K1723" t="s">
        <v>42</v>
      </c>
      <c r="L1723" t="s">
        <v>52</v>
      </c>
      <c r="M1723">
        <v>10</v>
      </c>
      <c r="N1723" t="s">
        <v>54</v>
      </c>
    </row>
    <row r="1724" spans="1:14" x14ac:dyDescent="0.3">
      <c r="A1724" s="1">
        <v>44616</v>
      </c>
      <c r="B1724" t="s">
        <v>31</v>
      </c>
      <c r="C1724" t="s">
        <v>11</v>
      </c>
      <c r="D1724" t="s">
        <v>12</v>
      </c>
      <c r="E1724">
        <v>1</v>
      </c>
      <c r="F1724">
        <v>632</v>
      </c>
      <c r="G1724">
        <v>81.540000000000006</v>
      </c>
      <c r="H1724">
        <v>2022</v>
      </c>
      <c r="I1724" t="s">
        <v>16</v>
      </c>
      <c r="J1724" s="4">
        <v>0.129018987341772</v>
      </c>
      <c r="K1724" t="s">
        <v>42</v>
      </c>
      <c r="L1724" t="s">
        <v>55</v>
      </c>
      <c r="M1724">
        <v>2</v>
      </c>
      <c r="N1724" t="s">
        <v>57</v>
      </c>
    </row>
    <row r="1725" spans="1:14" x14ac:dyDescent="0.3">
      <c r="A1725" s="1">
        <v>44800</v>
      </c>
      <c r="B1725" t="s">
        <v>31</v>
      </c>
      <c r="C1725" t="s">
        <v>11</v>
      </c>
      <c r="D1725" t="s">
        <v>22</v>
      </c>
      <c r="E1725">
        <v>2</v>
      </c>
      <c r="F1725">
        <v>970</v>
      </c>
      <c r="G1725">
        <v>262.19</v>
      </c>
      <c r="H1725">
        <v>2022</v>
      </c>
      <c r="I1725" t="s">
        <v>24</v>
      </c>
      <c r="J1725" s="4">
        <v>0.270298969072165</v>
      </c>
      <c r="K1725" t="s">
        <v>42</v>
      </c>
      <c r="L1725" t="s">
        <v>60</v>
      </c>
      <c r="M1725">
        <v>8</v>
      </c>
      <c r="N1725" t="s">
        <v>63</v>
      </c>
    </row>
    <row r="1726" spans="1:14" x14ac:dyDescent="0.3">
      <c r="A1726" s="1">
        <v>44624</v>
      </c>
      <c r="B1726" t="s">
        <v>31</v>
      </c>
      <c r="C1726" t="s">
        <v>11</v>
      </c>
      <c r="D1726" t="s">
        <v>17</v>
      </c>
      <c r="E1726">
        <v>6</v>
      </c>
      <c r="F1726">
        <v>3456</v>
      </c>
      <c r="G1726">
        <v>307.45999999999998</v>
      </c>
      <c r="H1726">
        <v>2022</v>
      </c>
      <c r="I1726" t="s">
        <v>15</v>
      </c>
      <c r="J1726" s="4">
        <v>8.8964120370370395E-2</v>
      </c>
      <c r="K1726" t="s">
        <v>42</v>
      </c>
      <c r="L1726" t="s">
        <v>55</v>
      </c>
      <c r="M1726">
        <v>3</v>
      </c>
      <c r="N1726" t="s">
        <v>56</v>
      </c>
    </row>
    <row r="1727" spans="1:14" x14ac:dyDescent="0.3">
      <c r="A1727" s="1">
        <v>44820</v>
      </c>
      <c r="B1727" t="s">
        <v>31</v>
      </c>
      <c r="C1727" t="s">
        <v>11</v>
      </c>
      <c r="D1727" t="s">
        <v>12</v>
      </c>
      <c r="E1727">
        <v>2</v>
      </c>
      <c r="F1727">
        <v>966</v>
      </c>
      <c r="G1727">
        <v>241.54</v>
      </c>
      <c r="H1727">
        <v>2022</v>
      </c>
      <c r="I1727" t="s">
        <v>21</v>
      </c>
      <c r="J1727" s="4">
        <v>0.25004140786749501</v>
      </c>
      <c r="K1727" t="s">
        <v>42</v>
      </c>
      <c r="L1727" t="s">
        <v>60</v>
      </c>
      <c r="M1727">
        <v>9</v>
      </c>
      <c r="N1727" t="s">
        <v>61</v>
      </c>
    </row>
    <row r="1728" spans="1:14" x14ac:dyDescent="0.3">
      <c r="A1728" s="1">
        <v>44717</v>
      </c>
      <c r="B1728" t="s">
        <v>31</v>
      </c>
      <c r="C1728" t="s">
        <v>11</v>
      </c>
      <c r="D1728" t="s">
        <v>22</v>
      </c>
      <c r="E1728">
        <v>9</v>
      </c>
      <c r="F1728">
        <v>6417</v>
      </c>
      <c r="G1728">
        <v>1100.52</v>
      </c>
      <c r="H1728">
        <v>2022</v>
      </c>
      <c r="I1728" t="s">
        <v>27</v>
      </c>
      <c r="J1728" s="4">
        <v>0.17150070126227199</v>
      </c>
      <c r="K1728" t="s">
        <v>42</v>
      </c>
      <c r="L1728" t="s">
        <v>59</v>
      </c>
      <c r="M1728">
        <v>6</v>
      </c>
      <c r="N1728" t="s">
        <v>66</v>
      </c>
    </row>
    <row r="1729" spans="1:14" x14ac:dyDescent="0.3">
      <c r="A1729" s="1">
        <v>44693</v>
      </c>
      <c r="B1729" t="s">
        <v>31</v>
      </c>
      <c r="C1729" t="s">
        <v>11</v>
      </c>
      <c r="D1729" t="s">
        <v>17</v>
      </c>
      <c r="E1729">
        <v>1</v>
      </c>
      <c r="F1729">
        <v>1184</v>
      </c>
      <c r="G1729">
        <v>218.27</v>
      </c>
      <c r="H1729">
        <v>2022</v>
      </c>
      <c r="I1729" t="s">
        <v>20</v>
      </c>
      <c r="J1729" s="4">
        <v>0.184349662162162</v>
      </c>
      <c r="K1729" t="s">
        <v>42</v>
      </c>
      <c r="L1729" t="s">
        <v>59</v>
      </c>
      <c r="M1729">
        <v>5</v>
      </c>
      <c r="N1729" t="s">
        <v>20</v>
      </c>
    </row>
    <row r="1730" spans="1:14" x14ac:dyDescent="0.3">
      <c r="A1730" s="1">
        <v>44884</v>
      </c>
      <c r="B1730" t="s">
        <v>31</v>
      </c>
      <c r="C1730" t="s">
        <v>11</v>
      </c>
      <c r="D1730" t="s">
        <v>17</v>
      </c>
      <c r="E1730">
        <v>9</v>
      </c>
      <c r="F1730">
        <v>7146</v>
      </c>
      <c r="G1730">
        <v>2125.44</v>
      </c>
      <c r="H1730">
        <v>2022</v>
      </c>
      <c r="I1730" t="s">
        <v>18</v>
      </c>
      <c r="J1730" s="4">
        <v>0.29743073047858898</v>
      </c>
      <c r="K1730" t="s">
        <v>42</v>
      </c>
      <c r="L1730" t="s">
        <v>52</v>
      </c>
      <c r="M1730">
        <v>11</v>
      </c>
      <c r="N1730" t="s">
        <v>58</v>
      </c>
    </row>
    <row r="1731" spans="1:14" x14ac:dyDescent="0.3">
      <c r="A1731" s="1">
        <v>44894</v>
      </c>
      <c r="B1731" t="s">
        <v>31</v>
      </c>
      <c r="C1731" t="s">
        <v>11</v>
      </c>
      <c r="D1731" t="s">
        <v>22</v>
      </c>
      <c r="E1731">
        <v>9</v>
      </c>
      <c r="F1731">
        <v>4527</v>
      </c>
      <c r="G1731">
        <v>677.34</v>
      </c>
      <c r="H1731">
        <v>2022</v>
      </c>
      <c r="I1731" t="s">
        <v>18</v>
      </c>
      <c r="J1731" s="4">
        <v>0.14962226640158999</v>
      </c>
      <c r="K1731" t="s">
        <v>42</v>
      </c>
      <c r="L1731" t="s">
        <v>52</v>
      </c>
      <c r="M1731">
        <v>11</v>
      </c>
      <c r="N1731" t="s">
        <v>58</v>
      </c>
    </row>
    <row r="1732" spans="1:14" x14ac:dyDescent="0.3">
      <c r="A1732" s="1">
        <v>44835</v>
      </c>
      <c r="B1732" t="s">
        <v>31</v>
      </c>
      <c r="C1732" t="s">
        <v>11</v>
      </c>
      <c r="D1732" t="s">
        <v>19</v>
      </c>
      <c r="E1732">
        <v>8</v>
      </c>
      <c r="F1732">
        <v>4576</v>
      </c>
      <c r="G1732">
        <v>900.04</v>
      </c>
      <c r="H1732">
        <v>2022</v>
      </c>
      <c r="I1732" t="s">
        <v>14</v>
      </c>
      <c r="J1732" s="4">
        <v>0.19668706293706301</v>
      </c>
      <c r="K1732" t="s">
        <v>42</v>
      </c>
      <c r="L1732" t="s">
        <v>52</v>
      </c>
      <c r="M1732">
        <v>10</v>
      </c>
      <c r="N1732" t="s">
        <v>54</v>
      </c>
    </row>
    <row r="1733" spans="1:14" x14ac:dyDescent="0.3">
      <c r="A1733" s="1">
        <v>44577</v>
      </c>
      <c r="B1733" t="s">
        <v>31</v>
      </c>
      <c r="C1733" t="s">
        <v>11</v>
      </c>
      <c r="D1733" t="s">
        <v>17</v>
      </c>
      <c r="E1733">
        <v>3</v>
      </c>
      <c r="F1733">
        <v>231</v>
      </c>
      <c r="G1733">
        <v>36.729999999999997</v>
      </c>
      <c r="H1733">
        <v>2022</v>
      </c>
      <c r="I1733" t="s">
        <v>26</v>
      </c>
      <c r="J1733" s="4">
        <v>0.15900432900432901</v>
      </c>
      <c r="K1733" t="s">
        <v>42</v>
      </c>
      <c r="L1733" t="s">
        <v>55</v>
      </c>
      <c r="M1733">
        <v>1</v>
      </c>
      <c r="N1733" t="s">
        <v>65</v>
      </c>
    </row>
    <row r="1734" spans="1:14" x14ac:dyDescent="0.3">
      <c r="A1734" s="1">
        <v>44863</v>
      </c>
      <c r="B1734" t="s">
        <v>31</v>
      </c>
      <c r="C1734" t="s">
        <v>11</v>
      </c>
      <c r="D1734" t="s">
        <v>19</v>
      </c>
      <c r="E1734">
        <v>6</v>
      </c>
      <c r="F1734">
        <v>480</v>
      </c>
      <c r="G1734">
        <v>131.08000000000001</v>
      </c>
      <c r="H1734">
        <v>2022</v>
      </c>
      <c r="I1734" t="s">
        <v>14</v>
      </c>
      <c r="J1734" s="4">
        <v>0.27308333333333301</v>
      </c>
      <c r="K1734" t="s">
        <v>42</v>
      </c>
      <c r="L1734" t="s">
        <v>52</v>
      </c>
      <c r="M1734">
        <v>10</v>
      </c>
      <c r="N1734" t="s">
        <v>54</v>
      </c>
    </row>
    <row r="1735" spans="1:14" x14ac:dyDescent="0.3">
      <c r="A1735" s="1">
        <v>44585</v>
      </c>
      <c r="B1735" t="s">
        <v>31</v>
      </c>
      <c r="C1735" t="s">
        <v>11</v>
      </c>
      <c r="D1735" t="s">
        <v>17</v>
      </c>
      <c r="E1735">
        <v>9</v>
      </c>
      <c r="F1735">
        <v>6606</v>
      </c>
      <c r="G1735">
        <v>759.55</v>
      </c>
      <c r="H1735">
        <v>2022</v>
      </c>
      <c r="I1735" t="s">
        <v>26</v>
      </c>
      <c r="J1735" s="4">
        <v>0.11497880714502</v>
      </c>
      <c r="K1735" t="s">
        <v>42</v>
      </c>
      <c r="L1735" t="s">
        <v>55</v>
      </c>
      <c r="M1735">
        <v>1</v>
      </c>
      <c r="N1735" t="s">
        <v>65</v>
      </c>
    </row>
    <row r="1736" spans="1:14" x14ac:dyDescent="0.3">
      <c r="A1736" s="1">
        <v>44902</v>
      </c>
      <c r="B1736" t="s">
        <v>31</v>
      </c>
      <c r="C1736" t="s">
        <v>11</v>
      </c>
      <c r="D1736" t="s">
        <v>12</v>
      </c>
      <c r="E1736">
        <v>4</v>
      </c>
      <c r="F1736">
        <v>3732</v>
      </c>
      <c r="G1736">
        <v>468.6</v>
      </c>
      <c r="H1736">
        <v>2022</v>
      </c>
      <c r="I1736" t="s">
        <v>13</v>
      </c>
      <c r="J1736" s="4">
        <v>0.12556270096462999</v>
      </c>
      <c r="K1736" t="s">
        <v>42</v>
      </c>
      <c r="L1736" t="s">
        <v>52</v>
      </c>
      <c r="M1736">
        <v>12</v>
      </c>
      <c r="N1736" t="s">
        <v>53</v>
      </c>
    </row>
    <row r="1737" spans="1:14" x14ac:dyDescent="0.3">
      <c r="A1737" s="1">
        <v>44877</v>
      </c>
      <c r="B1737" t="s">
        <v>31</v>
      </c>
      <c r="C1737" t="s">
        <v>11</v>
      </c>
      <c r="D1737" t="s">
        <v>17</v>
      </c>
      <c r="E1737">
        <v>1</v>
      </c>
      <c r="F1737">
        <v>636</v>
      </c>
      <c r="G1737">
        <v>42.4</v>
      </c>
      <c r="H1737">
        <v>2022</v>
      </c>
      <c r="I1737" t="s">
        <v>18</v>
      </c>
      <c r="J1737" s="4">
        <v>6.6666666666666693E-2</v>
      </c>
      <c r="K1737" t="s">
        <v>42</v>
      </c>
      <c r="L1737" t="s">
        <v>52</v>
      </c>
      <c r="M1737">
        <v>11</v>
      </c>
      <c r="N1737" t="s">
        <v>58</v>
      </c>
    </row>
    <row r="1738" spans="1:14" x14ac:dyDescent="0.3">
      <c r="A1738" s="1">
        <v>44744</v>
      </c>
      <c r="B1738" t="s">
        <v>31</v>
      </c>
      <c r="C1738" t="s">
        <v>11</v>
      </c>
      <c r="D1738" t="s">
        <v>19</v>
      </c>
      <c r="E1738">
        <v>8</v>
      </c>
      <c r="F1738">
        <v>8896</v>
      </c>
      <c r="G1738">
        <v>1825.26</v>
      </c>
      <c r="H1738">
        <v>2022</v>
      </c>
      <c r="I1738" t="s">
        <v>25</v>
      </c>
      <c r="J1738" s="4">
        <v>0.20517760791366901</v>
      </c>
      <c r="K1738" t="s">
        <v>42</v>
      </c>
      <c r="L1738" t="s">
        <v>60</v>
      </c>
      <c r="M1738">
        <v>7</v>
      </c>
      <c r="N1738" t="s">
        <v>64</v>
      </c>
    </row>
    <row r="1739" spans="1:14" x14ac:dyDescent="0.3">
      <c r="A1739" s="1">
        <v>44592</v>
      </c>
      <c r="B1739" t="s">
        <v>31</v>
      </c>
      <c r="C1739" t="s">
        <v>11</v>
      </c>
      <c r="D1739" t="s">
        <v>22</v>
      </c>
      <c r="E1739">
        <v>6</v>
      </c>
      <c r="F1739">
        <v>3366</v>
      </c>
      <c r="G1739">
        <v>460.75</v>
      </c>
      <c r="H1739">
        <v>2022</v>
      </c>
      <c r="I1739" t="s">
        <v>26</v>
      </c>
      <c r="J1739" s="4">
        <v>0.136883541295306</v>
      </c>
      <c r="K1739" t="s">
        <v>42</v>
      </c>
      <c r="L1739" t="s">
        <v>55</v>
      </c>
      <c r="M1739">
        <v>1</v>
      </c>
      <c r="N1739" t="s">
        <v>65</v>
      </c>
    </row>
    <row r="1740" spans="1:14" x14ac:dyDescent="0.3">
      <c r="A1740" s="1">
        <v>44817</v>
      </c>
      <c r="B1740" t="s">
        <v>31</v>
      </c>
      <c r="C1740" t="s">
        <v>11</v>
      </c>
      <c r="D1740" t="s">
        <v>19</v>
      </c>
      <c r="E1740">
        <v>4</v>
      </c>
      <c r="F1740">
        <v>3364</v>
      </c>
      <c r="G1740">
        <v>527.28</v>
      </c>
      <c r="H1740">
        <v>2022</v>
      </c>
      <c r="I1740" t="s">
        <v>21</v>
      </c>
      <c r="J1740" s="4">
        <v>0.15674197384066599</v>
      </c>
      <c r="K1740" t="s">
        <v>42</v>
      </c>
      <c r="L1740" t="s">
        <v>60</v>
      </c>
      <c r="M1740">
        <v>9</v>
      </c>
      <c r="N1740" t="s">
        <v>61</v>
      </c>
    </row>
    <row r="1741" spans="1:14" x14ac:dyDescent="0.3">
      <c r="A1741" s="1">
        <v>44662</v>
      </c>
      <c r="B1741" t="s">
        <v>31</v>
      </c>
      <c r="C1741" t="s">
        <v>11</v>
      </c>
      <c r="D1741" t="s">
        <v>19</v>
      </c>
      <c r="E1741">
        <v>9</v>
      </c>
      <c r="F1741">
        <v>8145</v>
      </c>
      <c r="G1741">
        <v>2384.42</v>
      </c>
      <c r="H1741">
        <v>2022</v>
      </c>
      <c r="I1741" t="s">
        <v>23</v>
      </c>
      <c r="J1741" s="4">
        <v>0.29274647022713302</v>
      </c>
      <c r="K1741" t="s">
        <v>42</v>
      </c>
      <c r="L1741" t="s">
        <v>59</v>
      </c>
      <c r="M1741">
        <v>4</v>
      </c>
      <c r="N1741" t="s">
        <v>62</v>
      </c>
    </row>
    <row r="1742" spans="1:14" x14ac:dyDescent="0.3">
      <c r="A1742" s="1">
        <v>44913</v>
      </c>
      <c r="B1742" t="s">
        <v>31</v>
      </c>
      <c r="C1742" t="s">
        <v>11</v>
      </c>
      <c r="D1742" t="s">
        <v>22</v>
      </c>
      <c r="E1742">
        <v>4</v>
      </c>
      <c r="F1742">
        <v>4056</v>
      </c>
      <c r="G1742">
        <v>768.81</v>
      </c>
      <c r="H1742">
        <v>2022</v>
      </c>
      <c r="I1742" t="s">
        <v>13</v>
      </c>
      <c r="J1742" s="4">
        <v>0.18954881656804701</v>
      </c>
      <c r="K1742" t="s">
        <v>42</v>
      </c>
      <c r="L1742" t="s">
        <v>52</v>
      </c>
      <c r="M1742">
        <v>12</v>
      </c>
      <c r="N1742" t="s">
        <v>53</v>
      </c>
    </row>
    <row r="1743" spans="1:14" x14ac:dyDescent="0.3">
      <c r="A1743" s="1">
        <v>44906</v>
      </c>
      <c r="B1743" t="s">
        <v>31</v>
      </c>
      <c r="C1743" t="s">
        <v>11</v>
      </c>
      <c r="D1743" t="s">
        <v>22</v>
      </c>
      <c r="E1743">
        <v>5</v>
      </c>
      <c r="F1743">
        <v>950</v>
      </c>
      <c r="G1743">
        <v>61.9</v>
      </c>
      <c r="H1743">
        <v>2022</v>
      </c>
      <c r="I1743" t="s">
        <v>13</v>
      </c>
      <c r="J1743" s="4">
        <v>6.5157894736842095E-2</v>
      </c>
      <c r="K1743" t="s">
        <v>42</v>
      </c>
      <c r="L1743" t="s">
        <v>52</v>
      </c>
      <c r="M1743">
        <v>12</v>
      </c>
      <c r="N1743" t="s">
        <v>53</v>
      </c>
    </row>
    <row r="1744" spans="1:14" x14ac:dyDescent="0.3">
      <c r="A1744" s="1">
        <v>45208</v>
      </c>
      <c r="B1744" t="s">
        <v>32</v>
      </c>
      <c r="C1744" t="s">
        <v>33</v>
      </c>
      <c r="D1744" t="s">
        <v>17</v>
      </c>
      <c r="E1744">
        <v>7</v>
      </c>
      <c r="F1744">
        <v>6167</v>
      </c>
      <c r="G1744">
        <v>1027.98</v>
      </c>
      <c r="H1744">
        <v>2023</v>
      </c>
      <c r="I1744" t="s">
        <v>14</v>
      </c>
      <c r="J1744" s="4">
        <v>0.16669044916490999</v>
      </c>
      <c r="K1744" t="s">
        <v>40</v>
      </c>
      <c r="L1744" t="s">
        <v>52</v>
      </c>
      <c r="M1744">
        <v>10</v>
      </c>
      <c r="N1744" t="s">
        <v>54</v>
      </c>
    </row>
    <row r="1745" spans="1:14" x14ac:dyDescent="0.3">
      <c r="A1745" s="1">
        <v>45204</v>
      </c>
      <c r="B1745" t="s">
        <v>32</v>
      </c>
      <c r="C1745" t="s">
        <v>33</v>
      </c>
      <c r="D1745" t="s">
        <v>17</v>
      </c>
      <c r="E1745">
        <v>1</v>
      </c>
      <c r="F1745">
        <v>662</v>
      </c>
      <c r="G1745">
        <v>193.92</v>
      </c>
      <c r="H1745">
        <v>2023</v>
      </c>
      <c r="I1745" t="s">
        <v>14</v>
      </c>
      <c r="J1745" s="4">
        <v>0.29293051359516598</v>
      </c>
      <c r="K1745" t="s">
        <v>40</v>
      </c>
      <c r="L1745" t="s">
        <v>52</v>
      </c>
      <c r="M1745">
        <v>10</v>
      </c>
      <c r="N1745" t="s">
        <v>54</v>
      </c>
    </row>
    <row r="1746" spans="1:14" x14ac:dyDescent="0.3">
      <c r="A1746" s="1">
        <v>44964</v>
      </c>
      <c r="B1746" t="s">
        <v>32</v>
      </c>
      <c r="C1746" t="s">
        <v>33</v>
      </c>
      <c r="D1746" t="s">
        <v>22</v>
      </c>
      <c r="E1746">
        <v>4</v>
      </c>
      <c r="F1746">
        <v>3252</v>
      </c>
      <c r="G1746">
        <v>713.46</v>
      </c>
      <c r="H1746">
        <v>2023</v>
      </c>
      <c r="I1746" t="s">
        <v>16</v>
      </c>
      <c r="J1746" s="4">
        <v>0.21939114391143899</v>
      </c>
      <c r="K1746" t="s">
        <v>40</v>
      </c>
      <c r="L1746" t="s">
        <v>55</v>
      </c>
      <c r="M1746">
        <v>2</v>
      </c>
      <c r="N1746" t="s">
        <v>57</v>
      </c>
    </row>
    <row r="1747" spans="1:14" x14ac:dyDescent="0.3">
      <c r="A1747" s="1">
        <v>45050</v>
      </c>
      <c r="B1747" t="s">
        <v>32</v>
      </c>
      <c r="C1747" t="s">
        <v>33</v>
      </c>
      <c r="D1747" t="s">
        <v>17</v>
      </c>
      <c r="E1747">
        <v>3</v>
      </c>
      <c r="F1747">
        <v>2739</v>
      </c>
      <c r="G1747">
        <v>202.81</v>
      </c>
      <c r="H1747">
        <v>2023</v>
      </c>
      <c r="I1747" t="s">
        <v>20</v>
      </c>
      <c r="J1747" s="4">
        <v>7.4045271997079207E-2</v>
      </c>
      <c r="K1747" t="s">
        <v>40</v>
      </c>
      <c r="L1747" t="s">
        <v>59</v>
      </c>
      <c r="M1747">
        <v>5</v>
      </c>
      <c r="N1747" t="s">
        <v>20</v>
      </c>
    </row>
    <row r="1748" spans="1:14" x14ac:dyDescent="0.3">
      <c r="A1748" s="1">
        <v>45189</v>
      </c>
      <c r="B1748" t="s">
        <v>32</v>
      </c>
      <c r="C1748" t="s">
        <v>33</v>
      </c>
      <c r="D1748" t="s">
        <v>19</v>
      </c>
      <c r="E1748">
        <v>4</v>
      </c>
      <c r="F1748">
        <v>804</v>
      </c>
      <c r="G1748">
        <v>121.51</v>
      </c>
      <c r="H1748">
        <v>2023</v>
      </c>
      <c r="I1748" t="s">
        <v>21</v>
      </c>
      <c r="J1748" s="4">
        <v>0.15113184079601999</v>
      </c>
      <c r="K1748" t="s">
        <v>40</v>
      </c>
      <c r="L1748" t="s">
        <v>60</v>
      </c>
      <c r="M1748">
        <v>9</v>
      </c>
      <c r="N1748" t="s">
        <v>61</v>
      </c>
    </row>
    <row r="1749" spans="1:14" x14ac:dyDescent="0.3">
      <c r="A1749" s="1">
        <v>45288</v>
      </c>
      <c r="B1749" t="s">
        <v>32</v>
      </c>
      <c r="C1749" t="s">
        <v>33</v>
      </c>
      <c r="D1749" t="s">
        <v>19</v>
      </c>
      <c r="E1749">
        <v>7</v>
      </c>
      <c r="F1749">
        <v>8155</v>
      </c>
      <c r="G1749">
        <v>1587.91</v>
      </c>
      <c r="H1749">
        <v>2023</v>
      </c>
      <c r="I1749" t="s">
        <v>13</v>
      </c>
      <c r="J1749" s="4">
        <v>0.19471612507663999</v>
      </c>
      <c r="K1749" t="s">
        <v>40</v>
      </c>
      <c r="L1749" t="s">
        <v>52</v>
      </c>
      <c r="M1749">
        <v>12</v>
      </c>
      <c r="N1749" t="s">
        <v>53</v>
      </c>
    </row>
    <row r="1750" spans="1:14" x14ac:dyDescent="0.3">
      <c r="A1750" s="1">
        <v>45017</v>
      </c>
      <c r="B1750" t="s">
        <v>32</v>
      </c>
      <c r="C1750" t="s">
        <v>33</v>
      </c>
      <c r="D1750" t="s">
        <v>17</v>
      </c>
      <c r="E1750">
        <v>2</v>
      </c>
      <c r="F1750">
        <v>2262</v>
      </c>
      <c r="G1750">
        <v>532.12</v>
      </c>
      <c r="H1750">
        <v>2023</v>
      </c>
      <c r="I1750" t="s">
        <v>23</v>
      </c>
      <c r="J1750" s="4">
        <v>0.23524314765694099</v>
      </c>
      <c r="K1750" t="s">
        <v>40</v>
      </c>
      <c r="L1750" t="s">
        <v>59</v>
      </c>
      <c r="M1750">
        <v>4</v>
      </c>
      <c r="N1750" t="s">
        <v>62</v>
      </c>
    </row>
    <row r="1751" spans="1:14" x14ac:dyDescent="0.3">
      <c r="A1751" s="1">
        <v>45011</v>
      </c>
      <c r="B1751" t="s">
        <v>32</v>
      </c>
      <c r="C1751" t="s">
        <v>33</v>
      </c>
      <c r="D1751" t="s">
        <v>22</v>
      </c>
      <c r="E1751">
        <v>6</v>
      </c>
      <c r="F1751">
        <v>5592</v>
      </c>
      <c r="G1751">
        <v>1294.1600000000001</v>
      </c>
      <c r="H1751">
        <v>2023</v>
      </c>
      <c r="I1751" t="s">
        <v>15</v>
      </c>
      <c r="J1751" s="4">
        <v>0.23143061516452099</v>
      </c>
      <c r="K1751" t="s">
        <v>40</v>
      </c>
      <c r="L1751" t="s">
        <v>55</v>
      </c>
      <c r="M1751">
        <v>3</v>
      </c>
      <c r="N1751" t="s">
        <v>56</v>
      </c>
    </row>
    <row r="1752" spans="1:14" x14ac:dyDescent="0.3">
      <c r="A1752" s="1">
        <v>45043</v>
      </c>
      <c r="B1752" t="s">
        <v>32</v>
      </c>
      <c r="C1752" t="s">
        <v>33</v>
      </c>
      <c r="D1752" t="s">
        <v>17</v>
      </c>
      <c r="E1752">
        <v>3</v>
      </c>
      <c r="F1752">
        <v>3021</v>
      </c>
      <c r="G1752">
        <v>872.49</v>
      </c>
      <c r="H1752">
        <v>2023</v>
      </c>
      <c r="I1752" t="s">
        <v>23</v>
      </c>
      <c r="J1752" s="4">
        <v>0.28880834160873903</v>
      </c>
      <c r="K1752" t="s">
        <v>40</v>
      </c>
      <c r="L1752" t="s">
        <v>59</v>
      </c>
      <c r="M1752">
        <v>4</v>
      </c>
      <c r="N1752" t="s">
        <v>62</v>
      </c>
    </row>
    <row r="1753" spans="1:14" x14ac:dyDescent="0.3">
      <c r="A1753" s="1">
        <v>45250</v>
      </c>
      <c r="B1753" t="s">
        <v>32</v>
      </c>
      <c r="C1753" t="s">
        <v>33</v>
      </c>
      <c r="D1753" t="s">
        <v>17</v>
      </c>
      <c r="E1753">
        <v>8</v>
      </c>
      <c r="F1753">
        <v>824</v>
      </c>
      <c r="G1753">
        <v>240.84</v>
      </c>
      <c r="H1753">
        <v>2023</v>
      </c>
      <c r="I1753" t="s">
        <v>18</v>
      </c>
      <c r="J1753" s="4">
        <v>0.292281553398058</v>
      </c>
      <c r="K1753" t="s">
        <v>40</v>
      </c>
      <c r="L1753" t="s">
        <v>52</v>
      </c>
      <c r="M1753">
        <v>11</v>
      </c>
      <c r="N1753" t="s">
        <v>58</v>
      </c>
    </row>
    <row r="1754" spans="1:14" x14ac:dyDescent="0.3">
      <c r="A1754" s="1">
        <v>45021</v>
      </c>
      <c r="B1754" t="s">
        <v>32</v>
      </c>
      <c r="C1754" t="s">
        <v>33</v>
      </c>
      <c r="D1754" t="s">
        <v>12</v>
      </c>
      <c r="E1754">
        <v>5</v>
      </c>
      <c r="F1754">
        <v>1550</v>
      </c>
      <c r="G1754">
        <v>203.51</v>
      </c>
      <c r="H1754">
        <v>2023</v>
      </c>
      <c r="I1754" t="s">
        <v>23</v>
      </c>
      <c r="J1754" s="4">
        <v>0.13129677419354799</v>
      </c>
      <c r="K1754" t="s">
        <v>40</v>
      </c>
      <c r="L1754" t="s">
        <v>59</v>
      </c>
      <c r="M1754">
        <v>4</v>
      </c>
      <c r="N1754" t="s">
        <v>62</v>
      </c>
    </row>
    <row r="1755" spans="1:14" x14ac:dyDescent="0.3">
      <c r="A1755" s="1">
        <v>45142</v>
      </c>
      <c r="B1755" t="s">
        <v>32</v>
      </c>
      <c r="C1755" t="s">
        <v>33</v>
      </c>
      <c r="D1755" t="s">
        <v>19</v>
      </c>
      <c r="E1755">
        <v>4</v>
      </c>
      <c r="F1755">
        <v>4168</v>
      </c>
      <c r="G1755">
        <v>650.15</v>
      </c>
      <c r="H1755">
        <v>2023</v>
      </c>
      <c r="I1755" t="s">
        <v>24</v>
      </c>
      <c r="J1755" s="4">
        <v>0.15598608445297499</v>
      </c>
      <c r="K1755" t="s">
        <v>40</v>
      </c>
      <c r="L1755" t="s">
        <v>60</v>
      </c>
      <c r="M1755">
        <v>8</v>
      </c>
      <c r="N1755" t="s">
        <v>63</v>
      </c>
    </row>
    <row r="1756" spans="1:14" x14ac:dyDescent="0.3">
      <c r="A1756" s="1">
        <v>45182</v>
      </c>
      <c r="B1756" t="s">
        <v>32</v>
      </c>
      <c r="C1756" t="s">
        <v>33</v>
      </c>
      <c r="D1756" t="s">
        <v>22</v>
      </c>
      <c r="E1756">
        <v>4</v>
      </c>
      <c r="F1756">
        <v>4700</v>
      </c>
      <c r="G1756">
        <v>914.6</v>
      </c>
      <c r="H1756">
        <v>2023</v>
      </c>
      <c r="I1756" t="s">
        <v>21</v>
      </c>
      <c r="J1756" s="4">
        <v>0.194595744680851</v>
      </c>
      <c r="K1756" t="s">
        <v>40</v>
      </c>
      <c r="L1756" t="s">
        <v>60</v>
      </c>
      <c r="M1756">
        <v>9</v>
      </c>
      <c r="N1756" t="s">
        <v>61</v>
      </c>
    </row>
    <row r="1757" spans="1:14" x14ac:dyDescent="0.3">
      <c r="A1757" s="1">
        <v>45175</v>
      </c>
      <c r="B1757" t="s">
        <v>32</v>
      </c>
      <c r="C1757" t="s">
        <v>33</v>
      </c>
      <c r="D1757" t="s">
        <v>17</v>
      </c>
      <c r="E1757">
        <v>6</v>
      </c>
      <c r="F1757">
        <v>4656</v>
      </c>
      <c r="G1757">
        <v>673.35</v>
      </c>
      <c r="H1757">
        <v>2023</v>
      </c>
      <c r="I1757" t="s">
        <v>21</v>
      </c>
      <c r="J1757" s="4">
        <v>0.14461984536082501</v>
      </c>
      <c r="K1757" t="s">
        <v>40</v>
      </c>
      <c r="L1757" t="s">
        <v>60</v>
      </c>
      <c r="M1757">
        <v>9</v>
      </c>
      <c r="N1757" t="s">
        <v>61</v>
      </c>
    </row>
    <row r="1758" spans="1:14" x14ac:dyDescent="0.3">
      <c r="A1758" s="1">
        <v>45014</v>
      </c>
      <c r="B1758" t="s">
        <v>32</v>
      </c>
      <c r="C1758" t="s">
        <v>33</v>
      </c>
      <c r="D1758" t="s">
        <v>17</v>
      </c>
      <c r="E1758">
        <v>2</v>
      </c>
      <c r="F1758">
        <v>330</v>
      </c>
      <c r="G1758">
        <v>21.46</v>
      </c>
      <c r="H1758">
        <v>2023</v>
      </c>
      <c r="I1758" t="s">
        <v>15</v>
      </c>
      <c r="J1758" s="4">
        <v>6.5030303030302994E-2</v>
      </c>
      <c r="K1758" t="s">
        <v>40</v>
      </c>
      <c r="L1758" t="s">
        <v>55</v>
      </c>
      <c r="M1758">
        <v>3</v>
      </c>
      <c r="N1758" t="s">
        <v>56</v>
      </c>
    </row>
    <row r="1759" spans="1:14" x14ac:dyDescent="0.3">
      <c r="A1759" s="1">
        <v>45170</v>
      </c>
      <c r="B1759" t="s">
        <v>32</v>
      </c>
      <c r="C1759" t="s">
        <v>33</v>
      </c>
      <c r="D1759" t="s">
        <v>12</v>
      </c>
      <c r="E1759">
        <v>7</v>
      </c>
      <c r="F1759">
        <v>8071</v>
      </c>
      <c r="G1759">
        <v>1799.06</v>
      </c>
      <c r="H1759">
        <v>2023</v>
      </c>
      <c r="I1759" t="s">
        <v>21</v>
      </c>
      <c r="J1759" s="4">
        <v>0.22290422500309801</v>
      </c>
      <c r="K1759" t="s">
        <v>40</v>
      </c>
      <c r="L1759" t="s">
        <v>60</v>
      </c>
      <c r="M1759">
        <v>9</v>
      </c>
      <c r="N1759" t="s">
        <v>61</v>
      </c>
    </row>
    <row r="1760" spans="1:14" x14ac:dyDescent="0.3">
      <c r="A1760" s="1">
        <v>45103</v>
      </c>
      <c r="B1760" t="s">
        <v>32</v>
      </c>
      <c r="C1760" t="s">
        <v>33</v>
      </c>
      <c r="D1760" t="s">
        <v>22</v>
      </c>
      <c r="E1760">
        <v>1</v>
      </c>
      <c r="F1760">
        <v>260</v>
      </c>
      <c r="G1760">
        <v>16.809999999999999</v>
      </c>
      <c r="H1760">
        <v>2023</v>
      </c>
      <c r="I1760" t="s">
        <v>27</v>
      </c>
      <c r="J1760" s="4">
        <v>6.4653846153846201E-2</v>
      </c>
      <c r="K1760" t="s">
        <v>40</v>
      </c>
      <c r="L1760" t="s">
        <v>59</v>
      </c>
      <c r="M1760">
        <v>6</v>
      </c>
      <c r="N1760" t="s">
        <v>66</v>
      </c>
    </row>
    <row r="1761" spans="1:14" x14ac:dyDescent="0.3">
      <c r="A1761" s="1">
        <v>45006</v>
      </c>
      <c r="B1761" t="s">
        <v>32</v>
      </c>
      <c r="C1761" t="s">
        <v>33</v>
      </c>
      <c r="D1761" t="s">
        <v>17</v>
      </c>
      <c r="E1761">
        <v>3</v>
      </c>
      <c r="F1761">
        <v>2706</v>
      </c>
      <c r="G1761">
        <v>546.97</v>
      </c>
      <c r="H1761">
        <v>2023</v>
      </c>
      <c r="I1761" t="s">
        <v>15</v>
      </c>
      <c r="J1761" s="4">
        <v>0.20213229859571299</v>
      </c>
      <c r="K1761" t="s">
        <v>40</v>
      </c>
      <c r="L1761" t="s">
        <v>55</v>
      </c>
      <c r="M1761">
        <v>3</v>
      </c>
      <c r="N1761" t="s">
        <v>56</v>
      </c>
    </row>
    <row r="1762" spans="1:14" x14ac:dyDescent="0.3">
      <c r="A1762" s="1">
        <v>45132</v>
      </c>
      <c r="B1762" t="s">
        <v>32</v>
      </c>
      <c r="C1762" t="s">
        <v>33</v>
      </c>
      <c r="D1762" t="s">
        <v>22</v>
      </c>
      <c r="E1762">
        <v>7</v>
      </c>
      <c r="F1762">
        <v>8113</v>
      </c>
      <c r="G1762">
        <v>995.03</v>
      </c>
      <c r="H1762">
        <v>2023</v>
      </c>
      <c r="I1762" t="s">
        <v>25</v>
      </c>
      <c r="J1762" s="4">
        <v>0.12264637002341899</v>
      </c>
      <c r="K1762" t="s">
        <v>40</v>
      </c>
      <c r="L1762" t="s">
        <v>60</v>
      </c>
      <c r="M1762">
        <v>7</v>
      </c>
      <c r="N1762" t="s">
        <v>64</v>
      </c>
    </row>
    <row r="1763" spans="1:14" x14ac:dyDescent="0.3">
      <c r="A1763" s="1">
        <v>44952</v>
      </c>
      <c r="B1763" t="s">
        <v>32</v>
      </c>
      <c r="C1763" t="s">
        <v>33</v>
      </c>
      <c r="D1763" t="s">
        <v>17</v>
      </c>
      <c r="E1763">
        <v>3</v>
      </c>
      <c r="F1763">
        <v>1830</v>
      </c>
      <c r="G1763">
        <v>183.62</v>
      </c>
      <c r="H1763">
        <v>2023</v>
      </c>
      <c r="I1763" t="s">
        <v>26</v>
      </c>
      <c r="J1763" s="4">
        <v>0.100338797814208</v>
      </c>
      <c r="K1763" t="s">
        <v>40</v>
      </c>
      <c r="L1763" t="s">
        <v>55</v>
      </c>
      <c r="M1763">
        <v>1</v>
      </c>
      <c r="N1763" t="s">
        <v>65</v>
      </c>
    </row>
    <row r="1764" spans="1:14" x14ac:dyDescent="0.3">
      <c r="A1764" s="1">
        <v>44958</v>
      </c>
      <c r="B1764" t="s">
        <v>32</v>
      </c>
      <c r="C1764" t="s">
        <v>33</v>
      </c>
      <c r="D1764" t="s">
        <v>12</v>
      </c>
      <c r="E1764">
        <v>7</v>
      </c>
      <c r="F1764">
        <v>1624</v>
      </c>
      <c r="G1764">
        <v>436.13</v>
      </c>
      <c r="H1764">
        <v>2023</v>
      </c>
      <c r="I1764" t="s">
        <v>16</v>
      </c>
      <c r="J1764" s="4">
        <v>0.26855295566502502</v>
      </c>
      <c r="K1764" t="s">
        <v>40</v>
      </c>
      <c r="L1764" t="s">
        <v>55</v>
      </c>
      <c r="M1764">
        <v>2</v>
      </c>
      <c r="N1764" t="s">
        <v>57</v>
      </c>
    </row>
    <row r="1765" spans="1:14" x14ac:dyDescent="0.3">
      <c r="A1765" s="1">
        <v>45017</v>
      </c>
      <c r="B1765" t="s">
        <v>32</v>
      </c>
      <c r="C1765" t="s">
        <v>33</v>
      </c>
      <c r="D1765" t="s">
        <v>17</v>
      </c>
      <c r="E1765">
        <v>1</v>
      </c>
      <c r="F1765">
        <v>68</v>
      </c>
      <c r="G1765">
        <v>10.39</v>
      </c>
      <c r="H1765">
        <v>2023</v>
      </c>
      <c r="I1765" t="s">
        <v>23</v>
      </c>
      <c r="J1765" s="4">
        <v>0.152794117647059</v>
      </c>
      <c r="K1765" t="s">
        <v>40</v>
      </c>
      <c r="L1765" t="s">
        <v>59</v>
      </c>
      <c r="M1765">
        <v>4</v>
      </c>
      <c r="N1765" t="s">
        <v>62</v>
      </c>
    </row>
    <row r="1766" spans="1:14" x14ac:dyDescent="0.3">
      <c r="A1766" s="1">
        <v>45252</v>
      </c>
      <c r="B1766" t="s">
        <v>32</v>
      </c>
      <c r="C1766" t="s">
        <v>33</v>
      </c>
      <c r="D1766" t="s">
        <v>17</v>
      </c>
      <c r="E1766">
        <v>1</v>
      </c>
      <c r="F1766">
        <v>247</v>
      </c>
      <c r="G1766">
        <v>35.65</v>
      </c>
      <c r="H1766">
        <v>2023</v>
      </c>
      <c r="I1766" t="s">
        <v>18</v>
      </c>
      <c r="J1766" s="4">
        <v>0.144331983805668</v>
      </c>
      <c r="K1766" t="s">
        <v>40</v>
      </c>
      <c r="L1766" t="s">
        <v>52</v>
      </c>
      <c r="M1766">
        <v>11</v>
      </c>
      <c r="N1766" t="s">
        <v>58</v>
      </c>
    </row>
    <row r="1767" spans="1:14" x14ac:dyDescent="0.3">
      <c r="A1767" s="1">
        <v>45036</v>
      </c>
      <c r="B1767" t="s">
        <v>32</v>
      </c>
      <c r="C1767" t="s">
        <v>33</v>
      </c>
      <c r="D1767" t="s">
        <v>12</v>
      </c>
      <c r="E1767">
        <v>7</v>
      </c>
      <c r="F1767">
        <v>6811</v>
      </c>
      <c r="G1767">
        <v>1423.57</v>
      </c>
      <c r="H1767">
        <v>2023</v>
      </c>
      <c r="I1767" t="s">
        <v>23</v>
      </c>
      <c r="J1767" s="4">
        <v>0.20901042431361</v>
      </c>
      <c r="K1767" t="s">
        <v>40</v>
      </c>
      <c r="L1767" t="s">
        <v>59</v>
      </c>
      <c r="M1767">
        <v>4</v>
      </c>
      <c r="N1767" t="s">
        <v>62</v>
      </c>
    </row>
    <row r="1768" spans="1:14" x14ac:dyDescent="0.3">
      <c r="A1768" s="1">
        <v>44981</v>
      </c>
      <c r="B1768" t="s">
        <v>32</v>
      </c>
      <c r="C1768" t="s">
        <v>33</v>
      </c>
      <c r="D1768" t="s">
        <v>19</v>
      </c>
      <c r="E1768">
        <v>6</v>
      </c>
      <c r="F1768">
        <v>5358</v>
      </c>
      <c r="G1768">
        <v>568.34</v>
      </c>
      <c r="H1768">
        <v>2023</v>
      </c>
      <c r="I1768" t="s">
        <v>16</v>
      </c>
      <c r="J1768" s="4">
        <v>0.106073161627473</v>
      </c>
      <c r="K1768" t="s">
        <v>40</v>
      </c>
      <c r="L1768" t="s">
        <v>55</v>
      </c>
      <c r="M1768">
        <v>2</v>
      </c>
      <c r="N1768" t="s">
        <v>57</v>
      </c>
    </row>
    <row r="1769" spans="1:14" x14ac:dyDescent="0.3">
      <c r="A1769" s="1">
        <v>45065</v>
      </c>
      <c r="B1769" t="s">
        <v>32</v>
      </c>
      <c r="C1769" t="s">
        <v>33</v>
      </c>
      <c r="D1769" t="s">
        <v>22</v>
      </c>
      <c r="E1769">
        <v>9</v>
      </c>
      <c r="F1769">
        <v>4905</v>
      </c>
      <c r="G1769">
        <v>1351.25</v>
      </c>
      <c r="H1769">
        <v>2023</v>
      </c>
      <c r="I1769" t="s">
        <v>20</v>
      </c>
      <c r="J1769" s="4">
        <v>0.27548419979612598</v>
      </c>
      <c r="K1769" t="s">
        <v>40</v>
      </c>
      <c r="L1769" t="s">
        <v>59</v>
      </c>
      <c r="M1769">
        <v>5</v>
      </c>
      <c r="N1769" t="s">
        <v>20</v>
      </c>
    </row>
    <row r="1770" spans="1:14" x14ac:dyDescent="0.3">
      <c r="A1770" s="1">
        <v>45013</v>
      </c>
      <c r="B1770" t="s">
        <v>32</v>
      </c>
      <c r="C1770" t="s">
        <v>33</v>
      </c>
      <c r="D1770" t="s">
        <v>12</v>
      </c>
      <c r="E1770">
        <v>3</v>
      </c>
      <c r="F1770">
        <v>2295</v>
      </c>
      <c r="G1770">
        <v>244.83</v>
      </c>
      <c r="H1770">
        <v>2023</v>
      </c>
      <c r="I1770" t="s">
        <v>15</v>
      </c>
      <c r="J1770" s="4">
        <v>0.10667973856209199</v>
      </c>
      <c r="K1770" t="s">
        <v>40</v>
      </c>
      <c r="L1770" t="s">
        <v>55</v>
      </c>
      <c r="M1770">
        <v>3</v>
      </c>
      <c r="N1770" t="s">
        <v>56</v>
      </c>
    </row>
    <row r="1771" spans="1:14" x14ac:dyDescent="0.3">
      <c r="A1771" s="1">
        <v>44940</v>
      </c>
      <c r="B1771" t="s">
        <v>32</v>
      </c>
      <c r="C1771" t="s">
        <v>33</v>
      </c>
      <c r="D1771" t="s">
        <v>17</v>
      </c>
      <c r="E1771">
        <v>4</v>
      </c>
      <c r="F1771">
        <v>1664</v>
      </c>
      <c r="G1771">
        <v>190.82</v>
      </c>
      <c r="H1771">
        <v>2023</v>
      </c>
      <c r="I1771" t="s">
        <v>26</v>
      </c>
      <c r="J1771" s="4">
        <v>0.11467548076923099</v>
      </c>
      <c r="K1771" t="s">
        <v>40</v>
      </c>
      <c r="L1771" t="s">
        <v>55</v>
      </c>
      <c r="M1771">
        <v>1</v>
      </c>
      <c r="N1771" t="s">
        <v>65</v>
      </c>
    </row>
    <row r="1772" spans="1:14" x14ac:dyDescent="0.3">
      <c r="A1772" s="1">
        <v>45214</v>
      </c>
      <c r="B1772" t="s">
        <v>32</v>
      </c>
      <c r="C1772" t="s">
        <v>33</v>
      </c>
      <c r="D1772" t="s">
        <v>12</v>
      </c>
      <c r="E1772">
        <v>9</v>
      </c>
      <c r="F1772">
        <v>8496</v>
      </c>
      <c r="G1772">
        <v>1721.6</v>
      </c>
      <c r="H1772">
        <v>2023</v>
      </c>
      <c r="I1772" t="s">
        <v>14</v>
      </c>
      <c r="J1772" s="4">
        <v>0.202636534839925</v>
      </c>
      <c r="K1772" t="s">
        <v>40</v>
      </c>
      <c r="L1772" t="s">
        <v>52</v>
      </c>
      <c r="M1772">
        <v>10</v>
      </c>
      <c r="N1772" t="s">
        <v>54</v>
      </c>
    </row>
    <row r="1773" spans="1:14" x14ac:dyDescent="0.3">
      <c r="A1773" s="1">
        <v>44995</v>
      </c>
      <c r="B1773" t="s">
        <v>32</v>
      </c>
      <c r="C1773" t="s">
        <v>33</v>
      </c>
      <c r="D1773" t="s">
        <v>12</v>
      </c>
      <c r="E1773">
        <v>9</v>
      </c>
      <c r="F1773">
        <v>1899</v>
      </c>
      <c r="G1773">
        <v>501.4</v>
      </c>
      <c r="H1773">
        <v>2023</v>
      </c>
      <c r="I1773" t="s">
        <v>15</v>
      </c>
      <c r="J1773" s="4">
        <v>0.26403370194839398</v>
      </c>
      <c r="K1773" t="s">
        <v>40</v>
      </c>
      <c r="L1773" t="s">
        <v>55</v>
      </c>
      <c r="M1773">
        <v>3</v>
      </c>
      <c r="N1773" t="s">
        <v>56</v>
      </c>
    </row>
    <row r="1774" spans="1:14" x14ac:dyDescent="0.3">
      <c r="A1774" s="1">
        <v>45015</v>
      </c>
      <c r="B1774" t="s">
        <v>32</v>
      </c>
      <c r="C1774" t="s">
        <v>33</v>
      </c>
      <c r="D1774" t="s">
        <v>19</v>
      </c>
      <c r="E1774">
        <v>5</v>
      </c>
      <c r="F1774">
        <v>2325</v>
      </c>
      <c r="G1774">
        <v>506.32</v>
      </c>
      <c r="H1774">
        <v>2023</v>
      </c>
      <c r="I1774" t="s">
        <v>15</v>
      </c>
      <c r="J1774" s="4">
        <v>0.21777204301075301</v>
      </c>
      <c r="K1774" t="s">
        <v>40</v>
      </c>
      <c r="L1774" t="s">
        <v>55</v>
      </c>
      <c r="M1774">
        <v>3</v>
      </c>
      <c r="N1774" t="s">
        <v>56</v>
      </c>
    </row>
    <row r="1775" spans="1:14" x14ac:dyDescent="0.3">
      <c r="A1775" s="1">
        <v>45130</v>
      </c>
      <c r="B1775" t="s">
        <v>32</v>
      </c>
      <c r="C1775" t="s">
        <v>33</v>
      </c>
      <c r="D1775" t="s">
        <v>22</v>
      </c>
      <c r="E1775">
        <v>4</v>
      </c>
      <c r="F1775">
        <v>3888</v>
      </c>
      <c r="G1775">
        <v>810.08</v>
      </c>
      <c r="H1775">
        <v>2023</v>
      </c>
      <c r="I1775" t="s">
        <v>25</v>
      </c>
      <c r="J1775" s="4">
        <v>0.208353909465021</v>
      </c>
      <c r="K1775" t="s">
        <v>40</v>
      </c>
      <c r="L1775" t="s">
        <v>60</v>
      </c>
      <c r="M1775">
        <v>7</v>
      </c>
      <c r="N1775" t="s">
        <v>64</v>
      </c>
    </row>
    <row r="1776" spans="1:14" x14ac:dyDescent="0.3">
      <c r="A1776" s="1">
        <v>45061</v>
      </c>
      <c r="B1776" t="s">
        <v>32</v>
      </c>
      <c r="C1776" t="s">
        <v>33</v>
      </c>
      <c r="D1776" t="s">
        <v>17</v>
      </c>
      <c r="E1776">
        <v>1</v>
      </c>
      <c r="F1776">
        <v>1012</v>
      </c>
      <c r="G1776">
        <v>164.89</v>
      </c>
      <c r="H1776">
        <v>2023</v>
      </c>
      <c r="I1776" t="s">
        <v>20</v>
      </c>
      <c r="J1776" s="4">
        <v>0.16293478260869601</v>
      </c>
      <c r="K1776" t="s">
        <v>40</v>
      </c>
      <c r="L1776" t="s">
        <v>59</v>
      </c>
      <c r="M1776">
        <v>5</v>
      </c>
      <c r="N1776" t="s">
        <v>20</v>
      </c>
    </row>
    <row r="1777" spans="1:14" x14ac:dyDescent="0.3">
      <c r="A1777" s="1">
        <v>45153</v>
      </c>
      <c r="B1777" t="s">
        <v>32</v>
      </c>
      <c r="C1777" t="s">
        <v>33</v>
      </c>
      <c r="D1777" t="s">
        <v>22</v>
      </c>
      <c r="E1777">
        <v>2</v>
      </c>
      <c r="F1777">
        <v>352</v>
      </c>
      <c r="G1777">
        <v>54.19</v>
      </c>
      <c r="H1777">
        <v>2023</v>
      </c>
      <c r="I1777" t="s">
        <v>24</v>
      </c>
      <c r="J1777" s="4">
        <v>0.15394886363636401</v>
      </c>
      <c r="K1777" t="s">
        <v>40</v>
      </c>
      <c r="L1777" t="s">
        <v>60</v>
      </c>
      <c r="M1777">
        <v>8</v>
      </c>
      <c r="N1777" t="s">
        <v>63</v>
      </c>
    </row>
    <row r="1778" spans="1:14" x14ac:dyDescent="0.3">
      <c r="A1778" s="1">
        <v>45069</v>
      </c>
      <c r="B1778" t="s">
        <v>32</v>
      </c>
      <c r="C1778" t="s">
        <v>33</v>
      </c>
      <c r="D1778" t="s">
        <v>22</v>
      </c>
      <c r="E1778">
        <v>1</v>
      </c>
      <c r="F1778">
        <v>202</v>
      </c>
      <c r="G1778">
        <v>11.24</v>
      </c>
      <c r="H1778">
        <v>2023</v>
      </c>
      <c r="I1778" t="s">
        <v>20</v>
      </c>
      <c r="J1778" s="4">
        <v>5.5643564356435603E-2</v>
      </c>
      <c r="K1778" t="s">
        <v>40</v>
      </c>
      <c r="L1778" t="s">
        <v>59</v>
      </c>
      <c r="M1778">
        <v>5</v>
      </c>
      <c r="N1778" t="s">
        <v>20</v>
      </c>
    </row>
    <row r="1779" spans="1:14" x14ac:dyDescent="0.3">
      <c r="A1779" s="1">
        <v>44986</v>
      </c>
      <c r="B1779" t="s">
        <v>32</v>
      </c>
      <c r="C1779" t="s">
        <v>33</v>
      </c>
      <c r="D1779" t="s">
        <v>22</v>
      </c>
      <c r="E1779">
        <v>6</v>
      </c>
      <c r="F1779">
        <v>3048</v>
      </c>
      <c r="G1779">
        <v>842.24</v>
      </c>
      <c r="H1779">
        <v>2023</v>
      </c>
      <c r="I1779" t="s">
        <v>15</v>
      </c>
      <c r="J1779" s="4">
        <v>0.27632545931758501</v>
      </c>
      <c r="K1779" t="s">
        <v>40</v>
      </c>
      <c r="L1779" t="s">
        <v>55</v>
      </c>
      <c r="M1779">
        <v>3</v>
      </c>
      <c r="N1779" t="s">
        <v>56</v>
      </c>
    </row>
    <row r="1780" spans="1:14" x14ac:dyDescent="0.3">
      <c r="A1780" s="1">
        <v>45180</v>
      </c>
      <c r="B1780" t="s">
        <v>32</v>
      </c>
      <c r="C1780" t="s">
        <v>33</v>
      </c>
      <c r="D1780" t="s">
        <v>17</v>
      </c>
      <c r="E1780">
        <v>6</v>
      </c>
      <c r="F1780">
        <v>798</v>
      </c>
      <c r="G1780">
        <v>213.4</v>
      </c>
      <c r="H1780">
        <v>2023</v>
      </c>
      <c r="I1780" t="s">
        <v>21</v>
      </c>
      <c r="J1780" s="4">
        <v>0.267418546365915</v>
      </c>
      <c r="K1780" t="s">
        <v>40</v>
      </c>
      <c r="L1780" t="s">
        <v>60</v>
      </c>
      <c r="M1780">
        <v>9</v>
      </c>
      <c r="N1780" t="s">
        <v>61</v>
      </c>
    </row>
    <row r="1781" spans="1:14" x14ac:dyDescent="0.3">
      <c r="A1781" s="1">
        <v>45161</v>
      </c>
      <c r="B1781" t="s">
        <v>32</v>
      </c>
      <c r="C1781" t="s">
        <v>33</v>
      </c>
      <c r="D1781" t="s">
        <v>17</v>
      </c>
      <c r="E1781">
        <v>1</v>
      </c>
      <c r="F1781">
        <v>1077</v>
      </c>
      <c r="G1781">
        <v>77.97</v>
      </c>
      <c r="H1781">
        <v>2023</v>
      </c>
      <c r="I1781" t="s">
        <v>24</v>
      </c>
      <c r="J1781" s="4">
        <v>7.2395543175487506E-2</v>
      </c>
      <c r="K1781" t="s">
        <v>40</v>
      </c>
      <c r="L1781" t="s">
        <v>60</v>
      </c>
      <c r="M1781">
        <v>8</v>
      </c>
      <c r="N1781" t="s">
        <v>63</v>
      </c>
    </row>
    <row r="1782" spans="1:14" x14ac:dyDescent="0.3">
      <c r="A1782" s="1">
        <v>45242</v>
      </c>
      <c r="B1782" t="s">
        <v>32</v>
      </c>
      <c r="C1782" t="s">
        <v>33</v>
      </c>
      <c r="D1782" t="s">
        <v>12</v>
      </c>
      <c r="E1782">
        <v>2</v>
      </c>
      <c r="F1782">
        <v>1126</v>
      </c>
      <c r="G1782">
        <v>204.99</v>
      </c>
      <c r="H1782">
        <v>2023</v>
      </c>
      <c r="I1782" t="s">
        <v>18</v>
      </c>
      <c r="J1782" s="4">
        <v>0.18205150976909401</v>
      </c>
      <c r="K1782" t="s">
        <v>40</v>
      </c>
      <c r="L1782" t="s">
        <v>52</v>
      </c>
      <c r="M1782">
        <v>11</v>
      </c>
      <c r="N1782" t="s">
        <v>58</v>
      </c>
    </row>
    <row r="1783" spans="1:14" x14ac:dyDescent="0.3">
      <c r="A1783" s="1">
        <v>45085</v>
      </c>
      <c r="B1783" t="s">
        <v>32</v>
      </c>
      <c r="C1783" t="s">
        <v>33</v>
      </c>
      <c r="D1783" t="s">
        <v>12</v>
      </c>
      <c r="E1783">
        <v>5</v>
      </c>
      <c r="F1783">
        <v>2080</v>
      </c>
      <c r="G1783">
        <v>614.77</v>
      </c>
      <c r="H1783">
        <v>2023</v>
      </c>
      <c r="I1783" t="s">
        <v>27</v>
      </c>
      <c r="J1783" s="4">
        <v>0.29556250000000001</v>
      </c>
      <c r="K1783" t="s">
        <v>40</v>
      </c>
      <c r="L1783" t="s">
        <v>59</v>
      </c>
      <c r="M1783">
        <v>6</v>
      </c>
      <c r="N1783" t="s">
        <v>66</v>
      </c>
    </row>
    <row r="1784" spans="1:14" x14ac:dyDescent="0.3">
      <c r="A1784" s="1">
        <v>45265</v>
      </c>
      <c r="B1784" t="s">
        <v>32</v>
      </c>
      <c r="C1784" t="s">
        <v>33</v>
      </c>
      <c r="D1784" t="s">
        <v>17</v>
      </c>
      <c r="E1784">
        <v>8</v>
      </c>
      <c r="F1784">
        <v>7096</v>
      </c>
      <c r="G1784">
        <v>991.23</v>
      </c>
      <c r="H1784">
        <v>2023</v>
      </c>
      <c r="I1784" t="s">
        <v>13</v>
      </c>
      <c r="J1784" s="4">
        <v>0.139688556933484</v>
      </c>
      <c r="K1784" t="s">
        <v>40</v>
      </c>
      <c r="L1784" t="s">
        <v>52</v>
      </c>
      <c r="M1784">
        <v>12</v>
      </c>
      <c r="N1784" t="s">
        <v>53</v>
      </c>
    </row>
    <row r="1785" spans="1:14" x14ac:dyDescent="0.3">
      <c r="A1785" s="1">
        <v>45234</v>
      </c>
      <c r="B1785" t="s">
        <v>32</v>
      </c>
      <c r="C1785" t="s">
        <v>33</v>
      </c>
      <c r="D1785" t="s">
        <v>19</v>
      </c>
      <c r="E1785">
        <v>1</v>
      </c>
      <c r="F1785">
        <v>1011</v>
      </c>
      <c r="G1785">
        <v>186.42</v>
      </c>
      <c r="H1785">
        <v>2023</v>
      </c>
      <c r="I1785" t="s">
        <v>18</v>
      </c>
      <c r="J1785" s="4">
        <v>0.184391691394659</v>
      </c>
      <c r="K1785" t="s">
        <v>40</v>
      </c>
      <c r="L1785" t="s">
        <v>52</v>
      </c>
      <c r="M1785">
        <v>11</v>
      </c>
      <c r="N1785" t="s">
        <v>58</v>
      </c>
    </row>
    <row r="1786" spans="1:14" x14ac:dyDescent="0.3">
      <c r="A1786" s="1">
        <v>45258</v>
      </c>
      <c r="B1786" t="s">
        <v>32</v>
      </c>
      <c r="C1786" t="s">
        <v>33</v>
      </c>
      <c r="D1786" t="s">
        <v>19</v>
      </c>
      <c r="E1786">
        <v>3</v>
      </c>
      <c r="F1786">
        <v>1143</v>
      </c>
      <c r="G1786">
        <v>275.04000000000002</v>
      </c>
      <c r="H1786">
        <v>2023</v>
      </c>
      <c r="I1786" t="s">
        <v>18</v>
      </c>
      <c r="J1786" s="4">
        <v>0.240629921259843</v>
      </c>
      <c r="K1786" t="s">
        <v>40</v>
      </c>
      <c r="L1786" t="s">
        <v>52</v>
      </c>
      <c r="M1786">
        <v>11</v>
      </c>
      <c r="N1786" t="s">
        <v>58</v>
      </c>
    </row>
    <row r="1787" spans="1:14" x14ac:dyDescent="0.3">
      <c r="A1787" s="1">
        <v>45156</v>
      </c>
      <c r="B1787" t="s">
        <v>32</v>
      </c>
      <c r="C1787" t="s">
        <v>33</v>
      </c>
      <c r="D1787" t="s">
        <v>22</v>
      </c>
      <c r="E1787">
        <v>4</v>
      </c>
      <c r="F1787">
        <v>1960</v>
      </c>
      <c r="G1787">
        <v>234.88</v>
      </c>
      <c r="H1787">
        <v>2023</v>
      </c>
      <c r="I1787" t="s">
        <v>24</v>
      </c>
      <c r="J1787" s="4">
        <v>0.119836734693878</v>
      </c>
      <c r="K1787" t="s">
        <v>40</v>
      </c>
      <c r="L1787" t="s">
        <v>60</v>
      </c>
      <c r="M1787">
        <v>8</v>
      </c>
      <c r="N1787" t="s">
        <v>63</v>
      </c>
    </row>
    <row r="1788" spans="1:14" x14ac:dyDescent="0.3">
      <c r="A1788" s="1">
        <v>45276</v>
      </c>
      <c r="B1788" t="s">
        <v>32</v>
      </c>
      <c r="C1788" t="s">
        <v>33</v>
      </c>
      <c r="D1788" t="s">
        <v>12</v>
      </c>
      <c r="E1788">
        <v>7</v>
      </c>
      <c r="F1788">
        <v>8050</v>
      </c>
      <c r="G1788">
        <v>2129.9699999999998</v>
      </c>
      <c r="H1788">
        <v>2023</v>
      </c>
      <c r="I1788" t="s">
        <v>13</v>
      </c>
      <c r="J1788" s="4">
        <v>0.26459254658385101</v>
      </c>
      <c r="K1788" t="s">
        <v>40</v>
      </c>
      <c r="L1788" t="s">
        <v>52</v>
      </c>
      <c r="M1788">
        <v>12</v>
      </c>
      <c r="N1788" t="s">
        <v>53</v>
      </c>
    </row>
    <row r="1789" spans="1:14" x14ac:dyDescent="0.3">
      <c r="A1789" s="1">
        <v>45277</v>
      </c>
      <c r="B1789" t="s">
        <v>32</v>
      </c>
      <c r="C1789" t="s">
        <v>33</v>
      </c>
      <c r="D1789" t="s">
        <v>22</v>
      </c>
      <c r="E1789">
        <v>1</v>
      </c>
      <c r="F1789">
        <v>351</v>
      </c>
      <c r="G1789">
        <v>32.61</v>
      </c>
      <c r="H1789">
        <v>2023</v>
      </c>
      <c r="I1789" t="s">
        <v>13</v>
      </c>
      <c r="J1789" s="4">
        <v>9.2905982905982898E-2</v>
      </c>
      <c r="K1789" t="s">
        <v>40</v>
      </c>
      <c r="L1789" t="s">
        <v>52</v>
      </c>
      <c r="M1789">
        <v>12</v>
      </c>
      <c r="N1789" t="s">
        <v>53</v>
      </c>
    </row>
    <row r="1790" spans="1:14" x14ac:dyDescent="0.3">
      <c r="A1790" s="1">
        <v>45227</v>
      </c>
      <c r="B1790" t="s">
        <v>32</v>
      </c>
      <c r="C1790" t="s">
        <v>33</v>
      </c>
      <c r="D1790" t="s">
        <v>12</v>
      </c>
      <c r="E1790">
        <v>1</v>
      </c>
      <c r="F1790">
        <v>526</v>
      </c>
      <c r="G1790">
        <v>108.88</v>
      </c>
      <c r="H1790">
        <v>2023</v>
      </c>
      <c r="I1790" t="s">
        <v>14</v>
      </c>
      <c r="J1790" s="4">
        <v>0.20699619771863101</v>
      </c>
      <c r="K1790" t="s">
        <v>40</v>
      </c>
      <c r="L1790" t="s">
        <v>52</v>
      </c>
      <c r="M1790">
        <v>10</v>
      </c>
      <c r="N1790" t="s">
        <v>54</v>
      </c>
    </row>
    <row r="1791" spans="1:14" x14ac:dyDescent="0.3">
      <c r="A1791" s="1">
        <v>45060</v>
      </c>
      <c r="B1791" t="s">
        <v>32</v>
      </c>
      <c r="C1791" t="s">
        <v>33</v>
      </c>
      <c r="D1791" t="s">
        <v>17</v>
      </c>
      <c r="E1791">
        <v>6</v>
      </c>
      <c r="F1791">
        <v>1662</v>
      </c>
      <c r="G1791">
        <v>416.3</v>
      </c>
      <c r="H1791">
        <v>2023</v>
      </c>
      <c r="I1791" t="s">
        <v>20</v>
      </c>
      <c r="J1791" s="4">
        <v>0.25048134777376702</v>
      </c>
      <c r="K1791" t="s">
        <v>40</v>
      </c>
      <c r="L1791" t="s">
        <v>59</v>
      </c>
      <c r="M1791">
        <v>5</v>
      </c>
      <c r="N1791" t="s">
        <v>20</v>
      </c>
    </row>
    <row r="1792" spans="1:14" x14ac:dyDescent="0.3">
      <c r="A1792" s="1">
        <v>44995</v>
      </c>
      <c r="B1792" t="s">
        <v>32</v>
      </c>
      <c r="C1792" t="s">
        <v>33</v>
      </c>
      <c r="D1792" t="s">
        <v>22</v>
      </c>
      <c r="E1792">
        <v>1</v>
      </c>
      <c r="F1792">
        <v>365</v>
      </c>
      <c r="G1792">
        <v>50.1</v>
      </c>
      <c r="H1792">
        <v>2023</v>
      </c>
      <c r="I1792" t="s">
        <v>15</v>
      </c>
      <c r="J1792" s="4">
        <v>0.13726027397260299</v>
      </c>
      <c r="K1792" t="s">
        <v>40</v>
      </c>
      <c r="L1792" t="s">
        <v>55</v>
      </c>
      <c r="M1792">
        <v>3</v>
      </c>
      <c r="N1792" t="s">
        <v>56</v>
      </c>
    </row>
    <row r="1793" spans="1:14" x14ac:dyDescent="0.3">
      <c r="A1793" s="1">
        <v>45134</v>
      </c>
      <c r="B1793" t="s">
        <v>32</v>
      </c>
      <c r="C1793" t="s">
        <v>33</v>
      </c>
      <c r="D1793" t="s">
        <v>19</v>
      </c>
      <c r="E1793">
        <v>6</v>
      </c>
      <c r="F1793">
        <v>3990</v>
      </c>
      <c r="G1793">
        <v>975.5</v>
      </c>
      <c r="H1793">
        <v>2023</v>
      </c>
      <c r="I1793" t="s">
        <v>25</v>
      </c>
      <c r="J1793" s="4">
        <v>0.244486215538847</v>
      </c>
      <c r="K1793" t="s">
        <v>40</v>
      </c>
      <c r="L1793" t="s">
        <v>60</v>
      </c>
      <c r="M1793">
        <v>7</v>
      </c>
      <c r="N1793" t="s">
        <v>64</v>
      </c>
    </row>
    <row r="1794" spans="1:14" x14ac:dyDescent="0.3">
      <c r="A1794" s="1">
        <v>44978</v>
      </c>
      <c r="B1794" t="s">
        <v>32</v>
      </c>
      <c r="C1794" t="s">
        <v>33</v>
      </c>
      <c r="D1794" t="s">
        <v>12</v>
      </c>
      <c r="E1794">
        <v>9</v>
      </c>
      <c r="F1794">
        <v>7776</v>
      </c>
      <c r="G1794">
        <v>677.74</v>
      </c>
      <c r="H1794">
        <v>2023</v>
      </c>
      <c r="I1794" t="s">
        <v>16</v>
      </c>
      <c r="J1794" s="4">
        <v>8.7157921810699604E-2</v>
      </c>
      <c r="K1794" t="s">
        <v>40</v>
      </c>
      <c r="L1794" t="s">
        <v>55</v>
      </c>
      <c r="M1794">
        <v>2</v>
      </c>
      <c r="N1794" t="s">
        <v>57</v>
      </c>
    </row>
    <row r="1795" spans="1:14" x14ac:dyDescent="0.3">
      <c r="A1795" s="1">
        <v>44954</v>
      </c>
      <c r="B1795" t="s">
        <v>32</v>
      </c>
      <c r="C1795" t="s">
        <v>33</v>
      </c>
      <c r="D1795" t="s">
        <v>17</v>
      </c>
      <c r="E1795">
        <v>1</v>
      </c>
      <c r="F1795">
        <v>426</v>
      </c>
      <c r="G1795">
        <v>93.83</v>
      </c>
      <c r="H1795">
        <v>2023</v>
      </c>
      <c r="I1795" t="s">
        <v>26</v>
      </c>
      <c r="J1795" s="4">
        <v>0.220258215962441</v>
      </c>
      <c r="K1795" t="s">
        <v>40</v>
      </c>
      <c r="L1795" t="s">
        <v>55</v>
      </c>
      <c r="M1795">
        <v>1</v>
      </c>
      <c r="N1795" t="s">
        <v>65</v>
      </c>
    </row>
    <row r="1796" spans="1:14" x14ac:dyDescent="0.3">
      <c r="A1796" s="1">
        <v>45064</v>
      </c>
      <c r="B1796" t="s">
        <v>32</v>
      </c>
      <c r="C1796" t="s">
        <v>33</v>
      </c>
      <c r="D1796" t="s">
        <v>12</v>
      </c>
      <c r="E1796">
        <v>9</v>
      </c>
      <c r="F1796">
        <v>10134</v>
      </c>
      <c r="G1796">
        <v>1334.37</v>
      </c>
      <c r="H1796">
        <v>2023</v>
      </c>
      <c r="I1796" t="s">
        <v>20</v>
      </c>
      <c r="J1796" s="4">
        <v>0.13167258732978099</v>
      </c>
      <c r="K1796" t="s">
        <v>40</v>
      </c>
      <c r="L1796" t="s">
        <v>59</v>
      </c>
      <c r="M1796">
        <v>5</v>
      </c>
      <c r="N1796" t="s">
        <v>20</v>
      </c>
    </row>
    <row r="1797" spans="1:14" x14ac:dyDescent="0.3">
      <c r="A1797" s="1">
        <v>45168</v>
      </c>
      <c r="B1797" t="s">
        <v>32</v>
      </c>
      <c r="C1797" t="s">
        <v>33</v>
      </c>
      <c r="D1797" t="s">
        <v>19</v>
      </c>
      <c r="E1797">
        <v>1</v>
      </c>
      <c r="F1797">
        <v>111</v>
      </c>
      <c r="G1797">
        <v>27.91</v>
      </c>
      <c r="H1797">
        <v>2023</v>
      </c>
      <c r="I1797" t="s">
        <v>24</v>
      </c>
      <c r="J1797" s="4">
        <v>0.25144144144144098</v>
      </c>
      <c r="K1797" t="s">
        <v>40</v>
      </c>
      <c r="L1797" t="s">
        <v>60</v>
      </c>
      <c r="M1797">
        <v>8</v>
      </c>
      <c r="N1797" t="s">
        <v>63</v>
      </c>
    </row>
    <row r="1798" spans="1:14" x14ac:dyDescent="0.3">
      <c r="A1798" s="1">
        <v>45158</v>
      </c>
      <c r="B1798" t="s">
        <v>32</v>
      </c>
      <c r="C1798" t="s">
        <v>33</v>
      </c>
      <c r="D1798" t="s">
        <v>19</v>
      </c>
      <c r="E1798">
        <v>6</v>
      </c>
      <c r="F1798">
        <v>2748</v>
      </c>
      <c r="G1798">
        <v>682.8</v>
      </c>
      <c r="H1798">
        <v>2023</v>
      </c>
      <c r="I1798" t="s">
        <v>24</v>
      </c>
      <c r="J1798" s="4">
        <v>0.24847161572052401</v>
      </c>
      <c r="K1798" t="s">
        <v>40</v>
      </c>
      <c r="L1798" t="s">
        <v>60</v>
      </c>
      <c r="M1798">
        <v>8</v>
      </c>
      <c r="N1798" t="s">
        <v>63</v>
      </c>
    </row>
    <row r="1799" spans="1:14" x14ac:dyDescent="0.3">
      <c r="A1799" s="1">
        <v>45212</v>
      </c>
      <c r="B1799" t="s">
        <v>32</v>
      </c>
      <c r="C1799" t="s">
        <v>33</v>
      </c>
      <c r="D1799" t="s">
        <v>19</v>
      </c>
      <c r="E1799">
        <v>2</v>
      </c>
      <c r="F1799">
        <v>414</v>
      </c>
      <c r="G1799">
        <v>51.1</v>
      </c>
      <c r="H1799">
        <v>2023</v>
      </c>
      <c r="I1799" t="s">
        <v>14</v>
      </c>
      <c r="J1799" s="4">
        <v>0.12342995169082099</v>
      </c>
      <c r="K1799" t="s">
        <v>40</v>
      </c>
      <c r="L1799" t="s">
        <v>52</v>
      </c>
      <c r="M1799">
        <v>10</v>
      </c>
      <c r="N1799" t="s">
        <v>54</v>
      </c>
    </row>
    <row r="1800" spans="1:14" x14ac:dyDescent="0.3">
      <c r="A1800" s="1">
        <v>45122</v>
      </c>
      <c r="B1800" t="s">
        <v>32</v>
      </c>
      <c r="C1800" t="s">
        <v>33</v>
      </c>
      <c r="D1800" t="s">
        <v>17</v>
      </c>
      <c r="E1800">
        <v>9</v>
      </c>
      <c r="F1800">
        <v>5949</v>
      </c>
      <c r="G1800">
        <v>626.91999999999996</v>
      </c>
      <c r="H1800">
        <v>2023</v>
      </c>
      <c r="I1800" t="s">
        <v>25</v>
      </c>
      <c r="J1800" s="4">
        <v>0.105382417212977</v>
      </c>
      <c r="K1800" t="s">
        <v>40</v>
      </c>
      <c r="L1800" t="s">
        <v>60</v>
      </c>
      <c r="M1800">
        <v>7</v>
      </c>
      <c r="N1800" t="s">
        <v>64</v>
      </c>
    </row>
    <row r="1801" spans="1:14" x14ac:dyDescent="0.3">
      <c r="A1801" s="1">
        <v>45021</v>
      </c>
      <c r="B1801" t="s">
        <v>32</v>
      </c>
      <c r="C1801" t="s">
        <v>33</v>
      </c>
      <c r="D1801" t="s">
        <v>12</v>
      </c>
      <c r="E1801">
        <v>7</v>
      </c>
      <c r="F1801">
        <v>2457</v>
      </c>
      <c r="G1801">
        <v>388.11</v>
      </c>
      <c r="H1801">
        <v>2023</v>
      </c>
      <c r="I1801" t="s">
        <v>23</v>
      </c>
      <c r="J1801" s="4">
        <v>0.157960927960928</v>
      </c>
      <c r="K1801" t="s">
        <v>40</v>
      </c>
      <c r="L1801" t="s">
        <v>59</v>
      </c>
      <c r="M1801">
        <v>4</v>
      </c>
      <c r="N1801" t="s">
        <v>62</v>
      </c>
    </row>
    <row r="1802" spans="1:14" x14ac:dyDescent="0.3">
      <c r="A1802" s="1">
        <v>45183</v>
      </c>
      <c r="B1802" t="s">
        <v>32</v>
      </c>
      <c r="C1802" t="s">
        <v>33</v>
      </c>
      <c r="D1802" t="s">
        <v>12</v>
      </c>
      <c r="E1802">
        <v>8</v>
      </c>
      <c r="F1802">
        <v>5312</v>
      </c>
      <c r="G1802">
        <v>1583</v>
      </c>
      <c r="H1802">
        <v>2023</v>
      </c>
      <c r="I1802" t="s">
        <v>21</v>
      </c>
      <c r="J1802" s="4">
        <v>0.298004518072289</v>
      </c>
      <c r="K1802" t="s">
        <v>40</v>
      </c>
      <c r="L1802" t="s">
        <v>60</v>
      </c>
      <c r="M1802">
        <v>9</v>
      </c>
      <c r="N1802" t="s">
        <v>61</v>
      </c>
    </row>
    <row r="1803" spans="1:14" x14ac:dyDescent="0.3">
      <c r="A1803" s="1">
        <v>45284</v>
      </c>
      <c r="B1803" t="s">
        <v>32</v>
      </c>
      <c r="C1803" t="s">
        <v>33</v>
      </c>
      <c r="D1803" t="s">
        <v>19</v>
      </c>
      <c r="E1803">
        <v>8</v>
      </c>
      <c r="F1803">
        <v>8200</v>
      </c>
      <c r="G1803">
        <v>1978.93</v>
      </c>
      <c r="H1803">
        <v>2023</v>
      </c>
      <c r="I1803" t="s">
        <v>13</v>
      </c>
      <c r="J1803" s="4">
        <v>0.24133292682926799</v>
      </c>
      <c r="K1803" t="s">
        <v>40</v>
      </c>
      <c r="L1803" t="s">
        <v>52</v>
      </c>
      <c r="M1803">
        <v>12</v>
      </c>
      <c r="N1803" t="s">
        <v>53</v>
      </c>
    </row>
    <row r="1804" spans="1:14" x14ac:dyDescent="0.3">
      <c r="A1804" s="1">
        <v>45126</v>
      </c>
      <c r="B1804" t="s">
        <v>32</v>
      </c>
      <c r="C1804" t="s">
        <v>33</v>
      </c>
      <c r="D1804" t="s">
        <v>12</v>
      </c>
      <c r="E1804">
        <v>2</v>
      </c>
      <c r="F1804">
        <v>1856</v>
      </c>
      <c r="G1804">
        <v>468.19</v>
      </c>
      <c r="H1804">
        <v>2023</v>
      </c>
      <c r="I1804" t="s">
        <v>25</v>
      </c>
      <c r="J1804" s="4">
        <v>0.252257543103448</v>
      </c>
      <c r="K1804" t="s">
        <v>40</v>
      </c>
      <c r="L1804" t="s">
        <v>60</v>
      </c>
      <c r="M1804">
        <v>7</v>
      </c>
      <c r="N1804" t="s">
        <v>64</v>
      </c>
    </row>
    <row r="1805" spans="1:14" x14ac:dyDescent="0.3">
      <c r="A1805" s="1">
        <v>44999</v>
      </c>
      <c r="B1805" t="s">
        <v>32</v>
      </c>
      <c r="C1805" t="s">
        <v>33</v>
      </c>
      <c r="D1805" t="s">
        <v>19</v>
      </c>
      <c r="E1805">
        <v>8</v>
      </c>
      <c r="F1805">
        <v>4200</v>
      </c>
      <c r="G1805">
        <v>854.89</v>
      </c>
      <c r="H1805">
        <v>2023</v>
      </c>
      <c r="I1805" t="s">
        <v>15</v>
      </c>
      <c r="J1805" s="4">
        <v>0.203545238095238</v>
      </c>
      <c r="K1805" t="s">
        <v>40</v>
      </c>
      <c r="L1805" t="s">
        <v>55</v>
      </c>
      <c r="M1805">
        <v>3</v>
      </c>
      <c r="N1805" t="s">
        <v>56</v>
      </c>
    </row>
    <row r="1806" spans="1:14" x14ac:dyDescent="0.3">
      <c r="A1806" s="1">
        <v>45181</v>
      </c>
      <c r="B1806" t="s">
        <v>32</v>
      </c>
      <c r="C1806" t="s">
        <v>33</v>
      </c>
      <c r="D1806" t="s">
        <v>22</v>
      </c>
      <c r="E1806">
        <v>6</v>
      </c>
      <c r="F1806">
        <v>420</v>
      </c>
      <c r="G1806">
        <v>65.62</v>
      </c>
      <c r="H1806">
        <v>2023</v>
      </c>
      <c r="I1806" t="s">
        <v>21</v>
      </c>
      <c r="J1806" s="4">
        <v>0.15623809523809501</v>
      </c>
      <c r="K1806" t="s">
        <v>40</v>
      </c>
      <c r="L1806" t="s">
        <v>60</v>
      </c>
      <c r="M1806">
        <v>9</v>
      </c>
      <c r="N1806" t="s">
        <v>61</v>
      </c>
    </row>
    <row r="1807" spans="1:14" x14ac:dyDescent="0.3">
      <c r="A1807" s="1">
        <v>45252</v>
      </c>
      <c r="B1807" t="s">
        <v>32</v>
      </c>
      <c r="C1807" t="s">
        <v>33</v>
      </c>
      <c r="D1807" t="s">
        <v>12</v>
      </c>
      <c r="E1807">
        <v>2</v>
      </c>
      <c r="F1807">
        <v>1548</v>
      </c>
      <c r="G1807">
        <v>157.47999999999999</v>
      </c>
      <c r="H1807">
        <v>2023</v>
      </c>
      <c r="I1807" t="s">
        <v>18</v>
      </c>
      <c r="J1807" s="4">
        <v>0.10173126614987101</v>
      </c>
      <c r="K1807" t="s">
        <v>40</v>
      </c>
      <c r="L1807" t="s">
        <v>52</v>
      </c>
      <c r="M1807">
        <v>11</v>
      </c>
      <c r="N1807" t="s">
        <v>58</v>
      </c>
    </row>
    <row r="1808" spans="1:14" x14ac:dyDescent="0.3">
      <c r="A1808" s="1">
        <v>45019</v>
      </c>
      <c r="B1808" t="s">
        <v>32</v>
      </c>
      <c r="C1808" t="s">
        <v>33</v>
      </c>
      <c r="D1808" t="s">
        <v>22</v>
      </c>
      <c r="E1808">
        <v>3</v>
      </c>
      <c r="F1808">
        <v>735</v>
      </c>
      <c r="G1808">
        <v>217.79</v>
      </c>
      <c r="H1808">
        <v>2023</v>
      </c>
      <c r="I1808" t="s">
        <v>23</v>
      </c>
      <c r="J1808" s="4">
        <v>0.29631292517006802</v>
      </c>
      <c r="K1808" t="s">
        <v>40</v>
      </c>
      <c r="L1808" t="s">
        <v>59</v>
      </c>
      <c r="M1808">
        <v>4</v>
      </c>
      <c r="N1808" t="s">
        <v>62</v>
      </c>
    </row>
    <row r="1809" spans="1:14" x14ac:dyDescent="0.3">
      <c r="A1809" s="1">
        <v>44970</v>
      </c>
      <c r="B1809" t="s">
        <v>32</v>
      </c>
      <c r="C1809" t="s">
        <v>33</v>
      </c>
      <c r="D1809" t="s">
        <v>12</v>
      </c>
      <c r="E1809">
        <v>1</v>
      </c>
      <c r="F1809">
        <v>307</v>
      </c>
      <c r="G1809">
        <v>60.51</v>
      </c>
      <c r="H1809">
        <v>2023</v>
      </c>
      <c r="I1809" t="s">
        <v>16</v>
      </c>
      <c r="J1809" s="4">
        <v>0.19710097719869701</v>
      </c>
      <c r="K1809" t="s">
        <v>40</v>
      </c>
      <c r="L1809" t="s">
        <v>55</v>
      </c>
      <c r="M1809">
        <v>2</v>
      </c>
      <c r="N1809" t="s">
        <v>57</v>
      </c>
    </row>
    <row r="1810" spans="1:14" x14ac:dyDescent="0.3">
      <c r="A1810" s="1">
        <v>44998</v>
      </c>
      <c r="B1810" t="s">
        <v>32</v>
      </c>
      <c r="C1810" t="s">
        <v>33</v>
      </c>
      <c r="D1810" t="s">
        <v>19</v>
      </c>
      <c r="E1810">
        <v>9</v>
      </c>
      <c r="F1810">
        <v>2223</v>
      </c>
      <c r="G1810">
        <v>347.01</v>
      </c>
      <c r="H1810">
        <v>2023</v>
      </c>
      <c r="I1810" t="s">
        <v>15</v>
      </c>
      <c r="J1810" s="4">
        <v>0.156099865047233</v>
      </c>
      <c r="K1810" t="s">
        <v>40</v>
      </c>
      <c r="L1810" t="s">
        <v>55</v>
      </c>
      <c r="M1810">
        <v>3</v>
      </c>
      <c r="N1810" t="s">
        <v>56</v>
      </c>
    </row>
    <row r="1811" spans="1:14" x14ac:dyDescent="0.3">
      <c r="A1811" s="1">
        <v>45177</v>
      </c>
      <c r="B1811" t="s">
        <v>32</v>
      </c>
      <c r="C1811" t="s">
        <v>33</v>
      </c>
      <c r="D1811" t="s">
        <v>12</v>
      </c>
      <c r="E1811">
        <v>7</v>
      </c>
      <c r="F1811">
        <v>4732</v>
      </c>
      <c r="G1811">
        <v>1084.28</v>
      </c>
      <c r="H1811">
        <v>2023</v>
      </c>
      <c r="I1811" t="s">
        <v>21</v>
      </c>
      <c r="J1811" s="4">
        <v>0.22913778529163101</v>
      </c>
      <c r="K1811" t="s">
        <v>40</v>
      </c>
      <c r="L1811" t="s">
        <v>60</v>
      </c>
      <c r="M1811">
        <v>9</v>
      </c>
      <c r="N1811" t="s">
        <v>61</v>
      </c>
    </row>
    <row r="1812" spans="1:14" x14ac:dyDescent="0.3">
      <c r="A1812" s="1">
        <v>45208</v>
      </c>
      <c r="B1812" t="s">
        <v>32</v>
      </c>
      <c r="C1812" t="s">
        <v>33</v>
      </c>
      <c r="D1812" t="s">
        <v>22</v>
      </c>
      <c r="E1812">
        <v>4</v>
      </c>
      <c r="F1812">
        <v>1396</v>
      </c>
      <c r="G1812">
        <v>135.47999999999999</v>
      </c>
      <c r="H1812">
        <v>2023</v>
      </c>
      <c r="I1812" t="s">
        <v>14</v>
      </c>
      <c r="J1812" s="4">
        <v>9.7048710601719199E-2</v>
      </c>
      <c r="K1812" t="s">
        <v>40</v>
      </c>
      <c r="L1812" t="s">
        <v>52</v>
      </c>
      <c r="M1812">
        <v>10</v>
      </c>
      <c r="N1812" t="s">
        <v>54</v>
      </c>
    </row>
    <row r="1813" spans="1:14" x14ac:dyDescent="0.3">
      <c r="A1813" s="1">
        <v>45276</v>
      </c>
      <c r="B1813" t="s">
        <v>32</v>
      </c>
      <c r="C1813" t="s">
        <v>33</v>
      </c>
      <c r="D1813" t="s">
        <v>12</v>
      </c>
      <c r="E1813">
        <v>3</v>
      </c>
      <c r="F1813">
        <v>2946</v>
      </c>
      <c r="G1813">
        <v>666.99</v>
      </c>
      <c r="H1813">
        <v>2023</v>
      </c>
      <c r="I1813" t="s">
        <v>13</v>
      </c>
      <c r="J1813" s="4">
        <v>0.22640529531568199</v>
      </c>
      <c r="K1813" t="s">
        <v>40</v>
      </c>
      <c r="L1813" t="s">
        <v>52</v>
      </c>
      <c r="M1813">
        <v>12</v>
      </c>
      <c r="N1813" t="s">
        <v>53</v>
      </c>
    </row>
    <row r="1814" spans="1:14" x14ac:dyDescent="0.3">
      <c r="A1814" s="1">
        <v>45179</v>
      </c>
      <c r="B1814" t="s">
        <v>32</v>
      </c>
      <c r="C1814" t="s">
        <v>33</v>
      </c>
      <c r="D1814" t="s">
        <v>22</v>
      </c>
      <c r="E1814">
        <v>5</v>
      </c>
      <c r="F1814">
        <v>5085</v>
      </c>
      <c r="G1814">
        <v>1172.1199999999999</v>
      </c>
      <c r="H1814">
        <v>2023</v>
      </c>
      <c r="I1814" t="s">
        <v>21</v>
      </c>
      <c r="J1814" s="4">
        <v>0.23050540806292999</v>
      </c>
      <c r="K1814" t="s">
        <v>40</v>
      </c>
      <c r="L1814" t="s">
        <v>60</v>
      </c>
      <c r="M1814">
        <v>9</v>
      </c>
      <c r="N1814" t="s">
        <v>61</v>
      </c>
    </row>
    <row r="1815" spans="1:14" x14ac:dyDescent="0.3">
      <c r="A1815" s="1">
        <v>45060</v>
      </c>
      <c r="B1815" t="s">
        <v>32</v>
      </c>
      <c r="C1815" t="s">
        <v>33</v>
      </c>
      <c r="D1815" t="s">
        <v>22</v>
      </c>
      <c r="E1815">
        <v>6</v>
      </c>
      <c r="F1815">
        <v>5754</v>
      </c>
      <c r="G1815">
        <v>1628.61</v>
      </c>
      <c r="H1815">
        <v>2023</v>
      </c>
      <c r="I1815" t="s">
        <v>20</v>
      </c>
      <c r="J1815" s="4">
        <v>0.28303962460896798</v>
      </c>
      <c r="K1815" t="s">
        <v>40</v>
      </c>
      <c r="L1815" t="s">
        <v>59</v>
      </c>
      <c r="M1815">
        <v>5</v>
      </c>
      <c r="N1815" t="s">
        <v>20</v>
      </c>
    </row>
    <row r="1816" spans="1:14" x14ac:dyDescent="0.3">
      <c r="A1816" s="1">
        <v>44965</v>
      </c>
      <c r="B1816" t="s">
        <v>32</v>
      </c>
      <c r="C1816" t="s">
        <v>33</v>
      </c>
      <c r="D1816" t="s">
        <v>22</v>
      </c>
      <c r="E1816">
        <v>2</v>
      </c>
      <c r="F1816">
        <v>1574</v>
      </c>
      <c r="G1816">
        <v>196.84</v>
      </c>
      <c r="H1816">
        <v>2023</v>
      </c>
      <c r="I1816" t="s">
        <v>16</v>
      </c>
      <c r="J1816" s="4">
        <v>0.12505717916137199</v>
      </c>
      <c r="K1816" t="s">
        <v>40</v>
      </c>
      <c r="L1816" t="s">
        <v>55</v>
      </c>
      <c r="M1816">
        <v>2</v>
      </c>
      <c r="N1816" t="s">
        <v>57</v>
      </c>
    </row>
    <row r="1817" spans="1:14" x14ac:dyDescent="0.3">
      <c r="A1817" s="1">
        <v>45136</v>
      </c>
      <c r="B1817" t="s">
        <v>32</v>
      </c>
      <c r="C1817" t="s">
        <v>33</v>
      </c>
      <c r="D1817" t="s">
        <v>12</v>
      </c>
      <c r="E1817">
        <v>3</v>
      </c>
      <c r="F1817">
        <v>171</v>
      </c>
      <c r="G1817">
        <v>9.02</v>
      </c>
      <c r="H1817">
        <v>2023</v>
      </c>
      <c r="I1817" t="s">
        <v>25</v>
      </c>
      <c r="J1817" s="4">
        <v>5.2748538011695899E-2</v>
      </c>
      <c r="K1817" t="s">
        <v>40</v>
      </c>
      <c r="L1817" t="s">
        <v>60</v>
      </c>
      <c r="M1817">
        <v>7</v>
      </c>
      <c r="N1817" t="s">
        <v>64</v>
      </c>
    </row>
    <row r="1818" spans="1:14" x14ac:dyDescent="0.3">
      <c r="A1818" s="1">
        <v>45044</v>
      </c>
      <c r="B1818" t="s">
        <v>32</v>
      </c>
      <c r="C1818" t="s">
        <v>33</v>
      </c>
      <c r="D1818" t="s">
        <v>22</v>
      </c>
      <c r="E1818">
        <v>5</v>
      </c>
      <c r="F1818">
        <v>1315</v>
      </c>
      <c r="G1818">
        <v>217.79</v>
      </c>
      <c r="H1818">
        <v>2023</v>
      </c>
      <c r="I1818" t="s">
        <v>23</v>
      </c>
      <c r="J1818" s="4">
        <v>0.16561977186311799</v>
      </c>
      <c r="K1818" t="s">
        <v>40</v>
      </c>
      <c r="L1818" t="s">
        <v>59</v>
      </c>
      <c r="M1818">
        <v>4</v>
      </c>
      <c r="N1818" t="s">
        <v>62</v>
      </c>
    </row>
    <row r="1819" spans="1:14" x14ac:dyDescent="0.3">
      <c r="A1819" s="1">
        <v>45123</v>
      </c>
      <c r="B1819" t="s">
        <v>32</v>
      </c>
      <c r="C1819" t="s">
        <v>33</v>
      </c>
      <c r="D1819" t="s">
        <v>12</v>
      </c>
      <c r="E1819">
        <v>6</v>
      </c>
      <c r="F1819">
        <v>7140</v>
      </c>
      <c r="G1819">
        <v>605.22</v>
      </c>
      <c r="H1819">
        <v>2023</v>
      </c>
      <c r="I1819" t="s">
        <v>25</v>
      </c>
      <c r="J1819" s="4">
        <v>8.4764705882353006E-2</v>
      </c>
      <c r="K1819" t="s">
        <v>40</v>
      </c>
      <c r="L1819" t="s">
        <v>60</v>
      </c>
      <c r="M1819">
        <v>7</v>
      </c>
      <c r="N1819" t="s">
        <v>64</v>
      </c>
    </row>
    <row r="1820" spans="1:14" x14ac:dyDescent="0.3">
      <c r="A1820" s="1">
        <v>44950</v>
      </c>
      <c r="B1820" t="s">
        <v>32</v>
      </c>
      <c r="C1820" t="s">
        <v>33</v>
      </c>
      <c r="D1820" t="s">
        <v>22</v>
      </c>
      <c r="E1820">
        <v>5</v>
      </c>
      <c r="F1820">
        <v>2820</v>
      </c>
      <c r="G1820">
        <v>737.68</v>
      </c>
      <c r="H1820">
        <v>2023</v>
      </c>
      <c r="I1820" t="s">
        <v>26</v>
      </c>
      <c r="J1820" s="4">
        <v>0.26158865248226898</v>
      </c>
      <c r="K1820" t="s">
        <v>40</v>
      </c>
      <c r="L1820" t="s">
        <v>55</v>
      </c>
      <c r="M1820">
        <v>1</v>
      </c>
      <c r="N1820" t="s">
        <v>65</v>
      </c>
    </row>
    <row r="1821" spans="1:14" x14ac:dyDescent="0.3">
      <c r="A1821" s="1">
        <v>44934</v>
      </c>
      <c r="B1821" t="s">
        <v>32</v>
      </c>
      <c r="C1821" t="s">
        <v>33</v>
      </c>
      <c r="D1821" t="s">
        <v>19</v>
      </c>
      <c r="E1821">
        <v>4</v>
      </c>
      <c r="F1821">
        <v>3280</v>
      </c>
      <c r="G1821">
        <v>826.94</v>
      </c>
      <c r="H1821">
        <v>2023</v>
      </c>
      <c r="I1821" t="s">
        <v>26</v>
      </c>
      <c r="J1821" s="4">
        <v>0.252115853658537</v>
      </c>
      <c r="K1821" t="s">
        <v>40</v>
      </c>
      <c r="L1821" t="s">
        <v>55</v>
      </c>
      <c r="M1821">
        <v>1</v>
      </c>
      <c r="N1821" t="s">
        <v>65</v>
      </c>
    </row>
    <row r="1822" spans="1:14" x14ac:dyDescent="0.3">
      <c r="A1822" s="1">
        <v>44944</v>
      </c>
      <c r="B1822" t="s">
        <v>32</v>
      </c>
      <c r="C1822" t="s">
        <v>33</v>
      </c>
      <c r="D1822" t="s">
        <v>12</v>
      </c>
      <c r="E1822">
        <v>7</v>
      </c>
      <c r="F1822">
        <v>4312</v>
      </c>
      <c r="G1822">
        <v>1088.3399999999999</v>
      </c>
      <c r="H1822">
        <v>2023</v>
      </c>
      <c r="I1822" t="s">
        <v>26</v>
      </c>
      <c r="J1822" s="4">
        <v>0.25239795918367303</v>
      </c>
      <c r="K1822" t="s">
        <v>40</v>
      </c>
      <c r="L1822" t="s">
        <v>55</v>
      </c>
      <c r="M1822">
        <v>1</v>
      </c>
      <c r="N1822" t="s">
        <v>65</v>
      </c>
    </row>
    <row r="1823" spans="1:14" x14ac:dyDescent="0.3">
      <c r="A1823" s="1">
        <v>45253</v>
      </c>
      <c r="B1823" t="s">
        <v>32</v>
      </c>
      <c r="C1823" t="s">
        <v>33</v>
      </c>
      <c r="D1823" t="s">
        <v>17</v>
      </c>
      <c r="E1823">
        <v>3</v>
      </c>
      <c r="F1823">
        <v>534</v>
      </c>
      <c r="G1823">
        <v>120.53</v>
      </c>
      <c r="H1823">
        <v>2023</v>
      </c>
      <c r="I1823" t="s">
        <v>18</v>
      </c>
      <c r="J1823" s="4">
        <v>0.22571161048689101</v>
      </c>
      <c r="K1823" t="s">
        <v>40</v>
      </c>
      <c r="L1823" t="s">
        <v>52</v>
      </c>
      <c r="M1823">
        <v>11</v>
      </c>
      <c r="N1823" t="s">
        <v>58</v>
      </c>
    </row>
    <row r="1824" spans="1:14" x14ac:dyDescent="0.3">
      <c r="A1824" s="1">
        <v>45008</v>
      </c>
      <c r="B1824" t="s">
        <v>32</v>
      </c>
      <c r="C1824" t="s">
        <v>33</v>
      </c>
      <c r="D1824" t="s">
        <v>22</v>
      </c>
      <c r="E1824">
        <v>8</v>
      </c>
      <c r="F1824">
        <v>5920</v>
      </c>
      <c r="G1824">
        <v>1241.27</v>
      </c>
      <c r="H1824">
        <v>2023</v>
      </c>
      <c r="I1824" t="s">
        <v>15</v>
      </c>
      <c r="J1824" s="4">
        <v>0.209673986486486</v>
      </c>
      <c r="K1824" t="s">
        <v>40</v>
      </c>
      <c r="L1824" t="s">
        <v>55</v>
      </c>
      <c r="M1824">
        <v>3</v>
      </c>
      <c r="N1824" t="s">
        <v>56</v>
      </c>
    </row>
    <row r="1825" spans="1:14" x14ac:dyDescent="0.3">
      <c r="A1825" s="1">
        <v>45269</v>
      </c>
      <c r="B1825" t="s">
        <v>32</v>
      </c>
      <c r="C1825" t="s">
        <v>33</v>
      </c>
      <c r="D1825" t="s">
        <v>19</v>
      </c>
      <c r="E1825">
        <v>1</v>
      </c>
      <c r="F1825">
        <v>832</v>
      </c>
      <c r="G1825">
        <v>227.11</v>
      </c>
      <c r="H1825">
        <v>2023</v>
      </c>
      <c r="I1825" t="s">
        <v>13</v>
      </c>
      <c r="J1825" s="4">
        <v>0.27296874999999998</v>
      </c>
      <c r="K1825" t="s">
        <v>40</v>
      </c>
      <c r="L1825" t="s">
        <v>52</v>
      </c>
      <c r="M1825">
        <v>12</v>
      </c>
      <c r="N1825" t="s">
        <v>53</v>
      </c>
    </row>
    <row r="1826" spans="1:14" x14ac:dyDescent="0.3">
      <c r="A1826" s="1">
        <v>45038</v>
      </c>
      <c r="B1826" t="s">
        <v>32</v>
      </c>
      <c r="C1826" t="s">
        <v>33</v>
      </c>
      <c r="D1826" t="s">
        <v>22</v>
      </c>
      <c r="E1826">
        <v>7</v>
      </c>
      <c r="F1826">
        <v>1582</v>
      </c>
      <c r="G1826">
        <v>278.14</v>
      </c>
      <c r="H1826">
        <v>2023</v>
      </c>
      <c r="I1826" t="s">
        <v>23</v>
      </c>
      <c r="J1826" s="4">
        <v>0.17581542351453899</v>
      </c>
      <c r="K1826" t="s">
        <v>40</v>
      </c>
      <c r="L1826" t="s">
        <v>59</v>
      </c>
      <c r="M1826">
        <v>4</v>
      </c>
      <c r="N1826" t="s">
        <v>62</v>
      </c>
    </row>
    <row r="1827" spans="1:14" x14ac:dyDescent="0.3">
      <c r="A1827" s="1">
        <v>45284</v>
      </c>
      <c r="B1827" t="s">
        <v>32</v>
      </c>
      <c r="C1827" t="s">
        <v>33</v>
      </c>
      <c r="D1827" t="s">
        <v>12</v>
      </c>
      <c r="E1827">
        <v>1</v>
      </c>
      <c r="F1827">
        <v>847</v>
      </c>
      <c r="G1827">
        <v>237.41</v>
      </c>
      <c r="H1827">
        <v>2023</v>
      </c>
      <c r="I1827" t="s">
        <v>13</v>
      </c>
      <c r="J1827" s="4">
        <v>0.28029515938606803</v>
      </c>
      <c r="K1827" t="s">
        <v>40</v>
      </c>
      <c r="L1827" t="s">
        <v>52</v>
      </c>
      <c r="M1827">
        <v>12</v>
      </c>
      <c r="N1827" t="s">
        <v>53</v>
      </c>
    </row>
    <row r="1828" spans="1:14" x14ac:dyDescent="0.3">
      <c r="A1828" s="1">
        <v>45151</v>
      </c>
      <c r="B1828" t="s">
        <v>32</v>
      </c>
      <c r="C1828" t="s">
        <v>33</v>
      </c>
      <c r="D1828" t="s">
        <v>19</v>
      </c>
      <c r="E1828">
        <v>8</v>
      </c>
      <c r="F1828">
        <v>8224</v>
      </c>
      <c r="G1828">
        <v>1679.16</v>
      </c>
      <c r="H1828">
        <v>2023</v>
      </c>
      <c r="I1828" t="s">
        <v>24</v>
      </c>
      <c r="J1828" s="4">
        <v>0.20417801556420201</v>
      </c>
      <c r="K1828" t="s">
        <v>40</v>
      </c>
      <c r="L1828" t="s">
        <v>60</v>
      </c>
      <c r="M1828">
        <v>8</v>
      </c>
      <c r="N1828" t="s">
        <v>63</v>
      </c>
    </row>
    <row r="1829" spans="1:14" x14ac:dyDescent="0.3">
      <c r="A1829" s="1">
        <v>45023</v>
      </c>
      <c r="B1829" t="s">
        <v>32</v>
      </c>
      <c r="C1829" t="s">
        <v>33</v>
      </c>
      <c r="D1829" t="s">
        <v>22</v>
      </c>
      <c r="E1829">
        <v>8</v>
      </c>
      <c r="F1829">
        <v>4136</v>
      </c>
      <c r="G1829">
        <v>810.82</v>
      </c>
      <c r="H1829">
        <v>2023</v>
      </c>
      <c r="I1829" t="s">
        <v>23</v>
      </c>
      <c r="J1829" s="4">
        <v>0.196039651837524</v>
      </c>
      <c r="K1829" t="s">
        <v>40</v>
      </c>
      <c r="L1829" t="s">
        <v>59</v>
      </c>
      <c r="M1829">
        <v>4</v>
      </c>
      <c r="N1829" t="s">
        <v>62</v>
      </c>
    </row>
    <row r="1830" spans="1:14" x14ac:dyDescent="0.3">
      <c r="A1830" s="1">
        <v>44935</v>
      </c>
      <c r="B1830" t="s">
        <v>32</v>
      </c>
      <c r="C1830" t="s">
        <v>33</v>
      </c>
      <c r="D1830" t="s">
        <v>12</v>
      </c>
      <c r="E1830">
        <v>1</v>
      </c>
      <c r="F1830">
        <v>1055</v>
      </c>
      <c r="G1830">
        <v>88.61</v>
      </c>
      <c r="H1830">
        <v>2023</v>
      </c>
      <c r="I1830" t="s">
        <v>26</v>
      </c>
      <c r="J1830" s="4">
        <v>8.3990521327014206E-2</v>
      </c>
      <c r="K1830" t="s">
        <v>40</v>
      </c>
      <c r="L1830" t="s">
        <v>55</v>
      </c>
      <c r="M1830">
        <v>1</v>
      </c>
      <c r="N1830" t="s">
        <v>65</v>
      </c>
    </row>
    <row r="1831" spans="1:14" x14ac:dyDescent="0.3">
      <c r="A1831" s="1">
        <v>45123</v>
      </c>
      <c r="B1831" t="s">
        <v>32</v>
      </c>
      <c r="C1831" t="s">
        <v>33</v>
      </c>
      <c r="D1831" t="s">
        <v>22</v>
      </c>
      <c r="E1831">
        <v>6</v>
      </c>
      <c r="F1831">
        <v>1698</v>
      </c>
      <c r="G1831">
        <v>193.42</v>
      </c>
      <c r="H1831">
        <v>2023</v>
      </c>
      <c r="I1831" t="s">
        <v>25</v>
      </c>
      <c r="J1831" s="4">
        <v>0.11391048292108399</v>
      </c>
      <c r="K1831" t="s">
        <v>40</v>
      </c>
      <c r="L1831" t="s">
        <v>60</v>
      </c>
      <c r="M1831">
        <v>7</v>
      </c>
      <c r="N1831" t="s">
        <v>64</v>
      </c>
    </row>
    <row r="1832" spans="1:14" x14ac:dyDescent="0.3">
      <c r="A1832" s="1">
        <v>44986</v>
      </c>
      <c r="B1832" t="s">
        <v>32</v>
      </c>
      <c r="C1832" t="s">
        <v>33</v>
      </c>
      <c r="D1832" t="s">
        <v>22</v>
      </c>
      <c r="E1832">
        <v>3</v>
      </c>
      <c r="F1832">
        <v>1785</v>
      </c>
      <c r="G1832">
        <v>93.17</v>
      </c>
      <c r="H1832">
        <v>2023</v>
      </c>
      <c r="I1832" t="s">
        <v>15</v>
      </c>
      <c r="J1832" s="4">
        <v>5.2196078431372597E-2</v>
      </c>
      <c r="K1832" t="s">
        <v>40</v>
      </c>
      <c r="L1832" t="s">
        <v>55</v>
      </c>
      <c r="M1832">
        <v>3</v>
      </c>
      <c r="N1832" t="s">
        <v>56</v>
      </c>
    </row>
    <row r="1833" spans="1:14" x14ac:dyDescent="0.3">
      <c r="A1833" s="1">
        <v>45209</v>
      </c>
      <c r="B1833" t="s">
        <v>32</v>
      </c>
      <c r="C1833" t="s">
        <v>33</v>
      </c>
      <c r="D1833" t="s">
        <v>12</v>
      </c>
      <c r="E1833">
        <v>5</v>
      </c>
      <c r="F1833">
        <v>2665</v>
      </c>
      <c r="G1833">
        <v>532.76</v>
      </c>
      <c r="H1833">
        <v>2023</v>
      </c>
      <c r="I1833" t="s">
        <v>14</v>
      </c>
      <c r="J1833" s="4">
        <v>0.19990994371482201</v>
      </c>
      <c r="K1833" t="s">
        <v>40</v>
      </c>
      <c r="L1833" t="s">
        <v>52</v>
      </c>
      <c r="M1833">
        <v>10</v>
      </c>
      <c r="N1833" t="s">
        <v>54</v>
      </c>
    </row>
    <row r="1834" spans="1:14" x14ac:dyDescent="0.3">
      <c r="A1834" s="1">
        <v>45021</v>
      </c>
      <c r="B1834" t="s">
        <v>32</v>
      </c>
      <c r="C1834" t="s">
        <v>33</v>
      </c>
      <c r="D1834" t="s">
        <v>22</v>
      </c>
      <c r="E1834">
        <v>4</v>
      </c>
      <c r="F1834">
        <v>200</v>
      </c>
      <c r="G1834">
        <v>58.42</v>
      </c>
      <c r="H1834">
        <v>2023</v>
      </c>
      <c r="I1834" t="s">
        <v>23</v>
      </c>
      <c r="J1834" s="4">
        <v>0.29210000000000003</v>
      </c>
      <c r="K1834" t="s">
        <v>40</v>
      </c>
      <c r="L1834" t="s">
        <v>59</v>
      </c>
      <c r="M1834">
        <v>4</v>
      </c>
      <c r="N1834" t="s">
        <v>62</v>
      </c>
    </row>
    <row r="1835" spans="1:14" x14ac:dyDescent="0.3">
      <c r="A1835" s="1">
        <v>45040</v>
      </c>
      <c r="B1835" t="s">
        <v>32</v>
      </c>
      <c r="C1835" t="s">
        <v>33</v>
      </c>
      <c r="D1835" t="s">
        <v>12</v>
      </c>
      <c r="E1835">
        <v>4</v>
      </c>
      <c r="F1835">
        <v>2576</v>
      </c>
      <c r="G1835">
        <v>503.57</v>
      </c>
      <c r="H1835">
        <v>2023</v>
      </c>
      <c r="I1835" t="s">
        <v>23</v>
      </c>
      <c r="J1835" s="4">
        <v>0.195485248447205</v>
      </c>
      <c r="K1835" t="s">
        <v>40</v>
      </c>
      <c r="L1835" t="s">
        <v>59</v>
      </c>
      <c r="M1835">
        <v>4</v>
      </c>
      <c r="N1835" t="s">
        <v>62</v>
      </c>
    </row>
    <row r="1836" spans="1:14" x14ac:dyDescent="0.3">
      <c r="A1836" s="1">
        <v>45166</v>
      </c>
      <c r="B1836" t="s">
        <v>32</v>
      </c>
      <c r="C1836" t="s">
        <v>33</v>
      </c>
      <c r="D1836" t="s">
        <v>17</v>
      </c>
      <c r="E1836">
        <v>6</v>
      </c>
      <c r="F1836">
        <v>4656</v>
      </c>
      <c r="G1836">
        <v>601.71</v>
      </c>
      <c r="H1836">
        <v>2023</v>
      </c>
      <c r="I1836" t="s">
        <v>24</v>
      </c>
      <c r="J1836" s="4">
        <v>0.12923324742268</v>
      </c>
      <c r="K1836" t="s">
        <v>40</v>
      </c>
      <c r="L1836" t="s">
        <v>60</v>
      </c>
      <c r="M1836">
        <v>8</v>
      </c>
      <c r="N1836" t="s">
        <v>63</v>
      </c>
    </row>
    <row r="1837" spans="1:14" x14ac:dyDescent="0.3">
      <c r="A1837" s="1">
        <v>45264</v>
      </c>
      <c r="B1837" t="s">
        <v>32</v>
      </c>
      <c r="C1837" t="s">
        <v>33</v>
      </c>
      <c r="D1837" t="s">
        <v>22</v>
      </c>
      <c r="E1837">
        <v>1</v>
      </c>
      <c r="F1837">
        <v>314</v>
      </c>
      <c r="G1837">
        <v>66.23</v>
      </c>
      <c r="H1837">
        <v>2023</v>
      </c>
      <c r="I1837" t="s">
        <v>13</v>
      </c>
      <c r="J1837" s="4">
        <v>0.21092356687898101</v>
      </c>
      <c r="K1837" t="s">
        <v>40</v>
      </c>
      <c r="L1837" t="s">
        <v>52</v>
      </c>
      <c r="M1837">
        <v>12</v>
      </c>
      <c r="N1837" t="s">
        <v>53</v>
      </c>
    </row>
    <row r="1838" spans="1:14" x14ac:dyDescent="0.3">
      <c r="A1838" s="1">
        <v>45279</v>
      </c>
      <c r="B1838" t="s">
        <v>32</v>
      </c>
      <c r="C1838" t="s">
        <v>33</v>
      </c>
      <c r="D1838" t="s">
        <v>12</v>
      </c>
      <c r="E1838">
        <v>9</v>
      </c>
      <c r="F1838">
        <v>4563</v>
      </c>
      <c r="G1838">
        <v>675.62</v>
      </c>
      <c r="H1838">
        <v>2023</v>
      </c>
      <c r="I1838" t="s">
        <v>13</v>
      </c>
      <c r="J1838" s="4">
        <v>0.14806486960333101</v>
      </c>
      <c r="K1838" t="s">
        <v>40</v>
      </c>
      <c r="L1838" t="s">
        <v>52</v>
      </c>
      <c r="M1838">
        <v>12</v>
      </c>
      <c r="N1838" t="s">
        <v>53</v>
      </c>
    </row>
    <row r="1839" spans="1:14" x14ac:dyDescent="0.3">
      <c r="A1839" s="1">
        <v>45167</v>
      </c>
      <c r="B1839" t="s">
        <v>32</v>
      </c>
      <c r="C1839" t="s">
        <v>33</v>
      </c>
      <c r="D1839" t="s">
        <v>22</v>
      </c>
      <c r="E1839">
        <v>9</v>
      </c>
      <c r="F1839">
        <v>10080</v>
      </c>
      <c r="G1839">
        <v>1794.73</v>
      </c>
      <c r="H1839">
        <v>2023</v>
      </c>
      <c r="I1839" t="s">
        <v>24</v>
      </c>
      <c r="J1839" s="4">
        <v>0.178048611111111</v>
      </c>
      <c r="K1839" t="s">
        <v>40</v>
      </c>
      <c r="L1839" t="s">
        <v>60</v>
      </c>
      <c r="M1839">
        <v>8</v>
      </c>
      <c r="N1839" t="s">
        <v>63</v>
      </c>
    </row>
    <row r="1840" spans="1:14" x14ac:dyDescent="0.3">
      <c r="A1840" s="1">
        <v>45104</v>
      </c>
      <c r="B1840" t="s">
        <v>32</v>
      </c>
      <c r="C1840" t="s">
        <v>33</v>
      </c>
      <c r="D1840" t="s">
        <v>22</v>
      </c>
      <c r="E1840">
        <v>4</v>
      </c>
      <c r="F1840">
        <v>1488</v>
      </c>
      <c r="G1840">
        <v>74.52</v>
      </c>
      <c r="H1840">
        <v>2023</v>
      </c>
      <c r="I1840" t="s">
        <v>27</v>
      </c>
      <c r="J1840" s="4">
        <v>5.0080645161290301E-2</v>
      </c>
      <c r="K1840" t="s">
        <v>40</v>
      </c>
      <c r="L1840" t="s">
        <v>59</v>
      </c>
      <c r="M1840">
        <v>6</v>
      </c>
      <c r="N1840" t="s">
        <v>66</v>
      </c>
    </row>
    <row r="1841" spans="1:14" x14ac:dyDescent="0.3">
      <c r="A1841" s="1">
        <v>45174</v>
      </c>
      <c r="B1841" t="s">
        <v>32</v>
      </c>
      <c r="C1841" t="s">
        <v>33</v>
      </c>
      <c r="D1841" t="s">
        <v>19</v>
      </c>
      <c r="E1841">
        <v>2</v>
      </c>
      <c r="F1841">
        <v>194</v>
      </c>
      <c r="G1841">
        <v>52.16</v>
      </c>
      <c r="H1841">
        <v>2023</v>
      </c>
      <c r="I1841" t="s">
        <v>21</v>
      </c>
      <c r="J1841" s="4">
        <v>0.26886597938144302</v>
      </c>
      <c r="K1841" t="s">
        <v>40</v>
      </c>
      <c r="L1841" t="s">
        <v>60</v>
      </c>
      <c r="M1841">
        <v>9</v>
      </c>
      <c r="N1841" t="s">
        <v>61</v>
      </c>
    </row>
    <row r="1842" spans="1:14" x14ac:dyDescent="0.3">
      <c r="A1842" s="1">
        <v>45267</v>
      </c>
      <c r="B1842" t="s">
        <v>32</v>
      </c>
      <c r="C1842" t="s">
        <v>33</v>
      </c>
      <c r="D1842" t="s">
        <v>17</v>
      </c>
      <c r="E1842">
        <v>4</v>
      </c>
      <c r="F1842">
        <v>596</v>
      </c>
      <c r="G1842">
        <v>72.650000000000006</v>
      </c>
      <c r="H1842">
        <v>2023</v>
      </c>
      <c r="I1842" t="s">
        <v>13</v>
      </c>
      <c r="J1842" s="4">
        <v>0.121895973154362</v>
      </c>
      <c r="K1842" t="s">
        <v>40</v>
      </c>
      <c r="L1842" t="s">
        <v>52</v>
      </c>
      <c r="M1842">
        <v>12</v>
      </c>
      <c r="N1842" t="s">
        <v>53</v>
      </c>
    </row>
    <row r="1843" spans="1:14" x14ac:dyDescent="0.3">
      <c r="A1843" s="1">
        <v>45259</v>
      </c>
      <c r="B1843" t="s">
        <v>32</v>
      </c>
      <c r="C1843" t="s">
        <v>33</v>
      </c>
      <c r="D1843" t="s">
        <v>22</v>
      </c>
      <c r="E1843">
        <v>8</v>
      </c>
      <c r="F1843">
        <v>1008</v>
      </c>
      <c r="G1843">
        <v>100.61</v>
      </c>
      <c r="H1843">
        <v>2023</v>
      </c>
      <c r="I1843" t="s">
        <v>18</v>
      </c>
      <c r="J1843" s="4">
        <v>9.9811507936507907E-2</v>
      </c>
      <c r="K1843" t="s">
        <v>40</v>
      </c>
      <c r="L1843" t="s">
        <v>52</v>
      </c>
      <c r="M1843">
        <v>11</v>
      </c>
      <c r="N1843" t="s">
        <v>58</v>
      </c>
    </row>
    <row r="1844" spans="1:14" x14ac:dyDescent="0.3">
      <c r="A1844" s="1">
        <v>45141</v>
      </c>
      <c r="B1844" t="s">
        <v>32</v>
      </c>
      <c r="C1844" t="s">
        <v>33</v>
      </c>
      <c r="D1844" t="s">
        <v>19</v>
      </c>
      <c r="E1844">
        <v>7</v>
      </c>
      <c r="F1844">
        <v>5551</v>
      </c>
      <c r="G1844">
        <v>392.37</v>
      </c>
      <c r="H1844">
        <v>2023</v>
      </c>
      <c r="I1844" t="s">
        <v>24</v>
      </c>
      <c r="J1844" s="4">
        <v>7.0684561340299004E-2</v>
      </c>
      <c r="K1844" t="s">
        <v>40</v>
      </c>
      <c r="L1844" t="s">
        <v>60</v>
      </c>
      <c r="M1844">
        <v>8</v>
      </c>
      <c r="N1844" t="s">
        <v>63</v>
      </c>
    </row>
    <row r="1845" spans="1:14" x14ac:dyDescent="0.3">
      <c r="A1845" s="1">
        <v>44937</v>
      </c>
      <c r="B1845" t="s">
        <v>32</v>
      </c>
      <c r="C1845" t="s">
        <v>33</v>
      </c>
      <c r="D1845" t="s">
        <v>17</v>
      </c>
      <c r="E1845">
        <v>8</v>
      </c>
      <c r="F1845">
        <v>3832</v>
      </c>
      <c r="G1845">
        <v>741.44</v>
      </c>
      <c r="H1845">
        <v>2023</v>
      </c>
      <c r="I1845" t="s">
        <v>26</v>
      </c>
      <c r="J1845" s="4">
        <v>0.19348643006263</v>
      </c>
      <c r="K1845" t="s">
        <v>40</v>
      </c>
      <c r="L1845" t="s">
        <v>55</v>
      </c>
      <c r="M1845">
        <v>1</v>
      </c>
      <c r="N1845" t="s">
        <v>65</v>
      </c>
    </row>
    <row r="1846" spans="1:14" x14ac:dyDescent="0.3">
      <c r="A1846" s="1">
        <v>45180</v>
      </c>
      <c r="B1846" t="s">
        <v>32</v>
      </c>
      <c r="C1846" t="s">
        <v>33</v>
      </c>
      <c r="D1846" t="s">
        <v>19</v>
      </c>
      <c r="E1846">
        <v>8</v>
      </c>
      <c r="F1846">
        <v>1832</v>
      </c>
      <c r="G1846">
        <v>532.97</v>
      </c>
      <c r="H1846">
        <v>2023</v>
      </c>
      <c r="I1846" t="s">
        <v>21</v>
      </c>
      <c r="J1846" s="4">
        <v>0.29092248908297003</v>
      </c>
      <c r="K1846" t="s">
        <v>40</v>
      </c>
      <c r="L1846" t="s">
        <v>60</v>
      </c>
      <c r="M1846">
        <v>9</v>
      </c>
      <c r="N1846" t="s">
        <v>61</v>
      </c>
    </row>
    <row r="1847" spans="1:14" x14ac:dyDescent="0.3">
      <c r="A1847" s="1">
        <v>45027</v>
      </c>
      <c r="B1847" t="s">
        <v>32</v>
      </c>
      <c r="C1847" t="s">
        <v>33</v>
      </c>
      <c r="D1847" t="s">
        <v>22</v>
      </c>
      <c r="E1847">
        <v>5</v>
      </c>
      <c r="F1847">
        <v>4965</v>
      </c>
      <c r="G1847">
        <v>774.74</v>
      </c>
      <c r="H1847">
        <v>2023</v>
      </c>
      <c r="I1847" t="s">
        <v>23</v>
      </c>
      <c r="J1847" s="4">
        <v>0.156040281973817</v>
      </c>
      <c r="K1847" t="s">
        <v>40</v>
      </c>
      <c r="L1847" t="s">
        <v>59</v>
      </c>
      <c r="M1847">
        <v>4</v>
      </c>
      <c r="N1847" t="s">
        <v>62</v>
      </c>
    </row>
    <row r="1848" spans="1:14" x14ac:dyDescent="0.3">
      <c r="A1848" s="1">
        <v>44850</v>
      </c>
      <c r="B1848" t="s">
        <v>32</v>
      </c>
      <c r="C1848" t="s">
        <v>33</v>
      </c>
      <c r="D1848" t="s">
        <v>19</v>
      </c>
      <c r="E1848">
        <v>1</v>
      </c>
      <c r="F1848">
        <v>441</v>
      </c>
      <c r="G1848">
        <v>102.42</v>
      </c>
      <c r="H1848">
        <v>2022</v>
      </c>
      <c r="I1848" t="s">
        <v>14</v>
      </c>
      <c r="J1848" s="4">
        <v>0.23224489795918399</v>
      </c>
      <c r="K1848" t="s">
        <v>42</v>
      </c>
      <c r="L1848" t="s">
        <v>52</v>
      </c>
      <c r="M1848">
        <v>10</v>
      </c>
      <c r="N1848" t="s">
        <v>54</v>
      </c>
    </row>
    <row r="1849" spans="1:14" x14ac:dyDescent="0.3">
      <c r="A1849" s="1">
        <v>44899</v>
      </c>
      <c r="B1849" t="s">
        <v>32</v>
      </c>
      <c r="C1849" t="s">
        <v>33</v>
      </c>
      <c r="D1849" t="s">
        <v>22</v>
      </c>
      <c r="E1849">
        <v>9</v>
      </c>
      <c r="F1849">
        <v>8667</v>
      </c>
      <c r="G1849">
        <v>781.78</v>
      </c>
      <c r="H1849">
        <v>2022</v>
      </c>
      <c r="I1849" t="s">
        <v>13</v>
      </c>
      <c r="J1849" s="4">
        <v>9.0201915310949607E-2</v>
      </c>
      <c r="K1849" t="s">
        <v>42</v>
      </c>
      <c r="L1849" t="s">
        <v>52</v>
      </c>
      <c r="M1849">
        <v>12</v>
      </c>
      <c r="N1849" t="s">
        <v>53</v>
      </c>
    </row>
    <row r="1850" spans="1:14" x14ac:dyDescent="0.3">
      <c r="A1850" s="1">
        <v>44578</v>
      </c>
      <c r="B1850" t="s">
        <v>32</v>
      </c>
      <c r="C1850" t="s">
        <v>33</v>
      </c>
      <c r="D1850" t="s">
        <v>12</v>
      </c>
      <c r="E1850">
        <v>4</v>
      </c>
      <c r="F1850">
        <v>2384</v>
      </c>
      <c r="G1850">
        <v>577.26</v>
      </c>
      <c r="H1850">
        <v>2022</v>
      </c>
      <c r="I1850" t="s">
        <v>26</v>
      </c>
      <c r="J1850" s="4">
        <v>0.242139261744966</v>
      </c>
      <c r="K1850" t="s">
        <v>42</v>
      </c>
      <c r="L1850" t="s">
        <v>55</v>
      </c>
      <c r="M1850">
        <v>1</v>
      </c>
      <c r="N1850" t="s">
        <v>65</v>
      </c>
    </row>
    <row r="1851" spans="1:14" x14ac:dyDescent="0.3">
      <c r="A1851" s="1">
        <v>44830</v>
      </c>
      <c r="B1851" t="s">
        <v>32</v>
      </c>
      <c r="C1851" t="s">
        <v>33</v>
      </c>
      <c r="D1851" t="s">
        <v>22</v>
      </c>
      <c r="E1851">
        <v>7</v>
      </c>
      <c r="F1851">
        <v>6895</v>
      </c>
      <c r="G1851">
        <v>1596.35</v>
      </c>
      <c r="H1851">
        <v>2022</v>
      </c>
      <c r="I1851" t="s">
        <v>21</v>
      </c>
      <c r="J1851" s="4">
        <v>0.231522842639594</v>
      </c>
      <c r="K1851" t="s">
        <v>42</v>
      </c>
      <c r="L1851" t="s">
        <v>60</v>
      </c>
      <c r="M1851">
        <v>9</v>
      </c>
      <c r="N1851" t="s">
        <v>61</v>
      </c>
    </row>
    <row r="1852" spans="1:14" x14ac:dyDescent="0.3">
      <c r="A1852" s="1">
        <v>44657</v>
      </c>
      <c r="B1852" t="s">
        <v>32</v>
      </c>
      <c r="C1852" t="s">
        <v>33</v>
      </c>
      <c r="D1852" t="s">
        <v>12</v>
      </c>
      <c r="E1852">
        <v>4</v>
      </c>
      <c r="F1852">
        <v>4108</v>
      </c>
      <c r="G1852">
        <v>462.17</v>
      </c>
      <c r="H1852">
        <v>2022</v>
      </c>
      <c r="I1852" t="s">
        <v>23</v>
      </c>
      <c r="J1852" s="4">
        <v>0.11250486854917199</v>
      </c>
      <c r="K1852" t="s">
        <v>42</v>
      </c>
      <c r="L1852" t="s">
        <v>59</v>
      </c>
      <c r="M1852">
        <v>4</v>
      </c>
      <c r="N1852" t="s">
        <v>62</v>
      </c>
    </row>
    <row r="1853" spans="1:14" x14ac:dyDescent="0.3">
      <c r="A1853" s="1">
        <v>44637</v>
      </c>
      <c r="B1853" t="s">
        <v>32</v>
      </c>
      <c r="C1853" t="s">
        <v>33</v>
      </c>
      <c r="D1853" t="s">
        <v>17</v>
      </c>
      <c r="E1853">
        <v>1</v>
      </c>
      <c r="F1853">
        <v>445</v>
      </c>
      <c r="G1853">
        <v>128.88999999999999</v>
      </c>
      <c r="H1853">
        <v>2022</v>
      </c>
      <c r="I1853" t="s">
        <v>15</v>
      </c>
      <c r="J1853" s="4">
        <v>0.289640449438202</v>
      </c>
      <c r="K1853" t="s">
        <v>42</v>
      </c>
      <c r="L1853" t="s">
        <v>55</v>
      </c>
      <c r="M1853">
        <v>3</v>
      </c>
      <c r="N1853" t="s">
        <v>56</v>
      </c>
    </row>
    <row r="1854" spans="1:14" x14ac:dyDescent="0.3">
      <c r="A1854" s="1">
        <v>44797</v>
      </c>
      <c r="B1854" t="s">
        <v>32</v>
      </c>
      <c r="C1854" t="s">
        <v>33</v>
      </c>
      <c r="D1854" t="s">
        <v>17</v>
      </c>
      <c r="E1854">
        <v>2</v>
      </c>
      <c r="F1854">
        <v>634</v>
      </c>
      <c r="G1854">
        <v>161.1</v>
      </c>
      <c r="H1854">
        <v>2022</v>
      </c>
      <c r="I1854" t="s">
        <v>24</v>
      </c>
      <c r="J1854" s="4">
        <v>0.25410094637224001</v>
      </c>
      <c r="K1854" t="s">
        <v>42</v>
      </c>
      <c r="L1854" t="s">
        <v>60</v>
      </c>
      <c r="M1854">
        <v>8</v>
      </c>
      <c r="N1854" t="s">
        <v>63</v>
      </c>
    </row>
    <row r="1855" spans="1:14" x14ac:dyDescent="0.3">
      <c r="A1855" s="1">
        <v>44571</v>
      </c>
      <c r="B1855" t="s">
        <v>32</v>
      </c>
      <c r="C1855" t="s">
        <v>33</v>
      </c>
      <c r="D1855" t="s">
        <v>17</v>
      </c>
      <c r="E1855">
        <v>1</v>
      </c>
      <c r="F1855">
        <v>951</v>
      </c>
      <c r="G1855">
        <v>127.58</v>
      </c>
      <c r="H1855">
        <v>2022</v>
      </c>
      <c r="I1855" t="s">
        <v>26</v>
      </c>
      <c r="J1855" s="4">
        <v>0.13415352260778099</v>
      </c>
      <c r="K1855" t="s">
        <v>42</v>
      </c>
      <c r="L1855" t="s">
        <v>55</v>
      </c>
      <c r="M1855">
        <v>1</v>
      </c>
      <c r="N1855" t="s">
        <v>65</v>
      </c>
    </row>
    <row r="1856" spans="1:14" x14ac:dyDescent="0.3">
      <c r="A1856" s="1">
        <v>44639</v>
      </c>
      <c r="B1856" t="s">
        <v>32</v>
      </c>
      <c r="C1856" t="s">
        <v>33</v>
      </c>
      <c r="D1856" t="s">
        <v>22</v>
      </c>
      <c r="E1856">
        <v>5</v>
      </c>
      <c r="F1856">
        <v>270</v>
      </c>
      <c r="G1856">
        <v>29.41</v>
      </c>
      <c r="H1856">
        <v>2022</v>
      </c>
      <c r="I1856" t="s">
        <v>15</v>
      </c>
      <c r="J1856" s="4">
        <v>0.108925925925926</v>
      </c>
      <c r="K1856" t="s">
        <v>42</v>
      </c>
      <c r="L1856" t="s">
        <v>55</v>
      </c>
      <c r="M1856">
        <v>3</v>
      </c>
      <c r="N1856" t="s">
        <v>56</v>
      </c>
    </row>
    <row r="1857" spans="1:14" x14ac:dyDescent="0.3">
      <c r="A1857" s="1">
        <v>44630</v>
      </c>
      <c r="B1857" t="s">
        <v>32</v>
      </c>
      <c r="C1857" t="s">
        <v>33</v>
      </c>
      <c r="D1857" t="s">
        <v>12</v>
      </c>
      <c r="E1857">
        <v>3</v>
      </c>
      <c r="F1857">
        <v>2529</v>
      </c>
      <c r="G1857">
        <v>285.64999999999998</v>
      </c>
      <c r="H1857">
        <v>2022</v>
      </c>
      <c r="I1857" t="s">
        <v>15</v>
      </c>
      <c r="J1857" s="4">
        <v>0.11294978252273601</v>
      </c>
      <c r="K1857" t="s">
        <v>42</v>
      </c>
      <c r="L1857" t="s">
        <v>55</v>
      </c>
      <c r="M1857">
        <v>3</v>
      </c>
      <c r="N1857" t="s">
        <v>56</v>
      </c>
    </row>
    <row r="1858" spans="1:14" x14ac:dyDescent="0.3">
      <c r="A1858" s="1">
        <v>44623</v>
      </c>
      <c r="B1858" t="s">
        <v>32</v>
      </c>
      <c r="C1858" t="s">
        <v>33</v>
      </c>
      <c r="D1858" t="s">
        <v>17</v>
      </c>
      <c r="E1858">
        <v>4</v>
      </c>
      <c r="F1858">
        <v>1872</v>
      </c>
      <c r="G1858">
        <v>448.46</v>
      </c>
      <c r="H1858">
        <v>2022</v>
      </c>
      <c r="I1858" t="s">
        <v>15</v>
      </c>
      <c r="J1858" s="4">
        <v>0.23956196581196601</v>
      </c>
      <c r="K1858" t="s">
        <v>42</v>
      </c>
      <c r="L1858" t="s">
        <v>55</v>
      </c>
      <c r="M1858">
        <v>3</v>
      </c>
      <c r="N1858" t="s">
        <v>56</v>
      </c>
    </row>
    <row r="1859" spans="1:14" x14ac:dyDescent="0.3">
      <c r="A1859" s="1">
        <v>44777</v>
      </c>
      <c r="B1859" t="s">
        <v>32</v>
      </c>
      <c r="C1859" t="s">
        <v>33</v>
      </c>
      <c r="D1859" t="s">
        <v>19</v>
      </c>
      <c r="E1859">
        <v>3</v>
      </c>
      <c r="F1859">
        <v>3339</v>
      </c>
      <c r="G1859">
        <v>732.92</v>
      </c>
      <c r="H1859">
        <v>2022</v>
      </c>
      <c r="I1859" t="s">
        <v>24</v>
      </c>
      <c r="J1859" s="4">
        <v>0.21950284516322299</v>
      </c>
      <c r="K1859" t="s">
        <v>42</v>
      </c>
      <c r="L1859" t="s">
        <v>60</v>
      </c>
      <c r="M1859">
        <v>8</v>
      </c>
      <c r="N1859" t="s">
        <v>63</v>
      </c>
    </row>
    <row r="1860" spans="1:14" x14ac:dyDescent="0.3">
      <c r="A1860" s="1">
        <v>44563</v>
      </c>
      <c r="B1860" t="s">
        <v>32</v>
      </c>
      <c r="C1860" t="s">
        <v>33</v>
      </c>
      <c r="D1860" t="s">
        <v>17</v>
      </c>
      <c r="E1860">
        <v>8</v>
      </c>
      <c r="F1860">
        <v>1240</v>
      </c>
      <c r="G1860">
        <v>251.2</v>
      </c>
      <c r="H1860">
        <v>2022</v>
      </c>
      <c r="I1860" t="s">
        <v>26</v>
      </c>
      <c r="J1860" s="4">
        <v>0.20258064516129001</v>
      </c>
      <c r="K1860" t="s">
        <v>42</v>
      </c>
      <c r="L1860" t="s">
        <v>55</v>
      </c>
      <c r="M1860">
        <v>1</v>
      </c>
      <c r="N1860" t="s">
        <v>65</v>
      </c>
    </row>
    <row r="1861" spans="1:14" x14ac:dyDescent="0.3">
      <c r="A1861" s="1">
        <v>44925</v>
      </c>
      <c r="B1861" t="s">
        <v>32</v>
      </c>
      <c r="C1861" t="s">
        <v>33</v>
      </c>
      <c r="D1861" t="s">
        <v>17</v>
      </c>
      <c r="E1861">
        <v>8</v>
      </c>
      <c r="F1861">
        <v>5432</v>
      </c>
      <c r="G1861">
        <v>1619.39</v>
      </c>
      <c r="H1861">
        <v>2022</v>
      </c>
      <c r="I1861" t="s">
        <v>13</v>
      </c>
      <c r="J1861" s="4">
        <v>0.29812039764359399</v>
      </c>
      <c r="K1861" t="s">
        <v>42</v>
      </c>
      <c r="L1861" t="s">
        <v>52</v>
      </c>
      <c r="M1861">
        <v>12</v>
      </c>
      <c r="N1861" t="s">
        <v>53</v>
      </c>
    </row>
    <row r="1862" spans="1:14" x14ac:dyDescent="0.3">
      <c r="A1862" s="1">
        <v>44781</v>
      </c>
      <c r="B1862" t="s">
        <v>32</v>
      </c>
      <c r="C1862" t="s">
        <v>33</v>
      </c>
      <c r="D1862" t="s">
        <v>17</v>
      </c>
      <c r="E1862">
        <v>2</v>
      </c>
      <c r="F1862">
        <v>178</v>
      </c>
      <c r="G1862">
        <v>31.46</v>
      </c>
      <c r="H1862">
        <v>2022</v>
      </c>
      <c r="I1862" t="s">
        <v>24</v>
      </c>
      <c r="J1862" s="4">
        <v>0.17674157303370799</v>
      </c>
      <c r="K1862" t="s">
        <v>42</v>
      </c>
      <c r="L1862" t="s">
        <v>60</v>
      </c>
      <c r="M1862">
        <v>8</v>
      </c>
      <c r="N1862" t="s">
        <v>63</v>
      </c>
    </row>
    <row r="1863" spans="1:14" x14ac:dyDescent="0.3">
      <c r="A1863" s="1">
        <v>44704</v>
      </c>
      <c r="B1863" t="s">
        <v>32</v>
      </c>
      <c r="C1863" t="s">
        <v>33</v>
      </c>
      <c r="D1863" t="s">
        <v>19</v>
      </c>
      <c r="E1863">
        <v>4</v>
      </c>
      <c r="F1863">
        <v>1964</v>
      </c>
      <c r="G1863">
        <v>349.91</v>
      </c>
      <c r="H1863">
        <v>2022</v>
      </c>
      <c r="I1863" t="s">
        <v>20</v>
      </c>
      <c r="J1863" s="4">
        <v>0.17816191446028501</v>
      </c>
      <c r="K1863" t="s">
        <v>42</v>
      </c>
      <c r="L1863" t="s">
        <v>59</v>
      </c>
      <c r="M1863">
        <v>5</v>
      </c>
      <c r="N1863" t="s">
        <v>20</v>
      </c>
    </row>
    <row r="1864" spans="1:14" x14ac:dyDescent="0.3">
      <c r="A1864" s="1">
        <v>44888</v>
      </c>
      <c r="B1864" t="s">
        <v>32</v>
      </c>
      <c r="C1864" t="s">
        <v>33</v>
      </c>
      <c r="D1864" t="s">
        <v>22</v>
      </c>
      <c r="E1864">
        <v>3</v>
      </c>
      <c r="F1864">
        <v>3546</v>
      </c>
      <c r="G1864">
        <v>490.28</v>
      </c>
      <c r="H1864">
        <v>2022</v>
      </c>
      <c r="I1864" t="s">
        <v>18</v>
      </c>
      <c r="J1864" s="4">
        <v>0.138262831359278</v>
      </c>
      <c r="K1864" t="s">
        <v>42</v>
      </c>
      <c r="L1864" t="s">
        <v>52</v>
      </c>
      <c r="M1864">
        <v>11</v>
      </c>
      <c r="N1864" t="s">
        <v>58</v>
      </c>
    </row>
    <row r="1865" spans="1:14" x14ac:dyDescent="0.3">
      <c r="A1865" s="1">
        <v>44900</v>
      </c>
      <c r="B1865" t="s">
        <v>32</v>
      </c>
      <c r="C1865" t="s">
        <v>33</v>
      </c>
      <c r="D1865" t="s">
        <v>17</v>
      </c>
      <c r="E1865">
        <v>6</v>
      </c>
      <c r="F1865">
        <v>5628</v>
      </c>
      <c r="G1865">
        <v>1033.1500000000001</v>
      </c>
      <c r="H1865">
        <v>2022</v>
      </c>
      <c r="I1865" t="s">
        <v>13</v>
      </c>
      <c r="J1865" s="4">
        <v>0.18357320540156399</v>
      </c>
      <c r="K1865" t="s">
        <v>42</v>
      </c>
      <c r="L1865" t="s">
        <v>52</v>
      </c>
      <c r="M1865">
        <v>12</v>
      </c>
      <c r="N1865" t="s">
        <v>53</v>
      </c>
    </row>
    <row r="1866" spans="1:14" x14ac:dyDescent="0.3">
      <c r="A1866" s="1">
        <v>44674</v>
      </c>
      <c r="B1866" t="s">
        <v>32</v>
      </c>
      <c r="C1866" t="s">
        <v>33</v>
      </c>
      <c r="D1866" t="s">
        <v>12</v>
      </c>
      <c r="E1866">
        <v>2</v>
      </c>
      <c r="F1866">
        <v>1098</v>
      </c>
      <c r="G1866">
        <v>239.92</v>
      </c>
      <c r="H1866">
        <v>2022</v>
      </c>
      <c r="I1866" t="s">
        <v>23</v>
      </c>
      <c r="J1866" s="4">
        <v>0.21850637522768701</v>
      </c>
      <c r="K1866" t="s">
        <v>42</v>
      </c>
      <c r="L1866" t="s">
        <v>59</v>
      </c>
      <c r="M1866">
        <v>4</v>
      </c>
      <c r="N1866" t="s">
        <v>62</v>
      </c>
    </row>
    <row r="1867" spans="1:14" x14ac:dyDescent="0.3">
      <c r="A1867" s="1">
        <v>44757</v>
      </c>
      <c r="B1867" t="s">
        <v>32</v>
      </c>
      <c r="C1867" t="s">
        <v>33</v>
      </c>
      <c r="D1867" t="s">
        <v>12</v>
      </c>
      <c r="E1867">
        <v>4</v>
      </c>
      <c r="F1867">
        <v>3408</v>
      </c>
      <c r="G1867">
        <v>856.98</v>
      </c>
      <c r="H1867">
        <v>2022</v>
      </c>
      <c r="I1867" t="s">
        <v>25</v>
      </c>
      <c r="J1867" s="4">
        <v>0.25146126760563398</v>
      </c>
      <c r="K1867" t="s">
        <v>42</v>
      </c>
      <c r="L1867" t="s">
        <v>60</v>
      </c>
      <c r="M1867">
        <v>7</v>
      </c>
      <c r="N1867" t="s">
        <v>64</v>
      </c>
    </row>
    <row r="1868" spans="1:14" x14ac:dyDescent="0.3">
      <c r="A1868" s="1">
        <v>44620</v>
      </c>
      <c r="B1868" t="s">
        <v>32</v>
      </c>
      <c r="C1868" t="s">
        <v>33</v>
      </c>
      <c r="D1868" t="s">
        <v>19</v>
      </c>
      <c r="E1868">
        <v>6</v>
      </c>
      <c r="F1868">
        <v>1530</v>
      </c>
      <c r="G1868">
        <v>218.99</v>
      </c>
      <c r="H1868">
        <v>2022</v>
      </c>
      <c r="I1868" t="s">
        <v>16</v>
      </c>
      <c r="J1868" s="4">
        <v>0.143130718954248</v>
      </c>
      <c r="K1868" t="s">
        <v>42</v>
      </c>
      <c r="L1868" t="s">
        <v>55</v>
      </c>
      <c r="M1868">
        <v>2</v>
      </c>
      <c r="N1868" t="s">
        <v>57</v>
      </c>
    </row>
    <row r="1869" spans="1:14" x14ac:dyDescent="0.3">
      <c r="A1869" s="1">
        <v>44771</v>
      </c>
      <c r="B1869" t="s">
        <v>32</v>
      </c>
      <c r="C1869" t="s">
        <v>33</v>
      </c>
      <c r="D1869" t="s">
        <v>12</v>
      </c>
      <c r="E1869">
        <v>3</v>
      </c>
      <c r="F1869">
        <v>2535</v>
      </c>
      <c r="G1869">
        <v>292.19</v>
      </c>
      <c r="H1869">
        <v>2022</v>
      </c>
      <c r="I1869" t="s">
        <v>25</v>
      </c>
      <c r="J1869" s="4">
        <v>0.115262327416174</v>
      </c>
      <c r="K1869" t="s">
        <v>42</v>
      </c>
      <c r="L1869" t="s">
        <v>60</v>
      </c>
      <c r="M1869">
        <v>7</v>
      </c>
      <c r="N1869" t="s">
        <v>64</v>
      </c>
    </row>
    <row r="1870" spans="1:14" x14ac:dyDescent="0.3">
      <c r="A1870" s="1">
        <v>44660</v>
      </c>
      <c r="B1870" t="s">
        <v>32</v>
      </c>
      <c r="C1870" t="s">
        <v>33</v>
      </c>
      <c r="D1870" t="s">
        <v>19</v>
      </c>
      <c r="E1870">
        <v>4</v>
      </c>
      <c r="F1870">
        <v>388</v>
      </c>
      <c r="G1870">
        <v>35.21</v>
      </c>
      <c r="H1870">
        <v>2022</v>
      </c>
      <c r="I1870" t="s">
        <v>23</v>
      </c>
      <c r="J1870" s="4">
        <v>9.0747422680412401E-2</v>
      </c>
      <c r="K1870" t="s">
        <v>42</v>
      </c>
      <c r="L1870" t="s">
        <v>59</v>
      </c>
      <c r="M1870">
        <v>4</v>
      </c>
      <c r="N1870" t="s">
        <v>62</v>
      </c>
    </row>
    <row r="1871" spans="1:14" x14ac:dyDescent="0.3">
      <c r="A1871" s="1">
        <v>44849</v>
      </c>
      <c r="B1871" t="s">
        <v>32</v>
      </c>
      <c r="C1871" t="s">
        <v>33</v>
      </c>
      <c r="D1871" t="s">
        <v>22</v>
      </c>
      <c r="E1871">
        <v>9</v>
      </c>
      <c r="F1871">
        <v>4176</v>
      </c>
      <c r="G1871">
        <v>510.97</v>
      </c>
      <c r="H1871">
        <v>2022</v>
      </c>
      <c r="I1871" t="s">
        <v>14</v>
      </c>
      <c r="J1871" s="4">
        <v>0.122358716475096</v>
      </c>
      <c r="K1871" t="s">
        <v>42</v>
      </c>
      <c r="L1871" t="s">
        <v>52</v>
      </c>
      <c r="M1871">
        <v>10</v>
      </c>
      <c r="N1871" t="s">
        <v>54</v>
      </c>
    </row>
    <row r="1872" spans="1:14" x14ac:dyDescent="0.3">
      <c r="A1872" s="1">
        <v>44743</v>
      </c>
      <c r="B1872" t="s">
        <v>32</v>
      </c>
      <c r="C1872" t="s">
        <v>33</v>
      </c>
      <c r="D1872" t="s">
        <v>22</v>
      </c>
      <c r="E1872">
        <v>3</v>
      </c>
      <c r="F1872">
        <v>1617</v>
      </c>
      <c r="G1872">
        <v>440.46</v>
      </c>
      <c r="H1872">
        <v>2022</v>
      </c>
      <c r="I1872" t="s">
        <v>25</v>
      </c>
      <c r="J1872" s="4">
        <v>0.27239332096475</v>
      </c>
      <c r="K1872" t="s">
        <v>42</v>
      </c>
      <c r="L1872" t="s">
        <v>60</v>
      </c>
      <c r="M1872">
        <v>7</v>
      </c>
      <c r="N1872" t="s">
        <v>64</v>
      </c>
    </row>
    <row r="1873" spans="1:14" x14ac:dyDescent="0.3">
      <c r="A1873" s="1">
        <v>44773</v>
      </c>
      <c r="B1873" t="s">
        <v>32</v>
      </c>
      <c r="C1873" t="s">
        <v>33</v>
      </c>
      <c r="D1873" t="s">
        <v>17</v>
      </c>
      <c r="E1873">
        <v>3</v>
      </c>
      <c r="F1873">
        <v>2274</v>
      </c>
      <c r="G1873">
        <v>442.57</v>
      </c>
      <c r="H1873">
        <v>2022</v>
      </c>
      <c r="I1873" t="s">
        <v>25</v>
      </c>
      <c r="J1873" s="4">
        <v>0.1946218117854</v>
      </c>
      <c r="K1873" t="s">
        <v>42</v>
      </c>
      <c r="L1873" t="s">
        <v>60</v>
      </c>
      <c r="M1873">
        <v>7</v>
      </c>
      <c r="N1873" t="s">
        <v>64</v>
      </c>
    </row>
    <row r="1874" spans="1:14" x14ac:dyDescent="0.3">
      <c r="A1874" s="1">
        <v>44844</v>
      </c>
      <c r="B1874" t="s">
        <v>32</v>
      </c>
      <c r="C1874" t="s">
        <v>33</v>
      </c>
      <c r="D1874" t="s">
        <v>17</v>
      </c>
      <c r="E1874">
        <v>6</v>
      </c>
      <c r="F1874">
        <v>1716</v>
      </c>
      <c r="G1874">
        <v>108.81</v>
      </c>
      <c r="H1874">
        <v>2022</v>
      </c>
      <c r="I1874" t="s">
        <v>14</v>
      </c>
      <c r="J1874" s="4">
        <v>6.3409090909090901E-2</v>
      </c>
      <c r="K1874" t="s">
        <v>42</v>
      </c>
      <c r="L1874" t="s">
        <v>52</v>
      </c>
      <c r="M1874">
        <v>10</v>
      </c>
      <c r="N1874" t="s">
        <v>54</v>
      </c>
    </row>
    <row r="1875" spans="1:14" x14ac:dyDescent="0.3">
      <c r="A1875" s="1">
        <v>44826</v>
      </c>
      <c r="B1875" t="s">
        <v>32</v>
      </c>
      <c r="C1875" t="s">
        <v>33</v>
      </c>
      <c r="D1875" t="s">
        <v>19</v>
      </c>
      <c r="E1875">
        <v>9</v>
      </c>
      <c r="F1875">
        <v>6822</v>
      </c>
      <c r="G1875">
        <v>1811.37</v>
      </c>
      <c r="H1875">
        <v>2022</v>
      </c>
      <c r="I1875" t="s">
        <v>21</v>
      </c>
      <c r="J1875" s="4">
        <v>0.26551890941072998</v>
      </c>
      <c r="K1875" t="s">
        <v>42</v>
      </c>
      <c r="L1875" t="s">
        <v>60</v>
      </c>
      <c r="M1875">
        <v>9</v>
      </c>
      <c r="N1875" t="s">
        <v>61</v>
      </c>
    </row>
    <row r="1876" spans="1:14" x14ac:dyDescent="0.3">
      <c r="A1876" s="1">
        <v>44839</v>
      </c>
      <c r="B1876" t="s">
        <v>32</v>
      </c>
      <c r="C1876" t="s">
        <v>33</v>
      </c>
      <c r="D1876" t="s">
        <v>22</v>
      </c>
      <c r="E1876">
        <v>2</v>
      </c>
      <c r="F1876">
        <v>574</v>
      </c>
      <c r="G1876">
        <v>38.520000000000003</v>
      </c>
      <c r="H1876">
        <v>2022</v>
      </c>
      <c r="I1876" t="s">
        <v>14</v>
      </c>
      <c r="J1876" s="4">
        <v>6.7108013937282204E-2</v>
      </c>
      <c r="K1876" t="s">
        <v>42</v>
      </c>
      <c r="L1876" t="s">
        <v>52</v>
      </c>
      <c r="M1876">
        <v>10</v>
      </c>
      <c r="N1876" t="s">
        <v>54</v>
      </c>
    </row>
    <row r="1877" spans="1:14" x14ac:dyDescent="0.3">
      <c r="A1877" s="1">
        <v>44572</v>
      </c>
      <c r="B1877" t="s">
        <v>32</v>
      </c>
      <c r="C1877" t="s">
        <v>33</v>
      </c>
      <c r="D1877" t="s">
        <v>12</v>
      </c>
      <c r="E1877">
        <v>4</v>
      </c>
      <c r="F1877">
        <v>3036</v>
      </c>
      <c r="G1877">
        <v>511.69</v>
      </c>
      <c r="H1877">
        <v>2022</v>
      </c>
      <c r="I1877" t="s">
        <v>26</v>
      </c>
      <c r="J1877" s="4">
        <v>0.16854084321475599</v>
      </c>
      <c r="K1877" t="s">
        <v>42</v>
      </c>
      <c r="L1877" t="s">
        <v>55</v>
      </c>
      <c r="M1877">
        <v>1</v>
      </c>
      <c r="N1877" t="s">
        <v>65</v>
      </c>
    </row>
    <row r="1878" spans="1:14" x14ac:dyDescent="0.3">
      <c r="A1878" s="1">
        <v>44887</v>
      </c>
      <c r="B1878" t="s">
        <v>32</v>
      </c>
      <c r="C1878" t="s">
        <v>33</v>
      </c>
      <c r="D1878" t="s">
        <v>22</v>
      </c>
      <c r="E1878">
        <v>2</v>
      </c>
      <c r="F1878">
        <v>1210</v>
      </c>
      <c r="G1878">
        <v>268.37</v>
      </c>
      <c r="H1878">
        <v>2022</v>
      </c>
      <c r="I1878" t="s">
        <v>18</v>
      </c>
      <c r="J1878" s="4">
        <v>0.22179338842975199</v>
      </c>
      <c r="K1878" t="s">
        <v>42</v>
      </c>
      <c r="L1878" t="s">
        <v>52</v>
      </c>
      <c r="M1878">
        <v>11</v>
      </c>
      <c r="N1878" t="s">
        <v>58</v>
      </c>
    </row>
    <row r="1879" spans="1:14" x14ac:dyDescent="0.3">
      <c r="A1879" s="1">
        <v>44658</v>
      </c>
      <c r="B1879" t="s">
        <v>32</v>
      </c>
      <c r="C1879" t="s">
        <v>33</v>
      </c>
      <c r="D1879" t="s">
        <v>22</v>
      </c>
      <c r="E1879">
        <v>8</v>
      </c>
      <c r="F1879">
        <v>904</v>
      </c>
      <c r="G1879">
        <v>181.45</v>
      </c>
      <c r="H1879">
        <v>2022</v>
      </c>
      <c r="I1879" t="s">
        <v>23</v>
      </c>
      <c r="J1879" s="4">
        <v>0.20071902654867299</v>
      </c>
      <c r="K1879" t="s">
        <v>42</v>
      </c>
      <c r="L1879" t="s">
        <v>59</v>
      </c>
      <c r="M1879">
        <v>4</v>
      </c>
      <c r="N1879" t="s">
        <v>62</v>
      </c>
    </row>
    <row r="1880" spans="1:14" x14ac:dyDescent="0.3">
      <c r="A1880" s="1">
        <v>44662</v>
      </c>
      <c r="B1880" t="s">
        <v>32</v>
      </c>
      <c r="C1880" t="s">
        <v>33</v>
      </c>
      <c r="D1880" t="s">
        <v>22</v>
      </c>
      <c r="E1880">
        <v>9</v>
      </c>
      <c r="F1880">
        <v>4752</v>
      </c>
      <c r="G1880">
        <v>1415.65</v>
      </c>
      <c r="H1880">
        <v>2022</v>
      </c>
      <c r="I1880" t="s">
        <v>23</v>
      </c>
      <c r="J1880" s="4">
        <v>0.29790614478114502</v>
      </c>
      <c r="K1880" t="s">
        <v>42</v>
      </c>
      <c r="L1880" t="s">
        <v>59</v>
      </c>
      <c r="M1880">
        <v>4</v>
      </c>
      <c r="N1880" t="s">
        <v>62</v>
      </c>
    </row>
    <row r="1881" spans="1:14" x14ac:dyDescent="0.3">
      <c r="A1881" s="1">
        <v>44881</v>
      </c>
      <c r="B1881" t="s">
        <v>32</v>
      </c>
      <c r="C1881" t="s">
        <v>33</v>
      </c>
      <c r="D1881" t="s">
        <v>22</v>
      </c>
      <c r="E1881">
        <v>3</v>
      </c>
      <c r="F1881">
        <v>2025</v>
      </c>
      <c r="G1881">
        <v>403</v>
      </c>
      <c r="H1881">
        <v>2022</v>
      </c>
      <c r="I1881" t="s">
        <v>18</v>
      </c>
      <c r="J1881" s="4">
        <v>0.19901234567901199</v>
      </c>
      <c r="K1881" t="s">
        <v>42</v>
      </c>
      <c r="L1881" t="s">
        <v>52</v>
      </c>
      <c r="M1881">
        <v>11</v>
      </c>
      <c r="N1881" t="s">
        <v>58</v>
      </c>
    </row>
    <row r="1882" spans="1:14" x14ac:dyDescent="0.3">
      <c r="A1882" s="1">
        <v>44872</v>
      </c>
      <c r="B1882" t="s">
        <v>32</v>
      </c>
      <c r="C1882" t="s">
        <v>33</v>
      </c>
      <c r="D1882" t="s">
        <v>19</v>
      </c>
      <c r="E1882">
        <v>4</v>
      </c>
      <c r="F1882">
        <v>3168</v>
      </c>
      <c r="G1882">
        <v>939.45</v>
      </c>
      <c r="H1882">
        <v>2022</v>
      </c>
      <c r="I1882" t="s">
        <v>18</v>
      </c>
      <c r="J1882" s="4">
        <v>0.29654356060606102</v>
      </c>
      <c r="K1882" t="s">
        <v>42</v>
      </c>
      <c r="L1882" t="s">
        <v>52</v>
      </c>
      <c r="M1882">
        <v>11</v>
      </c>
      <c r="N1882" t="s">
        <v>58</v>
      </c>
    </row>
    <row r="1883" spans="1:14" x14ac:dyDescent="0.3">
      <c r="A1883" s="1">
        <v>44694</v>
      </c>
      <c r="B1883" t="s">
        <v>32</v>
      </c>
      <c r="C1883" t="s">
        <v>33</v>
      </c>
      <c r="D1883" t="s">
        <v>19</v>
      </c>
      <c r="E1883">
        <v>3</v>
      </c>
      <c r="F1883">
        <v>1992</v>
      </c>
      <c r="G1883">
        <v>252.21</v>
      </c>
      <c r="H1883">
        <v>2022</v>
      </c>
      <c r="I1883" t="s">
        <v>20</v>
      </c>
      <c r="J1883" s="4">
        <v>0.12661144578313299</v>
      </c>
      <c r="K1883" t="s">
        <v>42</v>
      </c>
      <c r="L1883" t="s">
        <v>59</v>
      </c>
      <c r="M1883">
        <v>5</v>
      </c>
      <c r="N1883" t="s">
        <v>20</v>
      </c>
    </row>
    <row r="1884" spans="1:14" x14ac:dyDescent="0.3">
      <c r="A1884" s="1">
        <v>44636</v>
      </c>
      <c r="B1884" t="s">
        <v>32</v>
      </c>
      <c r="C1884" t="s">
        <v>33</v>
      </c>
      <c r="D1884" t="s">
        <v>19</v>
      </c>
      <c r="E1884">
        <v>5</v>
      </c>
      <c r="F1884">
        <v>4920</v>
      </c>
      <c r="G1884">
        <v>323.38</v>
      </c>
      <c r="H1884">
        <v>2022</v>
      </c>
      <c r="I1884" t="s">
        <v>15</v>
      </c>
      <c r="J1884" s="4">
        <v>6.5727642276422804E-2</v>
      </c>
      <c r="K1884" t="s">
        <v>42</v>
      </c>
      <c r="L1884" t="s">
        <v>55</v>
      </c>
      <c r="M1884">
        <v>3</v>
      </c>
      <c r="N1884" t="s">
        <v>56</v>
      </c>
    </row>
    <row r="1885" spans="1:14" x14ac:dyDescent="0.3">
      <c r="A1885" s="1">
        <v>44890</v>
      </c>
      <c r="B1885" t="s">
        <v>32</v>
      </c>
      <c r="C1885" t="s">
        <v>33</v>
      </c>
      <c r="D1885" t="s">
        <v>22</v>
      </c>
      <c r="E1885">
        <v>5</v>
      </c>
      <c r="F1885">
        <v>4680</v>
      </c>
      <c r="G1885">
        <v>516.26</v>
      </c>
      <c r="H1885">
        <v>2022</v>
      </c>
      <c r="I1885" t="s">
        <v>18</v>
      </c>
      <c r="J1885" s="4">
        <v>0.11031196581196601</v>
      </c>
      <c r="K1885" t="s">
        <v>42</v>
      </c>
      <c r="L1885" t="s">
        <v>52</v>
      </c>
      <c r="M1885">
        <v>11</v>
      </c>
      <c r="N1885" t="s">
        <v>58</v>
      </c>
    </row>
    <row r="1886" spans="1:14" x14ac:dyDescent="0.3">
      <c r="A1886" s="1">
        <v>44573</v>
      </c>
      <c r="B1886" t="s">
        <v>32</v>
      </c>
      <c r="C1886" t="s">
        <v>33</v>
      </c>
      <c r="D1886" t="s">
        <v>22</v>
      </c>
      <c r="E1886">
        <v>6</v>
      </c>
      <c r="F1886">
        <v>738</v>
      </c>
      <c r="G1886">
        <v>158.96</v>
      </c>
      <c r="H1886">
        <v>2022</v>
      </c>
      <c r="I1886" t="s">
        <v>26</v>
      </c>
      <c r="J1886" s="4">
        <v>0.215392953929539</v>
      </c>
      <c r="K1886" t="s">
        <v>42</v>
      </c>
      <c r="L1886" t="s">
        <v>55</v>
      </c>
      <c r="M1886">
        <v>1</v>
      </c>
      <c r="N1886" t="s">
        <v>65</v>
      </c>
    </row>
    <row r="1887" spans="1:14" x14ac:dyDescent="0.3">
      <c r="A1887" s="1">
        <v>44825</v>
      </c>
      <c r="B1887" t="s">
        <v>32</v>
      </c>
      <c r="C1887" t="s">
        <v>33</v>
      </c>
      <c r="D1887" t="s">
        <v>17</v>
      </c>
      <c r="E1887">
        <v>2</v>
      </c>
      <c r="F1887">
        <v>978</v>
      </c>
      <c r="G1887">
        <v>210.75</v>
      </c>
      <c r="H1887">
        <v>2022</v>
      </c>
      <c r="I1887" t="s">
        <v>21</v>
      </c>
      <c r="J1887" s="4">
        <v>0.215490797546012</v>
      </c>
      <c r="K1887" t="s">
        <v>42</v>
      </c>
      <c r="L1887" t="s">
        <v>60</v>
      </c>
      <c r="M1887">
        <v>9</v>
      </c>
      <c r="N1887" t="s">
        <v>61</v>
      </c>
    </row>
    <row r="1888" spans="1:14" x14ac:dyDescent="0.3">
      <c r="A1888" s="1">
        <v>44688</v>
      </c>
      <c r="B1888" t="s">
        <v>32</v>
      </c>
      <c r="C1888" t="s">
        <v>33</v>
      </c>
      <c r="D1888" t="s">
        <v>12</v>
      </c>
      <c r="E1888">
        <v>3</v>
      </c>
      <c r="F1888">
        <v>312</v>
      </c>
      <c r="G1888">
        <v>74.8</v>
      </c>
      <c r="H1888">
        <v>2022</v>
      </c>
      <c r="I1888" t="s">
        <v>20</v>
      </c>
      <c r="J1888" s="4">
        <v>0.23974358974359</v>
      </c>
      <c r="K1888" t="s">
        <v>42</v>
      </c>
      <c r="L1888" t="s">
        <v>59</v>
      </c>
      <c r="M1888">
        <v>5</v>
      </c>
      <c r="N1888" t="s">
        <v>20</v>
      </c>
    </row>
    <row r="1889" spans="1:14" x14ac:dyDescent="0.3">
      <c r="A1889" s="1">
        <v>44773</v>
      </c>
      <c r="B1889" t="s">
        <v>32</v>
      </c>
      <c r="C1889" t="s">
        <v>33</v>
      </c>
      <c r="D1889" t="s">
        <v>17</v>
      </c>
      <c r="E1889">
        <v>3</v>
      </c>
      <c r="F1889">
        <v>2712</v>
      </c>
      <c r="G1889">
        <v>751.52</v>
      </c>
      <c r="H1889">
        <v>2022</v>
      </c>
      <c r="I1889" t="s">
        <v>25</v>
      </c>
      <c r="J1889" s="4">
        <v>0.27710914454277302</v>
      </c>
      <c r="K1889" t="s">
        <v>42</v>
      </c>
      <c r="L1889" t="s">
        <v>60</v>
      </c>
      <c r="M1889">
        <v>7</v>
      </c>
      <c r="N1889" t="s">
        <v>64</v>
      </c>
    </row>
    <row r="1890" spans="1:14" x14ac:dyDescent="0.3">
      <c r="A1890" s="1">
        <v>44904</v>
      </c>
      <c r="B1890" t="s">
        <v>32</v>
      </c>
      <c r="C1890" t="s">
        <v>33</v>
      </c>
      <c r="D1890" t="s">
        <v>22</v>
      </c>
      <c r="E1890">
        <v>3</v>
      </c>
      <c r="F1890">
        <v>1392</v>
      </c>
      <c r="G1890">
        <v>345.78</v>
      </c>
      <c r="H1890">
        <v>2022</v>
      </c>
      <c r="I1890" t="s">
        <v>13</v>
      </c>
      <c r="J1890" s="4">
        <v>0.24840517241379301</v>
      </c>
      <c r="K1890" t="s">
        <v>42</v>
      </c>
      <c r="L1890" t="s">
        <v>52</v>
      </c>
      <c r="M1890">
        <v>12</v>
      </c>
      <c r="N1890" t="s">
        <v>53</v>
      </c>
    </row>
    <row r="1891" spans="1:14" x14ac:dyDescent="0.3">
      <c r="A1891" s="1">
        <v>44776</v>
      </c>
      <c r="B1891" t="s">
        <v>32</v>
      </c>
      <c r="C1891" t="s">
        <v>33</v>
      </c>
      <c r="D1891" t="s">
        <v>17</v>
      </c>
      <c r="E1891">
        <v>8</v>
      </c>
      <c r="F1891">
        <v>5640</v>
      </c>
      <c r="G1891">
        <v>747.26</v>
      </c>
      <c r="H1891">
        <v>2022</v>
      </c>
      <c r="I1891" t="s">
        <v>24</v>
      </c>
      <c r="J1891" s="4">
        <v>0.13249290780141801</v>
      </c>
      <c r="K1891" t="s">
        <v>42</v>
      </c>
      <c r="L1891" t="s">
        <v>60</v>
      </c>
      <c r="M1891">
        <v>8</v>
      </c>
      <c r="N1891" t="s">
        <v>63</v>
      </c>
    </row>
    <row r="1892" spans="1:14" x14ac:dyDescent="0.3">
      <c r="A1892" s="1">
        <v>44587</v>
      </c>
      <c r="B1892" t="s">
        <v>32</v>
      </c>
      <c r="C1892" t="s">
        <v>33</v>
      </c>
      <c r="D1892" t="s">
        <v>22</v>
      </c>
      <c r="E1892">
        <v>7</v>
      </c>
      <c r="F1892">
        <v>4186</v>
      </c>
      <c r="G1892">
        <v>655.53</v>
      </c>
      <c r="H1892">
        <v>2022</v>
      </c>
      <c r="I1892" t="s">
        <v>26</v>
      </c>
      <c r="J1892" s="4">
        <v>0.15660057333970401</v>
      </c>
      <c r="K1892" t="s">
        <v>42</v>
      </c>
      <c r="L1892" t="s">
        <v>55</v>
      </c>
      <c r="M1892">
        <v>1</v>
      </c>
      <c r="N1892" t="s">
        <v>65</v>
      </c>
    </row>
    <row r="1893" spans="1:14" x14ac:dyDescent="0.3">
      <c r="A1893" s="1">
        <v>44605</v>
      </c>
      <c r="B1893" t="s">
        <v>32</v>
      </c>
      <c r="C1893" t="s">
        <v>33</v>
      </c>
      <c r="D1893" t="s">
        <v>17</v>
      </c>
      <c r="E1893">
        <v>3</v>
      </c>
      <c r="F1893">
        <v>3051</v>
      </c>
      <c r="G1893">
        <v>201.26</v>
      </c>
      <c r="H1893">
        <v>2022</v>
      </c>
      <c r="I1893" t="s">
        <v>16</v>
      </c>
      <c r="J1893" s="4">
        <v>6.5965257292690899E-2</v>
      </c>
      <c r="K1893" t="s">
        <v>42</v>
      </c>
      <c r="L1893" t="s">
        <v>55</v>
      </c>
      <c r="M1893">
        <v>2</v>
      </c>
      <c r="N1893" t="s">
        <v>57</v>
      </c>
    </row>
    <row r="1894" spans="1:14" x14ac:dyDescent="0.3">
      <c r="A1894" s="1">
        <v>44895</v>
      </c>
      <c r="B1894" t="s">
        <v>32</v>
      </c>
      <c r="C1894" t="s">
        <v>33</v>
      </c>
      <c r="D1894" t="s">
        <v>12</v>
      </c>
      <c r="E1894">
        <v>2</v>
      </c>
      <c r="F1894">
        <v>2018</v>
      </c>
      <c r="G1894">
        <v>227.75</v>
      </c>
      <c r="H1894">
        <v>2022</v>
      </c>
      <c r="I1894" t="s">
        <v>18</v>
      </c>
      <c r="J1894" s="4">
        <v>0.112859266600595</v>
      </c>
      <c r="K1894" t="s">
        <v>42</v>
      </c>
      <c r="L1894" t="s">
        <v>52</v>
      </c>
      <c r="M1894">
        <v>11</v>
      </c>
      <c r="N1894" t="s">
        <v>58</v>
      </c>
    </row>
    <row r="1895" spans="1:14" x14ac:dyDescent="0.3">
      <c r="A1895" s="1">
        <v>44880</v>
      </c>
      <c r="B1895" t="s">
        <v>32</v>
      </c>
      <c r="C1895" t="s">
        <v>33</v>
      </c>
      <c r="D1895" t="s">
        <v>12</v>
      </c>
      <c r="E1895">
        <v>4</v>
      </c>
      <c r="F1895">
        <v>3616</v>
      </c>
      <c r="G1895">
        <v>745.75</v>
      </c>
      <c r="H1895">
        <v>2022</v>
      </c>
      <c r="I1895" t="s">
        <v>18</v>
      </c>
      <c r="J1895" s="4">
        <v>0.206236172566372</v>
      </c>
      <c r="K1895" t="s">
        <v>42</v>
      </c>
      <c r="L1895" t="s">
        <v>52</v>
      </c>
      <c r="M1895">
        <v>11</v>
      </c>
      <c r="N1895" t="s">
        <v>58</v>
      </c>
    </row>
    <row r="1896" spans="1:14" x14ac:dyDescent="0.3">
      <c r="A1896" s="1">
        <v>44926</v>
      </c>
      <c r="B1896" t="s">
        <v>32</v>
      </c>
      <c r="C1896" t="s">
        <v>33</v>
      </c>
      <c r="D1896" t="s">
        <v>17</v>
      </c>
      <c r="E1896">
        <v>7</v>
      </c>
      <c r="F1896">
        <v>3941</v>
      </c>
      <c r="G1896">
        <v>1113.8499999999999</v>
      </c>
      <c r="H1896">
        <v>2022</v>
      </c>
      <c r="I1896" t="s">
        <v>13</v>
      </c>
      <c r="J1896" s="4">
        <v>0.28263131184978402</v>
      </c>
      <c r="K1896" t="s">
        <v>42</v>
      </c>
      <c r="L1896" t="s">
        <v>52</v>
      </c>
      <c r="M1896">
        <v>12</v>
      </c>
      <c r="N1896" t="s">
        <v>53</v>
      </c>
    </row>
    <row r="1897" spans="1:14" x14ac:dyDescent="0.3">
      <c r="A1897" s="1">
        <v>44721</v>
      </c>
      <c r="B1897" t="s">
        <v>32</v>
      </c>
      <c r="C1897" t="s">
        <v>33</v>
      </c>
      <c r="D1897" t="s">
        <v>17</v>
      </c>
      <c r="E1897">
        <v>8</v>
      </c>
      <c r="F1897">
        <v>2416</v>
      </c>
      <c r="G1897">
        <v>403.38</v>
      </c>
      <c r="H1897">
        <v>2022</v>
      </c>
      <c r="I1897" t="s">
        <v>27</v>
      </c>
      <c r="J1897" s="4">
        <v>0.16696192052980099</v>
      </c>
      <c r="K1897" t="s">
        <v>42</v>
      </c>
      <c r="L1897" t="s">
        <v>59</v>
      </c>
      <c r="M1897">
        <v>6</v>
      </c>
      <c r="N1897" t="s">
        <v>66</v>
      </c>
    </row>
    <row r="1898" spans="1:14" x14ac:dyDescent="0.3">
      <c r="A1898" s="1">
        <v>44710</v>
      </c>
      <c r="B1898" t="s">
        <v>32</v>
      </c>
      <c r="C1898" t="s">
        <v>33</v>
      </c>
      <c r="D1898" t="s">
        <v>19</v>
      </c>
      <c r="E1898">
        <v>4</v>
      </c>
      <c r="F1898">
        <v>3912</v>
      </c>
      <c r="G1898">
        <v>454.89</v>
      </c>
      <c r="H1898">
        <v>2022</v>
      </c>
      <c r="I1898" t="s">
        <v>20</v>
      </c>
      <c r="J1898" s="4">
        <v>0.11628067484662601</v>
      </c>
      <c r="K1898" t="s">
        <v>42</v>
      </c>
      <c r="L1898" t="s">
        <v>59</v>
      </c>
      <c r="M1898">
        <v>5</v>
      </c>
      <c r="N1898" t="s">
        <v>20</v>
      </c>
    </row>
    <row r="1899" spans="1:14" x14ac:dyDescent="0.3">
      <c r="A1899" s="1">
        <v>44699</v>
      </c>
      <c r="B1899" t="s">
        <v>32</v>
      </c>
      <c r="C1899" t="s">
        <v>33</v>
      </c>
      <c r="D1899" t="s">
        <v>17</v>
      </c>
      <c r="E1899">
        <v>3</v>
      </c>
      <c r="F1899">
        <v>2256</v>
      </c>
      <c r="G1899">
        <v>282.52</v>
      </c>
      <c r="H1899">
        <v>2022</v>
      </c>
      <c r="I1899" t="s">
        <v>20</v>
      </c>
      <c r="J1899" s="4">
        <v>0.125230496453901</v>
      </c>
      <c r="K1899" t="s">
        <v>42</v>
      </c>
      <c r="L1899" t="s">
        <v>59</v>
      </c>
      <c r="M1899">
        <v>5</v>
      </c>
      <c r="N1899" t="s">
        <v>20</v>
      </c>
    </row>
    <row r="1900" spans="1:14" x14ac:dyDescent="0.3">
      <c r="A1900" s="1">
        <v>44605</v>
      </c>
      <c r="B1900" t="s">
        <v>32</v>
      </c>
      <c r="C1900" t="s">
        <v>33</v>
      </c>
      <c r="D1900" t="s">
        <v>19</v>
      </c>
      <c r="E1900">
        <v>9</v>
      </c>
      <c r="F1900">
        <v>4914</v>
      </c>
      <c r="G1900">
        <v>1160.45</v>
      </c>
      <c r="H1900">
        <v>2022</v>
      </c>
      <c r="I1900" t="s">
        <v>16</v>
      </c>
      <c r="J1900" s="4">
        <v>0.236151811151811</v>
      </c>
      <c r="K1900" t="s">
        <v>42</v>
      </c>
      <c r="L1900" t="s">
        <v>55</v>
      </c>
      <c r="M1900">
        <v>2</v>
      </c>
      <c r="N1900" t="s">
        <v>57</v>
      </c>
    </row>
    <row r="1901" spans="1:14" x14ac:dyDescent="0.3">
      <c r="A1901" s="1">
        <v>44802</v>
      </c>
      <c r="B1901" t="s">
        <v>32</v>
      </c>
      <c r="C1901" t="s">
        <v>33</v>
      </c>
      <c r="D1901" t="s">
        <v>19</v>
      </c>
      <c r="E1901">
        <v>2</v>
      </c>
      <c r="F1901">
        <v>2046</v>
      </c>
      <c r="G1901">
        <v>233.47</v>
      </c>
      <c r="H1901">
        <v>2022</v>
      </c>
      <c r="I1901" t="s">
        <v>24</v>
      </c>
      <c r="J1901" s="4">
        <v>0.11411045943304</v>
      </c>
      <c r="K1901" t="s">
        <v>42</v>
      </c>
      <c r="L1901" t="s">
        <v>60</v>
      </c>
      <c r="M1901">
        <v>8</v>
      </c>
      <c r="N1901" t="s">
        <v>63</v>
      </c>
    </row>
    <row r="1902" spans="1:14" x14ac:dyDescent="0.3">
      <c r="A1902" s="1">
        <v>44776</v>
      </c>
      <c r="B1902" t="s">
        <v>32</v>
      </c>
      <c r="C1902" t="s">
        <v>33</v>
      </c>
      <c r="D1902" t="s">
        <v>19</v>
      </c>
      <c r="E1902">
        <v>5</v>
      </c>
      <c r="F1902">
        <v>1620</v>
      </c>
      <c r="G1902">
        <v>325.87</v>
      </c>
      <c r="H1902">
        <v>2022</v>
      </c>
      <c r="I1902" t="s">
        <v>24</v>
      </c>
      <c r="J1902" s="4">
        <v>0.20115432098765401</v>
      </c>
      <c r="K1902" t="s">
        <v>42</v>
      </c>
      <c r="L1902" t="s">
        <v>60</v>
      </c>
      <c r="M1902">
        <v>8</v>
      </c>
      <c r="N1902" t="s">
        <v>63</v>
      </c>
    </row>
    <row r="1903" spans="1:14" x14ac:dyDescent="0.3">
      <c r="A1903" s="1">
        <v>44569</v>
      </c>
      <c r="B1903" t="s">
        <v>32</v>
      </c>
      <c r="C1903" t="s">
        <v>33</v>
      </c>
      <c r="D1903" t="s">
        <v>22</v>
      </c>
      <c r="E1903">
        <v>5</v>
      </c>
      <c r="F1903">
        <v>3290</v>
      </c>
      <c r="G1903">
        <v>797.82</v>
      </c>
      <c r="H1903">
        <v>2022</v>
      </c>
      <c r="I1903" t="s">
        <v>26</v>
      </c>
      <c r="J1903" s="4">
        <v>0.24249848024316101</v>
      </c>
      <c r="K1903" t="s">
        <v>42</v>
      </c>
      <c r="L1903" t="s">
        <v>55</v>
      </c>
      <c r="M1903">
        <v>1</v>
      </c>
      <c r="N1903" t="s">
        <v>65</v>
      </c>
    </row>
    <row r="1904" spans="1:14" x14ac:dyDescent="0.3">
      <c r="A1904" s="1">
        <v>44639</v>
      </c>
      <c r="B1904" t="s">
        <v>32</v>
      </c>
      <c r="C1904" t="s">
        <v>33</v>
      </c>
      <c r="D1904" t="s">
        <v>22</v>
      </c>
      <c r="E1904">
        <v>7</v>
      </c>
      <c r="F1904">
        <v>7616</v>
      </c>
      <c r="G1904">
        <v>1317.79</v>
      </c>
      <c r="H1904">
        <v>2022</v>
      </c>
      <c r="I1904" t="s">
        <v>15</v>
      </c>
      <c r="J1904" s="4">
        <v>0.173029149159664</v>
      </c>
      <c r="K1904" t="s">
        <v>42</v>
      </c>
      <c r="L1904" t="s">
        <v>55</v>
      </c>
      <c r="M1904">
        <v>3</v>
      </c>
      <c r="N1904" t="s">
        <v>56</v>
      </c>
    </row>
    <row r="1905" spans="1:14" x14ac:dyDescent="0.3">
      <c r="A1905" s="1">
        <v>44656</v>
      </c>
      <c r="B1905" t="s">
        <v>32</v>
      </c>
      <c r="C1905" t="s">
        <v>33</v>
      </c>
      <c r="D1905" t="s">
        <v>17</v>
      </c>
      <c r="E1905">
        <v>3</v>
      </c>
      <c r="F1905">
        <v>288</v>
      </c>
      <c r="G1905">
        <v>77.38</v>
      </c>
      <c r="H1905">
        <v>2022</v>
      </c>
      <c r="I1905" t="s">
        <v>23</v>
      </c>
      <c r="J1905" s="4">
        <v>0.26868055555555598</v>
      </c>
      <c r="K1905" t="s">
        <v>42</v>
      </c>
      <c r="L1905" t="s">
        <v>59</v>
      </c>
      <c r="M1905">
        <v>4</v>
      </c>
      <c r="N1905" t="s">
        <v>62</v>
      </c>
    </row>
    <row r="1906" spans="1:14" x14ac:dyDescent="0.3">
      <c r="A1906" s="1">
        <v>44700</v>
      </c>
      <c r="B1906" t="s">
        <v>32</v>
      </c>
      <c r="C1906" t="s">
        <v>33</v>
      </c>
      <c r="D1906" t="s">
        <v>12</v>
      </c>
      <c r="E1906">
        <v>5</v>
      </c>
      <c r="F1906">
        <v>4025</v>
      </c>
      <c r="G1906">
        <v>407.72</v>
      </c>
      <c r="H1906">
        <v>2022</v>
      </c>
      <c r="I1906" t="s">
        <v>20</v>
      </c>
      <c r="J1906" s="4">
        <v>0.101296894409938</v>
      </c>
      <c r="K1906" t="s">
        <v>42</v>
      </c>
      <c r="L1906" t="s">
        <v>59</v>
      </c>
      <c r="M1906">
        <v>5</v>
      </c>
      <c r="N1906" t="s">
        <v>20</v>
      </c>
    </row>
    <row r="1907" spans="1:14" x14ac:dyDescent="0.3">
      <c r="A1907" s="1">
        <v>44781</v>
      </c>
      <c r="B1907" t="s">
        <v>32</v>
      </c>
      <c r="C1907" t="s">
        <v>33</v>
      </c>
      <c r="D1907" t="s">
        <v>22</v>
      </c>
      <c r="E1907">
        <v>7</v>
      </c>
      <c r="F1907">
        <v>7763</v>
      </c>
      <c r="G1907">
        <v>1444.27</v>
      </c>
      <c r="H1907">
        <v>2022</v>
      </c>
      <c r="I1907" t="s">
        <v>24</v>
      </c>
      <c r="J1907" s="4">
        <v>0.18604534329511799</v>
      </c>
      <c r="K1907" t="s">
        <v>42</v>
      </c>
      <c r="L1907" t="s">
        <v>60</v>
      </c>
      <c r="M1907">
        <v>8</v>
      </c>
      <c r="N1907" t="s">
        <v>63</v>
      </c>
    </row>
    <row r="1908" spans="1:14" x14ac:dyDescent="0.3">
      <c r="A1908" s="1">
        <v>44899</v>
      </c>
      <c r="B1908" t="s">
        <v>32</v>
      </c>
      <c r="C1908" t="s">
        <v>33</v>
      </c>
      <c r="D1908" t="s">
        <v>19</v>
      </c>
      <c r="E1908">
        <v>6</v>
      </c>
      <c r="F1908">
        <v>5298</v>
      </c>
      <c r="G1908">
        <v>1209.8800000000001</v>
      </c>
      <c r="H1908">
        <v>2022</v>
      </c>
      <c r="I1908" t="s">
        <v>13</v>
      </c>
      <c r="J1908" s="4">
        <v>0.228365420913552</v>
      </c>
      <c r="K1908" t="s">
        <v>42</v>
      </c>
      <c r="L1908" t="s">
        <v>52</v>
      </c>
      <c r="M1908">
        <v>12</v>
      </c>
      <c r="N1908" t="s">
        <v>53</v>
      </c>
    </row>
    <row r="1909" spans="1:14" x14ac:dyDescent="0.3">
      <c r="A1909" s="1">
        <v>44736</v>
      </c>
      <c r="B1909" t="s">
        <v>32</v>
      </c>
      <c r="C1909" t="s">
        <v>33</v>
      </c>
      <c r="D1909" t="s">
        <v>22</v>
      </c>
      <c r="E1909">
        <v>2</v>
      </c>
      <c r="F1909">
        <v>2046</v>
      </c>
      <c r="G1909">
        <v>394.93</v>
      </c>
      <c r="H1909">
        <v>2022</v>
      </c>
      <c r="I1909" t="s">
        <v>27</v>
      </c>
      <c r="J1909" s="4">
        <v>0.19302541544477</v>
      </c>
      <c r="K1909" t="s">
        <v>42</v>
      </c>
      <c r="L1909" t="s">
        <v>59</v>
      </c>
      <c r="M1909">
        <v>6</v>
      </c>
      <c r="N1909" t="s">
        <v>66</v>
      </c>
    </row>
    <row r="1910" spans="1:14" x14ac:dyDescent="0.3">
      <c r="A1910" s="1">
        <v>44574</v>
      </c>
      <c r="B1910" t="s">
        <v>32</v>
      </c>
      <c r="C1910" t="s">
        <v>33</v>
      </c>
      <c r="D1910" t="s">
        <v>22</v>
      </c>
      <c r="E1910">
        <v>8</v>
      </c>
      <c r="F1910">
        <v>4904</v>
      </c>
      <c r="G1910">
        <v>520.74</v>
      </c>
      <c r="H1910">
        <v>2022</v>
      </c>
      <c r="I1910" t="s">
        <v>26</v>
      </c>
      <c r="J1910" s="4">
        <v>0.1061867862969</v>
      </c>
      <c r="K1910" t="s">
        <v>42</v>
      </c>
      <c r="L1910" t="s">
        <v>55</v>
      </c>
      <c r="M1910">
        <v>1</v>
      </c>
      <c r="N1910" t="s">
        <v>65</v>
      </c>
    </row>
    <row r="1911" spans="1:14" x14ac:dyDescent="0.3">
      <c r="A1911" s="1">
        <v>44619</v>
      </c>
      <c r="B1911" t="s">
        <v>32</v>
      </c>
      <c r="C1911" t="s">
        <v>33</v>
      </c>
      <c r="D1911" t="s">
        <v>22</v>
      </c>
      <c r="E1911">
        <v>2</v>
      </c>
      <c r="F1911">
        <v>956</v>
      </c>
      <c r="G1911">
        <v>202.14</v>
      </c>
      <c r="H1911">
        <v>2022</v>
      </c>
      <c r="I1911" t="s">
        <v>16</v>
      </c>
      <c r="J1911" s="4">
        <v>0.21144351464435099</v>
      </c>
      <c r="K1911" t="s">
        <v>42</v>
      </c>
      <c r="L1911" t="s">
        <v>55</v>
      </c>
      <c r="M1911">
        <v>2</v>
      </c>
      <c r="N1911" t="s">
        <v>57</v>
      </c>
    </row>
    <row r="1912" spans="1:14" x14ac:dyDescent="0.3">
      <c r="A1912" s="1">
        <v>44733</v>
      </c>
      <c r="B1912" t="s">
        <v>32</v>
      </c>
      <c r="C1912" t="s">
        <v>33</v>
      </c>
      <c r="D1912" t="s">
        <v>19</v>
      </c>
      <c r="E1912">
        <v>4</v>
      </c>
      <c r="F1912">
        <v>1372</v>
      </c>
      <c r="G1912">
        <v>274.47000000000003</v>
      </c>
      <c r="H1912">
        <v>2022</v>
      </c>
      <c r="I1912" t="s">
        <v>27</v>
      </c>
      <c r="J1912" s="4">
        <v>0.200051020408163</v>
      </c>
      <c r="K1912" t="s">
        <v>42</v>
      </c>
      <c r="L1912" t="s">
        <v>59</v>
      </c>
      <c r="M1912">
        <v>6</v>
      </c>
      <c r="N1912" t="s">
        <v>66</v>
      </c>
    </row>
    <row r="1913" spans="1:14" x14ac:dyDescent="0.3">
      <c r="A1913" s="1">
        <v>44750</v>
      </c>
      <c r="B1913" t="s">
        <v>32</v>
      </c>
      <c r="C1913" t="s">
        <v>33</v>
      </c>
      <c r="D1913" t="s">
        <v>17</v>
      </c>
      <c r="E1913">
        <v>8</v>
      </c>
      <c r="F1913">
        <v>920</v>
      </c>
      <c r="G1913">
        <v>214.27</v>
      </c>
      <c r="H1913">
        <v>2022</v>
      </c>
      <c r="I1913" t="s">
        <v>25</v>
      </c>
      <c r="J1913" s="4">
        <v>0.23290217391304399</v>
      </c>
      <c r="K1913" t="s">
        <v>42</v>
      </c>
      <c r="L1913" t="s">
        <v>60</v>
      </c>
      <c r="M1913">
        <v>7</v>
      </c>
      <c r="N1913" t="s">
        <v>64</v>
      </c>
    </row>
    <row r="1914" spans="1:14" x14ac:dyDescent="0.3">
      <c r="A1914" s="1">
        <v>44616</v>
      </c>
      <c r="B1914" t="s">
        <v>32</v>
      </c>
      <c r="C1914" t="s">
        <v>33</v>
      </c>
      <c r="D1914" t="s">
        <v>19</v>
      </c>
      <c r="E1914">
        <v>3</v>
      </c>
      <c r="F1914">
        <v>3519</v>
      </c>
      <c r="G1914">
        <v>935.72</v>
      </c>
      <c r="H1914">
        <v>2022</v>
      </c>
      <c r="I1914" t="s">
        <v>16</v>
      </c>
      <c r="J1914" s="4">
        <v>0.26590508667235002</v>
      </c>
      <c r="K1914" t="s">
        <v>42</v>
      </c>
      <c r="L1914" t="s">
        <v>55</v>
      </c>
      <c r="M1914">
        <v>2</v>
      </c>
      <c r="N1914" t="s">
        <v>57</v>
      </c>
    </row>
    <row r="1915" spans="1:14" x14ac:dyDescent="0.3">
      <c r="A1915" s="1">
        <v>44860</v>
      </c>
      <c r="B1915" t="s">
        <v>32</v>
      </c>
      <c r="C1915" t="s">
        <v>33</v>
      </c>
      <c r="D1915" t="s">
        <v>12</v>
      </c>
      <c r="E1915">
        <v>6</v>
      </c>
      <c r="F1915">
        <v>2640</v>
      </c>
      <c r="G1915">
        <v>668.12</v>
      </c>
      <c r="H1915">
        <v>2022</v>
      </c>
      <c r="I1915" t="s">
        <v>14</v>
      </c>
      <c r="J1915" s="4">
        <v>0.25307575757575801</v>
      </c>
      <c r="K1915" t="s">
        <v>42</v>
      </c>
      <c r="L1915" t="s">
        <v>52</v>
      </c>
      <c r="M1915">
        <v>10</v>
      </c>
      <c r="N1915" t="s">
        <v>54</v>
      </c>
    </row>
    <row r="1916" spans="1:14" x14ac:dyDescent="0.3">
      <c r="A1916" s="1">
        <v>44807</v>
      </c>
      <c r="B1916" t="s">
        <v>32</v>
      </c>
      <c r="C1916" t="s">
        <v>33</v>
      </c>
      <c r="D1916" t="s">
        <v>22</v>
      </c>
      <c r="E1916">
        <v>9</v>
      </c>
      <c r="F1916">
        <v>4797</v>
      </c>
      <c r="G1916">
        <v>1193.95</v>
      </c>
      <c r="H1916">
        <v>2022</v>
      </c>
      <c r="I1916" t="s">
        <v>21</v>
      </c>
      <c r="J1916" s="4">
        <v>0.24889514279758199</v>
      </c>
      <c r="K1916" t="s">
        <v>42</v>
      </c>
      <c r="L1916" t="s">
        <v>60</v>
      </c>
      <c r="M1916">
        <v>9</v>
      </c>
      <c r="N1916" t="s">
        <v>61</v>
      </c>
    </row>
    <row r="1917" spans="1:14" x14ac:dyDescent="0.3">
      <c r="A1917" s="1">
        <v>44904</v>
      </c>
      <c r="B1917" t="s">
        <v>32</v>
      </c>
      <c r="C1917" t="s">
        <v>33</v>
      </c>
      <c r="D1917" t="s">
        <v>22</v>
      </c>
      <c r="E1917">
        <v>1</v>
      </c>
      <c r="F1917">
        <v>355</v>
      </c>
      <c r="G1917">
        <v>26.8</v>
      </c>
      <c r="H1917">
        <v>2022</v>
      </c>
      <c r="I1917" t="s">
        <v>13</v>
      </c>
      <c r="J1917" s="4">
        <v>7.5492957746478906E-2</v>
      </c>
      <c r="K1917" t="s">
        <v>42</v>
      </c>
      <c r="L1917" t="s">
        <v>52</v>
      </c>
      <c r="M1917">
        <v>12</v>
      </c>
      <c r="N1917" t="s">
        <v>53</v>
      </c>
    </row>
    <row r="1918" spans="1:14" x14ac:dyDescent="0.3">
      <c r="A1918" s="1">
        <v>44674</v>
      </c>
      <c r="B1918" t="s">
        <v>32</v>
      </c>
      <c r="C1918" t="s">
        <v>33</v>
      </c>
      <c r="D1918" t="s">
        <v>19</v>
      </c>
      <c r="E1918">
        <v>4</v>
      </c>
      <c r="F1918">
        <v>2160</v>
      </c>
      <c r="G1918">
        <v>631.9</v>
      </c>
      <c r="H1918">
        <v>2022</v>
      </c>
      <c r="I1918" t="s">
        <v>23</v>
      </c>
      <c r="J1918" s="4">
        <v>0.29254629629629603</v>
      </c>
      <c r="K1918" t="s">
        <v>42</v>
      </c>
      <c r="L1918" t="s">
        <v>59</v>
      </c>
      <c r="M1918">
        <v>4</v>
      </c>
      <c r="N1918" t="s">
        <v>62</v>
      </c>
    </row>
    <row r="1919" spans="1:14" x14ac:dyDescent="0.3">
      <c r="A1919" s="1">
        <v>44835</v>
      </c>
      <c r="B1919" t="s">
        <v>32</v>
      </c>
      <c r="C1919" t="s">
        <v>33</v>
      </c>
      <c r="D1919" t="s">
        <v>12</v>
      </c>
      <c r="E1919">
        <v>8</v>
      </c>
      <c r="F1919">
        <v>5712</v>
      </c>
      <c r="G1919">
        <v>1191.02</v>
      </c>
      <c r="H1919">
        <v>2022</v>
      </c>
      <c r="I1919" t="s">
        <v>14</v>
      </c>
      <c r="J1919" s="4">
        <v>0.20851190476190501</v>
      </c>
      <c r="K1919" t="s">
        <v>42</v>
      </c>
      <c r="L1919" t="s">
        <v>52</v>
      </c>
      <c r="M1919">
        <v>10</v>
      </c>
      <c r="N1919" t="s">
        <v>54</v>
      </c>
    </row>
    <row r="1920" spans="1:14" x14ac:dyDescent="0.3">
      <c r="A1920" s="1">
        <v>44667</v>
      </c>
      <c r="B1920" t="s">
        <v>32</v>
      </c>
      <c r="C1920" t="s">
        <v>33</v>
      </c>
      <c r="D1920" t="s">
        <v>22</v>
      </c>
      <c r="E1920">
        <v>1</v>
      </c>
      <c r="F1920">
        <v>977</v>
      </c>
      <c r="G1920">
        <v>103.82</v>
      </c>
      <c r="H1920">
        <v>2022</v>
      </c>
      <c r="I1920" t="s">
        <v>23</v>
      </c>
      <c r="J1920" s="4">
        <v>0.106264073694985</v>
      </c>
      <c r="K1920" t="s">
        <v>42</v>
      </c>
      <c r="L1920" t="s">
        <v>59</v>
      </c>
      <c r="M1920">
        <v>4</v>
      </c>
      <c r="N1920" t="s">
        <v>62</v>
      </c>
    </row>
    <row r="1921" spans="1:14" x14ac:dyDescent="0.3">
      <c r="A1921" s="1">
        <v>44729</v>
      </c>
      <c r="B1921" t="s">
        <v>32</v>
      </c>
      <c r="C1921" t="s">
        <v>33</v>
      </c>
      <c r="D1921" t="s">
        <v>17</v>
      </c>
      <c r="E1921">
        <v>5</v>
      </c>
      <c r="F1921">
        <v>2240</v>
      </c>
      <c r="G1921">
        <v>159.58000000000001</v>
      </c>
      <c r="H1921">
        <v>2022</v>
      </c>
      <c r="I1921" t="s">
        <v>27</v>
      </c>
      <c r="J1921" s="4">
        <v>7.1241071428571404E-2</v>
      </c>
      <c r="K1921" t="s">
        <v>42</v>
      </c>
      <c r="L1921" t="s">
        <v>59</v>
      </c>
      <c r="M1921">
        <v>6</v>
      </c>
      <c r="N1921" t="s">
        <v>66</v>
      </c>
    </row>
    <row r="1922" spans="1:14" x14ac:dyDescent="0.3">
      <c r="A1922" s="1">
        <v>44661</v>
      </c>
      <c r="B1922" t="s">
        <v>32</v>
      </c>
      <c r="C1922" t="s">
        <v>33</v>
      </c>
      <c r="D1922" t="s">
        <v>19</v>
      </c>
      <c r="E1922">
        <v>5</v>
      </c>
      <c r="F1922">
        <v>4295</v>
      </c>
      <c r="G1922">
        <v>414.42</v>
      </c>
      <c r="H1922">
        <v>2022</v>
      </c>
      <c r="I1922" t="s">
        <v>23</v>
      </c>
      <c r="J1922" s="4">
        <v>9.6488940628637998E-2</v>
      </c>
      <c r="K1922" t="s">
        <v>42</v>
      </c>
      <c r="L1922" t="s">
        <v>59</v>
      </c>
      <c r="M1922">
        <v>4</v>
      </c>
      <c r="N1922" t="s">
        <v>62</v>
      </c>
    </row>
    <row r="1923" spans="1:14" x14ac:dyDescent="0.3">
      <c r="A1923" s="1">
        <v>44622</v>
      </c>
      <c r="B1923" t="s">
        <v>32</v>
      </c>
      <c r="C1923" t="s">
        <v>33</v>
      </c>
      <c r="D1923" t="s">
        <v>17</v>
      </c>
      <c r="E1923">
        <v>7</v>
      </c>
      <c r="F1923">
        <v>952</v>
      </c>
      <c r="G1923">
        <v>215.51</v>
      </c>
      <c r="H1923">
        <v>2022</v>
      </c>
      <c r="I1923" t="s">
        <v>15</v>
      </c>
      <c r="J1923" s="4">
        <v>0.22637605042016801</v>
      </c>
      <c r="K1923" t="s">
        <v>42</v>
      </c>
      <c r="L1923" t="s">
        <v>55</v>
      </c>
      <c r="M1923">
        <v>3</v>
      </c>
      <c r="N1923" t="s">
        <v>56</v>
      </c>
    </row>
    <row r="1924" spans="1:14" x14ac:dyDescent="0.3">
      <c r="A1924" s="1">
        <v>44800</v>
      </c>
      <c r="B1924" t="s">
        <v>32</v>
      </c>
      <c r="C1924" t="s">
        <v>33</v>
      </c>
      <c r="D1924" t="s">
        <v>22</v>
      </c>
      <c r="E1924">
        <v>3</v>
      </c>
      <c r="F1924">
        <v>2658</v>
      </c>
      <c r="G1924">
        <v>175.89</v>
      </c>
      <c r="H1924">
        <v>2022</v>
      </c>
      <c r="I1924" t="s">
        <v>24</v>
      </c>
      <c r="J1924" s="4">
        <v>6.6173814898419905E-2</v>
      </c>
      <c r="K1924" t="s">
        <v>42</v>
      </c>
      <c r="L1924" t="s">
        <v>60</v>
      </c>
      <c r="M1924">
        <v>8</v>
      </c>
      <c r="N1924" t="s">
        <v>63</v>
      </c>
    </row>
    <row r="1925" spans="1:14" x14ac:dyDescent="0.3">
      <c r="A1925" s="1">
        <v>44641</v>
      </c>
      <c r="B1925" t="s">
        <v>32</v>
      </c>
      <c r="C1925" t="s">
        <v>33</v>
      </c>
      <c r="D1925" t="s">
        <v>19</v>
      </c>
      <c r="E1925">
        <v>9</v>
      </c>
      <c r="F1925">
        <v>5283</v>
      </c>
      <c r="G1925">
        <v>1550.3</v>
      </c>
      <c r="H1925">
        <v>2022</v>
      </c>
      <c r="I1925" t="s">
        <v>15</v>
      </c>
      <c r="J1925" s="4">
        <v>0.29345069089532499</v>
      </c>
      <c r="K1925" t="s">
        <v>42</v>
      </c>
      <c r="L1925" t="s">
        <v>55</v>
      </c>
      <c r="M1925">
        <v>3</v>
      </c>
      <c r="N1925" t="s">
        <v>56</v>
      </c>
    </row>
    <row r="1926" spans="1:14" x14ac:dyDescent="0.3">
      <c r="A1926" s="1">
        <v>44893</v>
      </c>
      <c r="B1926" t="s">
        <v>32</v>
      </c>
      <c r="C1926" t="s">
        <v>33</v>
      </c>
      <c r="D1926" t="s">
        <v>22</v>
      </c>
      <c r="E1926">
        <v>4</v>
      </c>
      <c r="F1926">
        <v>2500</v>
      </c>
      <c r="G1926">
        <v>467.34</v>
      </c>
      <c r="H1926">
        <v>2022</v>
      </c>
      <c r="I1926" t="s">
        <v>18</v>
      </c>
      <c r="J1926" s="4">
        <v>0.18693599999999999</v>
      </c>
      <c r="K1926" t="s">
        <v>42</v>
      </c>
      <c r="L1926" t="s">
        <v>52</v>
      </c>
      <c r="M1926">
        <v>11</v>
      </c>
      <c r="N1926" t="s">
        <v>58</v>
      </c>
    </row>
    <row r="1927" spans="1:14" x14ac:dyDescent="0.3">
      <c r="A1927" s="1">
        <v>44643</v>
      </c>
      <c r="B1927" t="s">
        <v>32</v>
      </c>
      <c r="C1927" t="s">
        <v>33</v>
      </c>
      <c r="D1927" t="s">
        <v>17</v>
      </c>
      <c r="E1927">
        <v>2</v>
      </c>
      <c r="F1927">
        <v>2258</v>
      </c>
      <c r="G1927">
        <v>175.86</v>
      </c>
      <c r="H1927">
        <v>2022</v>
      </c>
      <c r="I1927" t="s">
        <v>15</v>
      </c>
      <c r="J1927" s="4">
        <v>7.7883082373782095E-2</v>
      </c>
      <c r="K1927" t="s">
        <v>42</v>
      </c>
      <c r="L1927" t="s">
        <v>55</v>
      </c>
      <c r="M1927">
        <v>3</v>
      </c>
      <c r="N1927" t="s">
        <v>56</v>
      </c>
    </row>
    <row r="1928" spans="1:14" x14ac:dyDescent="0.3">
      <c r="A1928" s="1">
        <v>44747</v>
      </c>
      <c r="B1928" t="s">
        <v>32</v>
      </c>
      <c r="C1928" t="s">
        <v>33</v>
      </c>
      <c r="D1928" t="s">
        <v>12</v>
      </c>
      <c r="E1928">
        <v>9</v>
      </c>
      <c r="F1928">
        <v>4041</v>
      </c>
      <c r="G1928">
        <v>517.23</v>
      </c>
      <c r="H1928">
        <v>2022</v>
      </c>
      <c r="I1928" t="s">
        <v>25</v>
      </c>
      <c r="J1928" s="4">
        <v>0.12799554565701601</v>
      </c>
      <c r="K1928" t="s">
        <v>42</v>
      </c>
      <c r="L1928" t="s">
        <v>60</v>
      </c>
      <c r="M1928">
        <v>7</v>
      </c>
      <c r="N1928" t="s">
        <v>64</v>
      </c>
    </row>
    <row r="1929" spans="1:14" x14ac:dyDescent="0.3">
      <c r="A1929" s="1">
        <v>44891</v>
      </c>
      <c r="B1929" t="s">
        <v>32</v>
      </c>
      <c r="C1929" t="s">
        <v>33</v>
      </c>
      <c r="D1929" t="s">
        <v>17</v>
      </c>
      <c r="E1929">
        <v>9</v>
      </c>
      <c r="F1929">
        <v>7992</v>
      </c>
      <c r="G1929">
        <v>1979.53</v>
      </c>
      <c r="H1929">
        <v>2022</v>
      </c>
      <c r="I1929" t="s">
        <v>18</v>
      </c>
      <c r="J1929" s="4">
        <v>0.24768893893893901</v>
      </c>
      <c r="K1929" t="s">
        <v>42</v>
      </c>
      <c r="L1929" t="s">
        <v>52</v>
      </c>
      <c r="M1929">
        <v>11</v>
      </c>
      <c r="N1929" t="s">
        <v>58</v>
      </c>
    </row>
    <row r="1930" spans="1:14" x14ac:dyDescent="0.3">
      <c r="A1930" s="1">
        <v>44794</v>
      </c>
      <c r="B1930" t="s">
        <v>32</v>
      </c>
      <c r="C1930" t="s">
        <v>33</v>
      </c>
      <c r="D1930" t="s">
        <v>19</v>
      </c>
      <c r="E1930">
        <v>6</v>
      </c>
      <c r="F1930">
        <v>5874</v>
      </c>
      <c r="G1930">
        <v>1386.51</v>
      </c>
      <c r="H1930">
        <v>2022</v>
      </c>
      <c r="I1930" t="s">
        <v>24</v>
      </c>
      <c r="J1930" s="4">
        <v>0.236041879468846</v>
      </c>
      <c r="K1930" t="s">
        <v>42</v>
      </c>
      <c r="L1930" t="s">
        <v>60</v>
      </c>
      <c r="M1930">
        <v>8</v>
      </c>
      <c r="N1930" t="s">
        <v>63</v>
      </c>
    </row>
    <row r="1931" spans="1:14" x14ac:dyDescent="0.3">
      <c r="A1931" s="1">
        <v>44571</v>
      </c>
      <c r="B1931" t="s">
        <v>32</v>
      </c>
      <c r="C1931" t="s">
        <v>33</v>
      </c>
      <c r="D1931" t="s">
        <v>12</v>
      </c>
      <c r="E1931">
        <v>4</v>
      </c>
      <c r="F1931">
        <v>1728</v>
      </c>
      <c r="G1931">
        <v>239.64</v>
      </c>
      <c r="H1931">
        <v>2022</v>
      </c>
      <c r="I1931" t="s">
        <v>26</v>
      </c>
      <c r="J1931" s="4">
        <v>0.138680555555556</v>
      </c>
      <c r="K1931" t="s">
        <v>42</v>
      </c>
      <c r="L1931" t="s">
        <v>55</v>
      </c>
      <c r="M1931">
        <v>1</v>
      </c>
      <c r="N1931" t="s">
        <v>65</v>
      </c>
    </row>
    <row r="1932" spans="1:14" x14ac:dyDescent="0.3">
      <c r="A1932" s="1">
        <v>44819</v>
      </c>
      <c r="B1932" t="s">
        <v>32</v>
      </c>
      <c r="C1932" t="s">
        <v>33</v>
      </c>
      <c r="D1932" t="s">
        <v>12</v>
      </c>
      <c r="E1932">
        <v>8</v>
      </c>
      <c r="F1932">
        <v>7576</v>
      </c>
      <c r="G1932">
        <v>1703.42</v>
      </c>
      <c r="H1932">
        <v>2022</v>
      </c>
      <c r="I1932" t="s">
        <v>21</v>
      </c>
      <c r="J1932" s="4">
        <v>0.224844244984161</v>
      </c>
      <c r="K1932" t="s">
        <v>42</v>
      </c>
      <c r="L1932" t="s">
        <v>60</v>
      </c>
      <c r="M1932">
        <v>9</v>
      </c>
      <c r="N1932" t="s">
        <v>61</v>
      </c>
    </row>
    <row r="1933" spans="1:14" x14ac:dyDescent="0.3">
      <c r="A1933" s="1">
        <v>44711</v>
      </c>
      <c r="B1933" t="s">
        <v>32</v>
      </c>
      <c r="C1933" t="s">
        <v>33</v>
      </c>
      <c r="D1933" t="s">
        <v>17</v>
      </c>
      <c r="E1933">
        <v>1</v>
      </c>
      <c r="F1933">
        <v>465</v>
      </c>
      <c r="G1933">
        <v>26.5</v>
      </c>
      <c r="H1933">
        <v>2022</v>
      </c>
      <c r="I1933" t="s">
        <v>20</v>
      </c>
      <c r="J1933" s="4">
        <v>5.6989247311828001E-2</v>
      </c>
      <c r="K1933" t="s">
        <v>42</v>
      </c>
      <c r="L1933" t="s">
        <v>59</v>
      </c>
      <c r="M1933">
        <v>5</v>
      </c>
      <c r="N1933" t="s">
        <v>20</v>
      </c>
    </row>
    <row r="1934" spans="1:14" x14ac:dyDescent="0.3">
      <c r="A1934" s="1">
        <v>44588</v>
      </c>
      <c r="B1934" t="s">
        <v>32</v>
      </c>
      <c r="C1934" t="s">
        <v>33</v>
      </c>
      <c r="D1934" t="s">
        <v>19</v>
      </c>
      <c r="E1934">
        <v>1</v>
      </c>
      <c r="F1934">
        <v>966</v>
      </c>
      <c r="G1934">
        <v>202.53</v>
      </c>
      <c r="H1934">
        <v>2022</v>
      </c>
      <c r="I1934" t="s">
        <v>26</v>
      </c>
      <c r="J1934" s="4">
        <v>0.209658385093168</v>
      </c>
      <c r="K1934" t="s">
        <v>42</v>
      </c>
      <c r="L1934" t="s">
        <v>55</v>
      </c>
      <c r="M1934">
        <v>1</v>
      </c>
      <c r="N1934" t="s">
        <v>65</v>
      </c>
    </row>
    <row r="1935" spans="1:14" x14ac:dyDescent="0.3">
      <c r="A1935" s="1">
        <v>44751</v>
      </c>
      <c r="B1935" t="s">
        <v>32</v>
      </c>
      <c r="C1935" t="s">
        <v>33</v>
      </c>
      <c r="D1935" t="s">
        <v>17</v>
      </c>
      <c r="E1935">
        <v>3</v>
      </c>
      <c r="F1935">
        <v>1098</v>
      </c>
      <c r="G1935">
        <v>144.24</v>
      </c>
      <c r="H1935">
        <v>2022</v>
      </c>
      <c r="I1935" t="s">
        <v>25</v>
      </c>
      <c r="J1935" s="4">
        <v>0.13136612021857899</v>
      </c>
      <c r="K1935" t="s">
        <v>42</v>
      </c>
      <c r="L1935" t="s">
        <v>60</v>
      </c>
      <c r="M1935">
        <v>7</v>
      </c>
      <c r="N1935" t="s">
        <v>64</v>
      </c>
    </row>
    <row r="1936" spans="1:14" x14ac:dyDescent="0.3">
      <c r="A1936" s="1">
        <v>44867</v>
      </c>
      <c r="B1936" t="s">
        <v>32</v>
      </c>
      <c r="C1936" t="s">
        <v>33</v>
      </c>
      <c r="D1936" t="s">
        <v>22</v>
      </c>
      <c r="E1936">
        <v>5</v>
      </c>
      <c r="F1936">
        <v>2025</v>
      </c>
      <c r="G1936">
        <v>295.13</v>
      </c>
      <c r="H1936">
        <v>2022</v>
      </c>
      <c r="I1936" t="s">
        <v>18</v>
      </c>
      <c r="J1936" s="4">
        <v>0.14574320987654299</v>
      </c>
      <c r="K1936" t="s">
        <v>42</v>
      </c>
      <c r="L1936" t="s">
        <v>52</v>
      </c>
      <c r="M1936">
        <v>11</v>
      </c>
      <c r="N1936" t="s">
        <v>58</v>
      </c>
    </row>
    <row r="1937" spans="1:14" x14ac:dyDescent="0.3">
      <c r="A1937" s="1">
        <v>44834</v>
      </c>
      <c r="B1937" t="s">
        <v>32</v>
      </c>
      <c r="C1937" t="s">
        <v>33</v>
      </c>
      <c r="D1937" t="s">
        <v>12</v>
      </c>
      <c r="E1937">
        <v>2</v>
      </c>
      <c r="F1937">
        <v>1090</v>
      </c>
      <c r="G1937">
        <v>296.12</v>
      </c>
      <c r="H1937">
        <v>2022</v>
      </c>
      <c r="I1937" t="s">
        <v>21</v>
      </c>
      <c r="J1937" s="4">
        <v>0.271669724770642</v>
      </c>
      <c r="K1937" t="s">
        <v>42</v>
      </c>
      <c r="L1937" t="s">
        <v>60</v>
      </c>
      <c r="M1937">
        <v>9</v>
      </c>
      <c r="N1937" t="s">
        <v>61</v>
      </c>
    </row>
    <row r="1938" spans="1:14" x14ac:dyDescent="0.3">
      <c r="A1938" s="1">
        <v>44852</v>
      </c>
      <c r="B1938" t="s">
        <v>32</v>
      </c>
      <c r="C1938" t="s">
        <v>33</v>
      </c>
      <c r="D1938" t="s">
        <v>17</v>
      </c>
      <c r="E1938">
        <v>1</v>
      </c>
      <c r="F1938">
        <v>987</v>
      </c>
      <c r="G1938">
        <v>207.69</v>
      </c>
      <c r="H1938">
        <v>2022</v>
      </c>
      <c r="I1938" t="s">
        <v>14</v>
      </c>
      <c r="J1938" s="4">
        <v>0.21042553191489399</v>
      </c>
      <c r="K1938" t="s">
        <v>42</v>
      </c>
      <c r="L1938" t="s">
        <v>52</v>
      </c>
      <c r="M1938">
        <v>10</v>
      </c>
      <c r="N1938" t="s">
        <v>54</v>
      </c>
    </row>
    <row r="1939" spans="1:14" x14ac:dyDescent="0.3">
      <c r="A1939" s="1">
        <v>44562</v>
      </c>
      <c r="B1939" t="s">
        <v>32</v>
      </c>
      <c r="C1939" t="s">
        <v>33</v>
      </c>
      <c r="D1939" t="s">
        <v>22</v>
      </c>
      <c r="E1939">
        <v>7</v>
      </c>
      <c r="F1939">
        <v>3941</v>
      </c>
      <c r="G1939">
        <v>628.96</v>
      </c>
      <c r="H1939">
        <v>2022</v>
      </c>
      <c r="I1939" t="s">
        <v>26</v>
      </c>
      <c r="J1939" s="4">
        <v>0.159594011672164</v>
      </c>
      <c r="K1939" t="s">
        <v>42</v>
      </c>
      <c r="L1939" t="s">
        <v>55</v>
      </c>
      <c r="M1939">
        <v>1</v>
      </c>
      <c r="N1939" t="s">
        <v>65</v>
      </c>
    </row>
    <row r="1940" spans="1:14" x14ac:dyDescent="0.3">
      <c r="A1940" s="1">
        <v>44734</v>
      </c>
      <c r="B1940" t="s">
        <v>32</v>
      </c>
      <c r="C1940" t="s">
        <v>33</v>
      </c>
      <c r="D1940" t="s">
        <v>17</v>
      </c>
      <c r="E1940">
        <v>7</v>
      </c>
      <c r="F1940">
        <v>2261</v>
      </c>
      <c r="G1940">
        <v>566.36</v>
      </c>
      <c r="H1940">
        <v>2022</v>
      </c>
      <c r="I1940" t="s">
        <v>27</v>
      </c>
      <c r="J1940" s="4">
        <v>0.25049093321539101</v>
      </c>
      <c r="K1940" t="s">
        <v>42</v>
      </c>
      <c r="L1940" t="s">
        <v>59</v>
      </c>
      <c r="M1940">
        <v>6</v>
      </c>
      <c r="N1940" t="s">
        <v>66</v>
      </c>
    </row>
    <row r="1941" spans="1:14" x14ac:dyDescent="0.3">
      <c r="A1941" s="1">
        <v>44886</v>
      </c>
      <c r="B1941" t="s">
        <v>32</v>
      </c>
      <c r="C1941" t="s">
        <v>33</v>
      </c>
      <c r="D1941" t="s">
        <v>22</v>
      </c>
      <c r="E1941">
        <v>2</v>
      </c>
      <c r="F1941">
        <v>1242</v>
      </c>
      <c r="G1941">
        <v>191.82</v>
      </c>
      <c r="H1941">
        <v>2022</v>
      </c>
      <c r="I1941" t="s">
        <v>18</v>
      </c>
      <c r="J1941" s="4">
        <v>0.154444444444444</v>
      </c>
      <c r="K1941" t="s">
        <v>42</v>
      </c>
      <c r="L1941" t="s">
        <v>52</v>
      </c>
      <c r="M1941">
        <v>11</v>
      </c>
      <c r="N1941" t="s">
        <v>58</v>
      </c>
    </row>
    <row r="1942" spans="1:14" x14ac:dyDescent="0.3">
      <c r="A1942" s="1">
        <v>44603</v>
      </c>
      <c r="B1942" t="s">
        <v>32</v>
      </c>
      <c r="C1942" t="s">
        <v>33</v>
      </c>
      <c r="D1942" t="s">
        <v>17</v>
      </c>
      <c r="E1942">
        <v>8</v>
      </c>
      <c r="F1942">
        <v>456</v>
      </c>
      <c r="G1942">
        <v>74.989999999999995</v>
      </c>
      <c r="H1942">
        <v>2022</v>
      </c>
      <c r="I1942" t="s">
        <v>16</v>
      </c>
      <c r="J1942" s="4">
        <v>0.16445175438596499</v>
      </c>
      <c r="K1942" t="s">
        <v>42</v>
      </c>
      <c r="L1942" t="s">
        <v>55</v>
      </c>
      <c r="M1942">
        <v>2</v>
      </c>
      <c r="N1942" t="s">
        <v>57</v>
      </c>
    </row>
    <row r="1943" spans="1:14" x14ac:dyDescent="0.3">
      <c r="A1943" s="1">
        <v>44891</v>
      </c>
      <c r="B1943" t="s">
        <v>32</v>
      </c>
      <c r="C1943" t="s">
        <v>33</v>
      </c>
      <c r="D1943" t="s">
        <v>19</v>
      </c>
      <c r="E1943">
        <v>1</v>
      </c>
      <c r="F1943">
        <v>307</v>
      </c>
      <c r="G1943">
        <v>80.19</v>
      </c>
      <c r="H1943">
        <v>2022</v>
      </c>
      <c r="I1943" t="s">
        <v>18</v>
      </c>
      <c r="J1943" s="4">
        <v>0.261205211726384</v>
      </c>
      <c r="K1943" t="s">
        <v>42</v>
      </c>
      <c r="L1943" t="s">
        <v>52</v>
      </c>
      <c r="M1943">
        <v>11</v>
      </c>
      <c r="N1943" t="s">
        <v>58</v>
      </c>
    </row>
    <row r="1944" spans="1:14" x14ac:dyDescent="0.3">
      <c r="A1944" s="1">
        <v>44869</v>
      </c>
      <c r="B1944" t="s">
        <v>32</v>
      </c>
      <c r="C1944" t="s">
        <v>33</v>
      </c>
      <c r="D1944" t="s">
        <v>22</v>
      </c>
      <c r="E1944">
        <v>8</v>
      </c>
      <c r="F1944">
        <v>9224</v>
      </c>
      <c r="G1944">
        <v>514.05999999999995</v>
      </c>
      <c r="H1944">
        <v>2022</v>
      </c>
      <c r="I1944" t="s">
        <v>18</v>
      </c>
      <c r="J1944" s="4">
        <v>5.5730702515177803E-2</v>
      </c>
      <c r="K1944" t="s">
        <v>42</v>
      </c>
      <c r="L1944" t="s">
        <v>52</v>
      </c>
      <c r="M1944">
        <v>11</v>
      </c>
      <c r="N1944" t="s">
        <v>58</v>
      </c>
    </row>
    <row r="1945" spans="1:14" x14ac:dyDescent="0.3">
      <c r="A1945" s="1">
        <v>44725</v>
      </c>
      <c r="B1945" t="s">
        <v>32</v>
      </c>
      <c r="C1945" t="s">
        <v>33</v>
      </c>
      <c r="D1945" t="s">
        <v>19</v>
      </c>
      <c r="E1945">
        <v>9</v>
      </c>
      <c r="F1945">
        <v>4221</v>
      </c>
      <c r="G1945">
        <v>912.84</v>
      </c>
      <c r="H1945">
        <v>2022</v>
      </c>
      <c r="I1945" t="s">
        <v>27</v>
      </c>
      <c r="J1945" s="4">
        <v>0.21626154939587799</v>
      </c>
      <c r="K1945" t="s">
        <v>42</v>
      </c>
      <c r="L1945" t="s">
        <v>59</v>
      </c>
      <c r="M1945">
        <v>6</v>
      </c>
      <c r="N1945" t="s">
        <v>66</v>
      </c>
    </row>
    <row r="1946" spans="1:14" x14ac:dyDescent="0.3">
      <c r="A1946" s="1">
        <v>44901</v>
      </c>
      <c r="B1946" t="s">
        <v>32</v>
      </c>
      <c r="C1946" t="s">
        <v>33</v>
      </c>
      <c r="D1946" t="s">
        <v>22</v>
      </c>
      <c r="E1946">
        <v>7</v>
      </c>
      <c r="F1946">
        <v>462</v>
      </c>
      <c r="G1946">
        <v>56.89</v>
      </c>
      <c r="H1946">
        <v>2022</v>
      </c>
      <c r="I1946" t="s">
        <v>13</v>
      </c>
      <c r="J1946" s="4">
        <v>0.12313852813852801</v>
      </c>
      <c r="K1946" t="s">
        <v>42</v>
      </c>
      <c r="L1946" t="s">
        <v>52</v>
      </c>
      <c r="M1946">
        <v>12</v>
      </c>
      <c r="N1946" t="s">
        <v>53</v>
      </c>
    </row>
    <row r="1947" spans="1:14" x14ac:dyDescent="0.3">
      <c r="A1947" s="1">
        <v>44892</v>
      </c>
      <c r="B1947" t="s">
        <v>32</v>
      </c>
      <c r="C1947" t="s">
        <v>33</v>
      </c>
      <c r="D1947" t="s">
        <v>17</v>
      </c>
      <c r="E1947">
        <v>1</v>
      </c>
      <c r="F1947">
        <v>1030</v>
      </c>
      <c r="G1947">
        <v>190.47</v>
      </c>
      <c r="H1947">
        <v>2022</v>
      </c>
      <c r="I1947" t="s">
        <v>18</v>
      </c>
      <c r="J1947" s="4">
        <v>0.184922330097087</v>
      </c>
      <c r="K1947" t="s">
        <v>42</v>
      </c>
      <c r="L1947" t="s">
        <v>52</v>
      </c>
      <c r="M1947">
        <v>11</v>
      </c>
      <c r="N1947" t="s">
        <v>58</v>
      </c>
    </row>
    <row r="1948" spans="1:14" x14ac:dyDescent="0.3">
      <c r="A1948" s="1">
        <v>44565</v>
      </c>
      <c r="B1948" t="s">
        <v>32</v>
      </c>
      <c r="C1948" t="s">
        <v>33</v>
      </c>
      <c r="D1948" t="s">
        <v>17</v>
      </c>
      <c r="E1948">
        <v>2</v>
      </c>
      <c r="F1948">
        <v>2150</v>
      </c>
      <c r="G1948">
        <v>625.92999999999995</v>
      </c>
      <c r="H1948">
        <v>2022</v>
      </c>
      <c r="I1948" t="s">
        <v>26</v>
      </c>
      <c r="J1948" s="4">
        <v>0.29113023255814002</v>
      </c>
      <c r="K1948" t="s">
        <v>42</v>
      </c>
      <c r="L1948" t="s">
        <v>55</v>
      </c>
      <c r="M1948">
        <v>1</v>
      </c>
      <c r="N1948" t="s">
        <v>65</v>
      </c>
    </row>
    <row r="1949" spans="1:14" x14ac:dyDescent="0.3">
      <c r="A1949" s="1">
        <v>44779</v>
      </c>
      <c r="B1949" t="s">
        <v>32</v>
      </c>
      <c r="C1949" t="s">
        <v>33</v>
      </c>
      <c r="D1949" t="s">
        <v>12</v>
      </c>
      <c r="E1949">
        <v>1</v>
      </c>
      <c r="F1949">
        <v>423</v>
      </c>
      <c r="G1949">
        <v>115.44</v>
      </c>
      <c r="H1949">
        <v>2022</v>
      </c>
      <c r="I1949" t="s">
        <v>24</v>
      </c>
      <c r="J1949" s="4">
        <v>0.27290780141844001</v>
      </c>
      <c r="K1949" t="s">
        <v>42</v>
      </c>
      <c r="L1949" t="s">
        <v>60</v>
      </c>
      <c r="M1949">
        <v>8</v>
      </c>
      <c r="N1949" t="s">
        <v>63</v>
      </c>
    </row>
    <row r="1950" spans="1:14" x14ac:dyDescent="0.3">
      <c r="A1950" s="1">
        <v>44587</v>
      </c>
      <c r="B1950" t="s">
        <v>32</v>
      </c>
      <c r="C1950" t="s">
        <v>33</v>
      </c>
      <c r="D1950" t="s">
        <v>12</v>
      </c>
      <c r="E1950">
        <v>6</v>
      </c>
      <c r="F1950">
        <v>5982</v>
      </c>
      <c r="G1950">
        <v>944.81</v>
      </c>
      <c r="H1950">
        <v>2022</v>
      </c>
      <c r="I1950" t="s">
        <v>26</v>
      </c>
      <c r="J1950" s="4">
        <v>0.15794215981277199</v>
      </c>
      <c r="K1950" t="s">
        <v>42</v>
      </c>
      <c r="L1950" t="s">
        <v>55</v>
      </c>
      <c r="M1950">
        <v>1</v>
      </c>
      <c r="N1950" t="s">
        <v>65</v>
      </c>
    </row>
    <row r="1951" spans="1:14" x14ac:dyDescent="0.3">
      <c r="A1951" s="1">
        <v>44841</v>
      </c>
      <c r="B1951" t="s">
        <v>32</v>
      </c>
      <c r="C1951" t="s">
        <v>33</v>
      </c>
      <c r="D1951" t="s">
        <v>22</v>
      </c>
      <c r="E1951">
        <v>9</v>
      </c>
      <c r="F1951">
        <v>9810</v>
      </c>
      <c r="G1951">
        <v>1008.6</v>
      </c>
      <c r="H1951">
        <v>2022</v>
      </c>
      <c r="I1951" t="s">
        <v>14</v>
      </c>
      <c r="J1951" s="4">
        <v>0.102813455657492</v>
      </c>
      <c r="K1951" t="s">
        <v>42</v>
      </c>
      <c r="L1951" t="s">
        <v>52</v>
      </c>
      <c r="M1951">
        <v>10</v>
      </c>
      <c r="N1951" t="s">
        <v>54</v>
      </c>
    </row>
    <row r="1952" spans="1:14" x14ac:dyDescent="0.3">
      <c r="A1952" s="1">
        <v>44687</v>
      </c>
      <c r="B1952" t="s">
        <v>32</v>
      </c>
      <c r="C1952" t="s">
        <v>33</v>
      </c>
      <c r="D1952" t="s">
        <v>22</v>
      </c>
      <c r="E1952">
        <v>1</v>
      </c>
      <c r="F1952">
        <v>134</v>
      </c>
      <c r="G1952">
        <v>33.119999999999997</v>
      </c>
      <c r="H1952">
        <v>2022</v>
      </c>
      <c r="I1952" t="s">
        <v>20</v>
      </c>
      <c r="J1952" s="4">
        <v>0.24716417910447799</v>
      </c>
      <c r="K1952" t="s">
        <v>42</v>
      </c>
      <c r="L1952" t="s">
        <v>59</v>
      </c>
      <c r="M1952">
        <v>5</v>
      </c>
      <c r="N1952" t="s">
        <v>20</v>
      </c>
    </row>
    <row r="1953" spans="1:14" x14ac:dyDescent="0.3">
      <c r="A1953" s="1">
        <v>44695</v>
      </c>
      <c r="B1953" t="s">
        <v>32</v>
      </c>
      <c r="C1953" t="s">
        <v>33</v>
      </c>
      <c r="D1953" t="s">
        <v>12</v>
      </c>
      <c r="E1953">
        <v>3</v>
      </c>
      <c r="F1953">
        <v>1083</v>
      </c>
      <c r="G1953">
        <v>257.44</v>
      </c>
      <c r="H1953">
        <v>2022</v>
      </c>
      <c r="I1953" t="s">
        <v>20</v>
      </c>
      <c r="J1953" s="4">
        <v>0.237710064635272</v>
      </c>
      <c r="K1953" t="s">
        <v>42</v>
      </c>
      <c r="L1953" t="s">
        <v>59</v>
      </c>
      <c r="M1953">
        <v>5</v>
      </c>
      <c r="N1953" t="s">
        <v>20</v>
      </c>
    </row>
    <row r="1954" spans="1:14" x14ac:dyDescent="0.3">
      <c r="A1954" s="1">
        <v>44838</v>
      </c>
      <c r="B1954" t="s">
        <v>32</v>
      </c>
      <c r="C1954" t="s">
        <v>33</v>
      </c>
      <c r="D1954" t="s">
        <v>17</v>
      </c>
      <c r="E1954">
        <v>6</v>
      </c>
      <c r="F1954">
        <v>1068</v>
      </c>
      <c r="G1954">
        <v>190.77</v>
      </c>
      <c r="H1954">
        <v>2022</v>
      </c>
      <c r="I1954" t="s">
        <v>14</v>
      </c>
      <c r="J1954" s="4">
        <v>0.17862359550561799</v>
      </c>
      <c r="K1954" t="s">
        <v>42</v>
      </c>
      <c r="L1954" t="s">
        <v>52</v>
      </c>
      <c r="M1954">
        <v>10</v>
      </c>
      <c r="N1954" t="s">
        <v>54</v>
      </c>
    </row>
    <row r="1955" spans="1:14" x14ac:dyDescent="0.3">
      <c r="A1955" s="1">
        <v>44918</v>
      </c>
      <c r="B1955" t="s">
        <v>32</v>
      </c>
      <c r="C1955" t="s">
        <v>33</v>
      </c>
      <c r="D1955" t="s">
        <v>12</v>
      </c>
      <c r="E1955">
        <v>1</v>
      </c>
      <c r="F1955">
        <v>1086</v>
      </c>
      <c r="G1955">
        <v>161.05000000000001</v>
      </c>
      <c r="H1955">
        <v>2022</v>
      </c>
      <c r="I1955" t="s">
        <v>13</v>
      </c>
      <c r="J1955" s="4">
        <v>0.14829650092081001</v>
      </c>
      <c r="K1955" t="s">
        <v>42</v>
      </c>
      <c r="L1955" t="s">
        <v>52</v>
      </c>
      <c r="M1955">
        <v>12</v>
      </c>
      <c r="N1955" t="s">
        <v>53</v>
      </c>
    </row>
    <row r="1956" spans="1:14" x14ac:dyDescent="0.3">
      <c r="A1956" s="1">
        <v>44681</v>
      </c>
      <c r="B1956" t="s">
        <v>32</v>
      </c>
      <c r="C1956" t="s">
        <v>33</v>
      </c>
      <c r="D1956" t="s">
        <v>22</v>
      </c>
      <c r="E1956">
        <v>8</v>
      </c>
      <c r="F1956">
        <v>584</v>
      </c>
      <c r="G1956">
        <v>107.27</v>
      </c>
      <c r="H1956">
        <v>2022</v>
      </c>
      <c r="I1956" t="s">
        <v>23</v>
      </c>
      <c r="J1956" s="4">
        <v>0.183681506849315</v>
      </c>
      <c r="K1956" t="s">
        <v>42</v>
      </c>
      <c r="L1956" t="s">
        <v>59</v>
      </c>
      <c r="M1956">
        <v>4</v>
      </c>
      <c r="N1956" t="s">
        <v>62</v>
      </c>
    </row>
    <row r="1957" spans="1:14" x14ac:dyDescent="0.3">
      <c r="A1957" s="1">
        <v>44713</v>
      </c>
      <c r="B1957" t="s">
        <v>32</v>
      </c>
      <c r="C1957" t="s">
        <v>33</v>
      </c>
      <c r="D1957" t="s">
        <v>17</v>
      </c>
      <c r="E1957">
        <v>2</v>
      </c>
      <c r="F1957">
        <v>1022</v>
      </c>
      <c r="G1957">
        <v>76.040000000000006</v>
      </c>
      <c r="H1957">
        <v>2022</v>
      </c>
      <c r="I1957" t="s">
        <v>27</v>
      </c>
      <c r="J1957" s="4">
        <v>7.4403131115459903E-2</v>
      </c>
      <c r="K1957" t="s">
        <v>42</v>
      </c>
      <c r="L1957" t="s">
        <v>59</v>
      </c>
      <c r="M1957">
        <v>6</v>
      </c>
      <c r="N1957" t="s">
        <v>66</v>
      </c>
    </row>
    <row r="1958" spans="1:14" x14ac:dyDescent="0.3">
      <c r="A1958" s="1">
        <v>45415</v>
      </c>
      <c r="B1958" t="s">
        <v>32</v>
      </c>
      <c r="C1958" t="s">
        <v>33</v>
      </c>
      <c r="D1958" t="s">
        <v>19</v>
      </c>
      <c r="E1958">
        <v>8</v>
      </c>
      <c r="F1958">
        <v>5880</v>
      </c>
      <c r="G1958">
        <v>436.85</v>
      </c>
      <c r="H1958">
        <v>2024</v>
      </c>
      <c r="I1958" t="s">
        <v>20</v>
      </c>
      <c r="J1958" s="4">
        <v>7.4294217687074796E-2</v>
      </c>
      <c r="K1958" t="s">
        <v>41</v>
      </c>
      <c r="L1958" t="s">
        <v>59</v>
      </c>
      <c r="M1958">
        <v>5</v>
      </c>
      <c r="N1958" t="s">
        <v>20</v>
      </c>
    </row>
    <row r="1959" spans="1:14" x14ac:dyDescent="0.3">
      <c r="A1959" s="1">
        <v>45654</v>
      </c>
      <c r="B1959" t="s">
        <v>32</v>
      </c>
      <c r="C1959" t="s">
        <v>33</v>
      </c>
      <c r="D1959" t="s">
        <v>19</v>
      </c>
      <c r="E1959">
        <v>5</v>
      </c>
      <c r="F1959">
        <v>5795</v>
      </c>
      <c r="G1959">
        <v>310.60000000000002</v>
      </c>
      <c r="H1959">
        <v>2024</v>
      </c>
      <c r="I1959" t="s">
        <v>13</v>
      </c>
      <c r="J1959" s="4">
        <v>5.3597929249352902E-2</v>
      </c>
      <c r="K1959" t="s">
        <v>41</v>
      </c>
      <c r="L1959" t="s">
        <v>52</v>
      </c>
      <c r="M1959">
        <v>12</v>
      </c>
      <c r="N1959" t="s">
        <v>53</v>
      </c>
    </row>
    <row r="1960" spans="1:14" x14ac:dyDescent="0.3">
      <c r="A1960" s="1">
        <v>45461</v>
      </c>
      <c r="B1960" t="s">
        <v>32</v>
      </c>
      <c r="C1960" t="s">
        <v>33</v>
      </c>
      <c r="D1960" t="s">
        <v>12</v>
      </c>
      <c r="E1960">
        <v>9</v>
      </c>
      <c r="F1960">
        <v>8073</v>
      </c>
      <c r="G1960">
        <v>710.23</v>
      </c>
      <c r="H1960">
        <v>2024</v>
      </c>
      <c r="I1960" t="s">
        <v>27</v>
      </c>
      <c r="J1960" s="4">
        <v>8.7975969280317104E-2</v>
      </c>
      <c r="K1960" t="s">
        <v>41</v>
      </c>
      <c r="L1960" t="s">
        <v>59</v>
      </c>
      <c r="M1960">
        <v>6</v>
      </c>
      <c r="N1960" t="s">
        <v>66</v>
      </c>
    </row>
    <row r="1961" spans="1:14" x14ac:dyDescent="0.3">
      <c r="A1961" s="1">
        <v>45611</v>
      </c>
      <c r="B1961" t="s">
        <v>32</v>
      </c>
      <c r="C1961" t="s">
        <v>33</v>
      </c>
      <c r="D1961" t="s">
        <v>19</v>
      </c>
      <c r="E1961">
        <v>9</v>
      </c>
      <c r="F1961">
        <v>2187</v>
      </c>
      <c r="G1961">
        <v>413.76</v>
      </c>
      <c r="H1961">
        <v>2024</v>
      </c>
      <c r="I1961" t="s">
        <v>18</v>
      </c>
      <c r="J1961" s="4">
        <v>0.189190672153635</v>
      </c>
      <c r="K1961" t="s">
        <v>41</v>
      </c>
      <c r="L1961" t="s">
        <v>52</v>
      </c>
      <c r="M1961">
        <v>11</v>
      </c>
      <c r="N1961" t="s">
        <v>58</v>
      </c>
    </row>
    <row r="1962" spans="1:14" x14ac:dyDescent="0.3">
      <c r="A1962" s="1">
        <v>45434</v>
      </c>
      <c r="B1962" t="s">
        <v>32</v>
      </c>
      <c r="C1962" t="s">
        <v>33</v>
      </c>
      <c r="D1962" t="s">
        <v>17</v>
      </c>
      <c r="E1962">
        <v>1</v>
      </c>
      <c r="F1962">
        <v>967</v>
      </c>
      <c r="G1962">
        <v>59.98</v>
      </c>
      <c r="H1962">
        <v>2024</v>
      </c>
      <c r="I1962" t="s">
        <v>20</v>
      </c>
      <c r="J1962" s="4">
        <v>6.2026887280248202E-2</v>
      </c>
      <c r="K1962" t="s">
        <v>41</v>
      </c>
      <c r="L1962" t="s">
        <v>59</v>
      </c>
      <c r="M1962">
        <v>5</v>
      </c>
      <c r="N1962" t="s">
        <v>20</v>
      </c>
    </row>
    <row r="1963" spans="1:14" x14ac:dyDescent="0.3">
      <c r="A1963" s="1">
        <v>45600</v>
      </c>
      <c r="B1963" t="s">
        <v>32</v>
      </c>
      <c r="C1963" t="s">
        <v>33</v>
      </c>
      <c r="D1963" t="s">
        <v>19</v>
      </c>
      <c r="E1963">
        <v>7</v>
      </c>
      <c r="F1963">
        <v>4221</v>
      </c>
      <c r="G1963">
        <v>358.02</v>
      </c>
      <c r="H1963">
        <v>2024</v>
      </c>
      <c r="I1963" t="s">
        <v>18</v>
      </c>
      <c r="J1963" s="4">
        <v>8.4818763326225996E-2</v>
      </c>
      <c r="K1963" t="s">
        <v>41</v>
      </c>
      <c r="L1963" t="s">
        <v>52</v>
      </c>
      <c r="M1963">
        <v>11</v>
      </c>
      <c r="N1963" t="s">
        <v>58</v>
      </c>
    </row>
    <row r="1964" spans="1:14" x14ac:dyDescent="0.3">
      <c r="A1964" s="1">
        <v>45376</v>
      </c>
      <c r="B1964" t="s">
        <v>32</v>
      </c>
      <c r="C1964" t="s">
        <v>33</v>
      </c>
      <c r="D1964" t="s">
        <v>17</v>
      </c>
      <c r="E1964">
        <v>3</v>
      </c>
      <c r="F1964">
        <v>2247</v>
      </c>
      <c r="G1964">
        <v>507.79</v>
      </c>
      <c r="H1964">
        <v>2024</v>
      </c>
      <c r="I1964" t="s">
        <v>15</v>
      </c>
      <c r="J1964" s="4">
        <v>0.225985758789497</v>
      </c>
      <c r="K1964" t="s">
        <v>41</v>
      </c>
      <c r="L1964" t="s">
        <v>55</v>
      </c>
      <c r="M1964">
        <v>3</v>
      </c>
      <c r="N1964" t="s">
        <v>56</v>
      </c>
    </row>
    <row r="1965" spans="1:14" x14ac:dyDescent="0.3">
      <c r="A1965" s="1">
        <v>45570</v>
      </c>
      <c r="B1965" t="s">
        <v>32</v>
      </c>
      <c r="C1965" t="s">
        <v>33</v>
      </c>
      <c r="D1965" t="s">
        <v>17</v>
      </c>
      <c r="E1965">
        <v>9</v>
      </c>
      <c r="F1965">
        <v>5571</v>
      </c>
      <c r="G1965">
        <v>1523.81</v>
      </c>
      <c r="H1965">
        <v>2024</v>
      </c>
      <c r="I1965" t="s">
        <v>14</v>
      </c>
      <c r="J1965" s="4">
        <v>0.273525399389697</v>
      </c>
      <c r="K1965" t="s">
        <v>41</v>
      </c>
      <c r="L1965" t="s">
        <v>52</v>
      </c>
      <c r="M1965">
        <v>10</v>
      </c>
      <c r="N1965" t="s">
        <v>54</v>
      </c>
    </row>
    <row r="1966" spans="1:14" x14ac:dyDescent="0.3">
      <c r="A1966" s="1">
        <v>45631</v>
      </c>
      <c r="B1966" t="s">
        <v>32</v>
      </c>
      <c r="C1966" t="s">
        <v>33</v>
      </c>
      <c r="D1966" t="s">
        <v>12</v>
      </c>
      <c r="E1966">
        <v>8</v>
      </c>
      <c r="F1966">
        <v>3600</v>
      </c>
      <c r="G1966">
        <v>272.51</v>
      </c>
      <c r="H1966">
        <v>2024</v>
      </c>
      <c r="I1966" t="s">
        <v>13</v>
      </c>
      <c r="J1966" s="4">
        <v>7.5697222222222194E-2</v>
      </c>
      <c r="K1966" t="s">
        <v>41</v>
      </c>
      <c r="L1966" t="s">
        <v>52</v>
      </c>
      <c r="M1966">
        <v>12</v>
      </c>
      <c r="N1966" t="s">
        <v>53</v>
      </c>
    </row>
    <row r="1967" spans="1:14" x14ac:dyDescent="0.3">
      <c r="A1967" s="1">
        <v>45539</v>
      </c>
      <c r="B1967" t="s">
        <v>32</v>
      </c>
      <c r="C1967" t="s">
        <v>33</v>
      </c>
      <c r="D1967" t="s">
        <v>22</v>
      </c>
      <c r="E1967">
        <v>9</v>
      </c>
      <c r="F1967">
        <v>8307</v>
      </c>
      <c r="G1967">
        <v>1326.23</v>
      </c>
      <c r="H1967">
        <v>2024</v>
      </c>
      <c r="I1967" t="s">
        <v>21</v>
      </c>
      <c r="J1967" s="4">
        <v>0.15965210063801599</v>
      </c>
      <c r="K1967" t="s">
        <v>41</v>
      </c>
      <c r="L1967" t="s">
        <v>60</v>
      </c>
      <c r="M1967">
        <v>9</v>
      </c>
      <c r="N1967" t="s">
        <v>61</v>
      </c>
    </row>
    <row r="1968" spans="1:14" x14ac:dyDescent="0.3">
      <c r="A1968" s="1">
        <v>45418</v>
      </c>
      <c r="B1968" t="s">
        <v>32</v>
      </c>
      <c r="C1968" t="s">
        <v>33</v>
      </c>
      <c r="D1968" t="s">
        <v>22</v>
      </c>
      <c r="E1968">
        <v>4</v>
      </c>
      <c r="F1968">
        <v>4532</v>
      </c>
      <c r="G1968">
        <v>987.32</v>
      </c>
      <c r="H1968">
        <v>2024</v>
      </c>
      <c r="I1968" t="s">
        <v>20</v>
      </c>
      <c r="J1968" s="4">
        <v>0.217855251544572</v>
      </c>
      <c r="K1968" t="s">
        <v>41</v>
      </c>
      <c r="L1968" t="s">
        <v>59</v>
      </c>
      <c r="M1968">
        <v>5</v>
      </c>
      <c r="N1968" t="s">
        <v>20</v>
      </c>
    </row>
    <row r="1969" spans="1:14" x14ac:dyDescent="0.3">
      <c r="A1969" s="1">
        <v>45651</v>
      </c>
      <c r="B1969" t="s">
        <v>32</v>
      </c>
      <c r="C1969" t="s">
        <v>33</v>
      </c>
      <c r="D1969" t="s">
        <v>19</v>
      </c>
      <c r="E1969">
        <v>1</v>
      </c>
      <c r="F1969">
        <v>773</v>
      </c>
      <c r="G1969">
        <v>181.52</v>
      </c>
      <c r="H1969">
        <v>2024</v>
      </c>
      <c r="I1969" t="s">
        <v>13</v>
      </c>
      <c r="J1969" s="4">
        <v>0.234825355756792</v>
      </c>
      <c r="K1969" t="s">
        <v>41</v>
      </c>
      <c r="L1969" t="s">
        <v>52</v>
      </c>
      <c r="M1969">
        <v>12</v>
      </c>
      <c r="N1969" t="s">
        <v>53</v>
      </c>
    </row>
    <row r="1970" spans="1:14" x14ac:dyDescent="0.3">
      <c r="A1970" s="1">
        <v>45648</v>
      </c>
      <c r="B1970" t="s">
        <v>32</v>
      </c>
      <c r="C1970" t="s">
        <v>33</v>
      </c>
      <c r="D1970" t="s">
        <v>17</v>
      </c>
      <c r="E1970">
        <v>9</v>
      </c>
      <c r="F1970">
        <v>2997</v>
      </c>
      <c r="G1970">
        <v>163.34</v>
      </c>
      <c r="H1970">
        <v>2024</v>
      </c>
      <c r="I1970" t="s">
        <v>13</v>
      </c>
      <c r="J1970" s="4">
        <v>5.45011678345012E-2</v>
      </c>
      <c r="K1970" t="s">
        <v>41</v>
      </c>
      <c r="L1970" t="s">
        <v>52</v>
      </c>
      <c r="M1970">
        <v>12</v>
      </c>
      <c r="N1970" t="s">
        <v>53</v>
      </c>
    </row>
    <row r="1971" spans="1:14" x14ac:dyDescent="0.3">
      <c r="A1971" s="1">
        <v>45574</v>
      </c>
      <c r="B1971" t="s">
        <v>32</v>
      </c>
      <c r="C1971" t="s">
        <v>33</v>
      </c>
      <c r="D1971" t="s">
        <v>17</v>
      </c>
      <c r="E1971">
        <v>2</v>
      </c>
      <c r="F1971">
        <v>1420</v>
      </c>
      <c r="G1971">
        <v>93.59</v>
      </c>
      <c r="H1971">
        <v>2024</v>
      </c>
      <c r="I1971" t="s">
        <v>14</v>
      </c>
      <c r="J1971" s="4">
        <v>6.5908450704225394E-2</v>
      </c>
      <c r="K1971" t="s">
        <v>41</v>
      </c>
      <c r="L1971" t="s">
        <v>52</v>
      </c>
      <c r="M1971">
        <v>10</v>
      </c>
      <c r="N1971" t="s">
        <v>54</v>
      </c>
    </row>
    <row r="1972" spans="1:14" x14ac:dyDescent="0.3">
      <c r="A1972" s="1">
        <v>45332</v>
      </c>
      <c r="B1972" t="s">
        <v>32</v>
      </c>
      <c r="C1972" t="s">
        <v>33</v>
      </c>
      <c r="D1972" t="s">
        <v>12</v>
      </c>
      <c r="E1972">
        <v>2</v>
      </c>
      <c r="F1972">
        <v>1224</v>
      </c>
      <c r="G1972">
        <v>340.67</v>
      </c>
      <c r="H1972">
        <v>2024</v>
      </c>
      <c r="I1972" t="s">
        <v>16</v>
      </c>
      <c r="J1972" s="4">
        <v>0.27832516339869301</v>
      </c>
      <c r="K1972" t="s">
        <v>41</v>
      </c>
      <c r="L1972" t="s">
        <v>55</v>
      </c>
      <c r="M1972">
        <v>2</v>
      </c>
      <c r="N1972" t="s">
        <v>57</v>
      </c>
    </row>
    <row r="1973" spans="1:14" x14ac:dyDescent="0.3">
      <c r="A1973" s="1">
        <v>45363</v>
      </c>
      <c r="B1973" t="s">
        <v>32</v>
      </c>
      <c r="C1973" t="s">
        <v>33</v>
      </c>
      <c r="D1973" t="s">
        <v>22</v>
      </c>
      <c r="E1973">
        <v>2</v>
      </c>
      <c r="F1973">
        <v>1504</v>
      </c>
      <c r="G1973">
        <v>108.52</v>
      </c>
      <c r="H1973">
        <v>2024</v>
      </c>
      <c r="I1973" t="s">
        <v>15</v>
      </c>
      <c r="J1973" s="4">
        <v>7.2154255319148902E-2</v>
      </c>
      <c r="K1973" t="s">
        <v>41</v>
      </c>
      <c r="L1973" t="s">
        <v>55</v>
      </c>
      <c r="M1973">
        <v>3</v>
      </c>
      <c r="N1973" t="s">
        <v>56</v>
      </c>
    </row>
    <row r="1974" spans="1:14" x14ac:dyDescent="0.3">
      <c r="A1974" s="1">
        <v>45432</v>
      </c>
      <c r="B1974" t="s">
        <v>32</v>
      </c>
      <c r="C1974" t="s">
        <v>33</v>
      </c>
      <c r="D1974" t="s">
        <v>12</v>
      </c>
      <c r="E1974">
        <v>3</v>
      </c>
      <c r="F1974">
        <v>2577</v>
      </c>
      <c r="G1974">
        <v>196.37</v>
      </c>
      <c r="H1974">
        <v>2024</v>
      </c>
      <c r="I1974" t="s">
        <v>20</v>
      </c>
      <c r="J1974" s="4">
        <v>7.62010089251067E-2</v>
      </c>
      <c r="K1974" t="s">
        <v>41</v>
      </c>
      <c r="L1974" t="s">
        <v>59</v>
      </c>
      <c r="M1974">
        <v>5</v>
      </c>
      <c r="N1974" t="s">
        <v>20</v>
      </c>
    </row>
    <row r="1975" spans="1:14" x14ac:dyDescent="0.3">
      <c r="A1975" s="1">
        <v>45563</v>
      </c>
      <c r="B1975" t="s">
        <v>32</v>
      </c>
      <c r="C1975" t="s">
        <v>33</v>
      </c>
      <c r="D1975" t="s">
        <v>17</v>
      </c>
      <c r="E1975">
        <v>3</v>
      </c>
      <c r="F1975">
        <v>1137</v>
      </c>
      <c r="G1975">
        <v>173.92</v>
      </c>
      <c r="H1975">
        <v>2024</v>
      </c>
      <c r="I1975" t="s">
        <v>21</v>
      </c>
      <c r="J1975" s="4">
        <v>0.15296394019349199</v>
      </c>
      <c r="K1975" t="s">
        <v>41</v>
      </c>
      <c r="L1975" t="s">
        <v>60</v>
      </c>
      <c r="M1975">
        <v>9</v>
      </c>
      <c r="N1975" t="s">
        <v>61</v>
      </c>
    </row>
    <row r="1976" spans="1:14" x14ac:dyDescent="0.3">
      <c r="A1976" s="1">
        <v>45460</v>
      </c>
      <c r="B1976" t="s">
        <v>32</v>
      </c>
      <c r="C1976" t="s">
        <v>33</v>
      </c>
      <c r="D1976" t="s">
        <v>19</v>
      </c>
      <c r="E1976">
        <v>3</v>
      </c>
      <c r="F1976">
        <v>3033</v>
      </c>
      <c r="G1976">
        <v>458.41</v>
      </c>
      <c r="H1976">
        <v>2024</v>
      </c>
      <c r="I1976" t="s">
        <v>27</v>
      </c>
      <c r="J1976" s="4">
        <v>0.15114078470161599</v>
      </c>
      <c r="K1976" t="s">
        <v>41</v>
      </c>
      <c r="L1976" t="s">
        <v>59</v>
      </c>
      <c r="M1976">
        <v>6</v>
      </c>
      <c r="N1976" t="s">
        <v>66</v>
      </c>
    </row>
    <row r="1977" spans="1:14" x14ac:dyDescent="0.3">
      <c r="A1977" s="1">
        <v>45324</v>
      </c>
      <c r="B1977" t="s">
        <v>32</v>
      </c>
      <c r="C1977" t="s">
        <v>33</v>
      </c>
      <c r="D1977" t="s">
        <v>12</v>
      </c>
      <c r="E1977">
        <v>2</v>
      </c>
      <c r="F1977">
        <v>2288</v>
      </c>
      <c r="G1977">
        <v>234.97</v>
      </c>
      <c r="H1977">
        <v>2024</v>
      </c>
      <c r="I1977" t="s">
        <v>16</v>
      </c>
      <c r="J1977" s="4">
        <v>0.102696678321678</v>
      </c>
      <c r="K1977" t="s">
        <v>41</v>
      </c>
      <c r="L1977" t="s">
        <v>55</v>
      </c>
      <c r="M1977">
        <v>2</v>
      </c>
      <c r="N1977" t="s">
        <v>57</v>
      </c>
    </row>
    <row r="1978" spans="1:14" x14ac:dyDescent="0.3">
      <c r="A1978" s="1">
        <v>45552</v>
      </c>
      <c r="B1978" t="s">
        <v>32</v>
      </c>
      <c r="C1978" t="s">
        <v>33</v>
      </c>
      <c r="D1978" t="s">
        <v>22</v>
      </c>
      <c r="E1978">
        <v>7</v>
      </c>
      <c r="F1978">
        <v>7966</v>
      </c>
      <c r="G1978">
        <v>1313.56</v>
      </c>
      <c r="H1978">
        <v>2024</v>
      </c>
      <c r="I1978" t="s">
        <v>21</v>
      </c>
      <c r="J1978" s="4">
        <v>0.164895807180517</v>
      </c>
      <c r="K1978" t="s">
        <v>41</v>
      </c>
      <c r="L1978" t="s">
        <v>60</v>
      </c>
      <c r="M1978">
        <v>9</v>
      </c>
      <c r="N1978" t="s">
        <v>61</v>
      </c>
    </row>
    <row r="1979" spans="1:14" x14ac:dyDescent="0.3">
      <c r="A1979" s="1">
        <v>45388</v>
      </c>
      <c r="B1979" t="s">
        <v>32</v>
      </c>
      <c r="C1979" t="s">
        <v>33</v>
      </c>
      <c r="D1979" t="s">
        <v>19</v>
      </c>
      <c r="E1979">
        <v>3</v>
      </c>
      <c r="F1979">
        <v>2244</v>
      </c>
      <c r="G1979">
        <v>301.52999999999997</v>
      </c>
      <c r="H1979">
        <v>2024</v>
      </c>
      <c r="I1979" t="s">
        <v>23</v>
      </c>
      <c r="J1979" s="4">
        <v>0.134371657754011</v>
      </c>
      <c r="K1979" t="s">
        <v>41</v>
      </c>
      <c r="L1979" t="s">
        <v>59</v>
      </c>
      <c r="M1979">
        <v>4</v>
      </c>
      <c r="N1979" t="s">
        <v>62</v>
      </c>
    </row>
    <row r="1980" spans="1:14" x14ac:dyDescent="0.3">
      <c r="A1980" s="1">
        <v>45535</v>
      </c>
      <c r="B1980" t="s">
        <v>32</v>
      </c>
      <c r="C1980" t="s">
        <v>33</v>
      </c>
      <c r="D1980" t="s">
        <v>17</v>
      </c>
      <c r="E1980">
        <v>2</v>
      </c>
      <c r="F1980">
        <v>378</v>
      </c>
      <c r="G1980">
        <v>87.37</v>
      </c>
      <c r="H1980">
        <v>2024</v>
      </c>
      <c r="I1980" t="s">
        <v>24</v>
      </c>
      <c r="J1980" s="4">
        <v>0.231137566137566</v>
      </c>
      <c r="K1980" t="s">
        <v>41</v>
      </c>
      <c r="L1980" t="s">
        <v>60</v>
      </c>
      <c r="M1980">
        <v>8</v>
      </c>
      <c r="N1980" t="s">
        <v>63</v>
      </c>
    </row>
    <row r="1981" spans="1:14" x14ac:dyDescent="0.3">
      <c r="A1981" s="1">
        <v>45521</v>
      </c>
      <c r="B1981" t="s">
        <v>32</v>
      </c>
      <c r="C1981" t="s">
        <v>33</v>
      </c>
      <c r="D1981" t="s">
        <v>17</v>
      </c>
      <c r="E1981">
        <v>7</v>
      </c>
      <c r="F1981">
        <v>5362</v>
      </c>
      <c r="G1981">
        <v>1029.47</v>
      </c>
      <c r="H1981">
        <v>2024</v>
      </c>
      <c r="I1981" t="s">
        <v>24</v>
      </c>
      <c r="J1981" s="4">
        <v>0.19199365908243199</v>
      </c>
      <c r="K1981" t="s">
        <v>41</v>
      </c>
      <c r="L1981" t="s">
        <v>60</v>
      </c>
      <c r="M1981">
        <v>8</v>
      </c>
      <c r="N1981" t="s">
        <v>63</v>
      </c>
    </row>
    <row r="1982" spans="1:14" x14ac:dyDescent="0.3">
      <c r="A1982" s="1">
        <v>45611</v>
      </c>
      <c r="B1982" t="s">
        <v>32</v>
      </c>
      <c r="C1982" t="s">
        <v>33</v>
      </c>
      <c r="D1982" t="s">
        <v>19</v>
      </c>
      <c r="E1982">
        <v>8</v>
      </c>
      <c r="F1982">
        <v>7256</v>
      </c>
      <c r="G1982">
        <v>558.79</v>
      </c>
      <c r="H1982">
        <v>2024</v>
      </c>
      <c r="I1982" t="s">
        <v>18</v>
      </c>
      <c r="J1982" s="4">
        <v>7.7010749724366001E-2</v>
      </c>
      <c r="K1982" t="s">
        <v>41</v>
      </c>
      <c r="L1982" t="s">
        <v>52</v>
      </c>
      <c r="M1982">
        <v>11</v>
      </c>
      <c r="N1982" t="s">
        <v>58</v>
      </c>
    </row>
    <row r="1983" spans="1:14" x14ac:dyDescent="0.3">
      <c r="A1983" s="1">
        <v>45317</v>
      </c>
      <c r="B1983" t="s">
        <v>32</v>
      </c>
      <c r="C1983" t="s">
        <v>33</v>
      </c>
      <c r="D1983" t="s">
        <v>19</v>
      </c>
      <c r="E1983">
        <v>8</v>
      </c>
      <c r="F1983">
        <v>7752</v>
      </c>
      <c r="G1983">
        <v>1943.84</v>
      </c>
      <c r="H1983">
        <v>2024</v>
      </c>
      <c r="I1983" t="s">
        <v>26</v>
      </c>
      <c r="J1983" s="4">
        <v>0.250753353973168</v>
      </c>
      <c r="K1983" t="s">
        <v>41</v>
      </c>
      <c r="L1983" t="s">
        <v>55</v>
      </c>
      <c r="M1983">
        <v>1</v>
      </c>
      <c r="N1983" t="s">
        <v>65</v>
      </c>
    </row>
    <row r="1984" spans="1:14" x14ac:dyDescent="0.3">
      <c r="A1984" s="1">
        <v>45536</v>
      </c>
      <c r="B1984" t="s">
        <v>32</v>
      </c>
      <c r="C1984" t="s">
        <v>33</v>
      </c>
      <c r="D1984" t="s">
        <v>19</v>
      </c>
      <c r="E1984">
        <v>3</v>
      </c>
      <c r="F1984">
        <v>2481</v>
      </c>
      <c r="G1984">
        <v>249.52</v>
      </c>
      <c r="H1984">
        <v>2024</v>
      </c>
      <c r="I1984" t="s">
        <v>21</v>
      </c>
      <c r="J1984" s="4">
        <v>0.100572349858928</v>
      </c>
      <c r="K1984" t="s">
        <v>41</v>
      </c>
      <c r="L1984" t="s">
        <v>60</v>
      </c>
      <c r="M1984">
        <v>9</v>
      </c>
      <c r="N1984" t="s">
        <v>61</v>
      </c>
    </row>
    <row r="1985" spans="1:14" x14ac:dyDescent="0.3">
      <c r="A1985" s="1">
        <v>45622</v>
      </c>
      <c r="B1985" t="s">
        <v>32</v>
      </c>
      <c r="C1985" t="s">
        <v>33</v>
      </c>
      <c r="D1985" t="s">
        <v>22</v>
      </c>
      <c r="E1985">
        <v>4</v>
      </c>
      <c r="F1985">
        <v>1208</v>
      </c>
      <c r="G1985">
        <v>115.13</v>
      </c>
      <c r="H1985">
        <v>2024</v>
      </c>
      <c r="I1985" t="s">
        <v>18</v>
      </c>
      <c r="J1985" s="4">
        <v>9.5306291390728506E-2</v>
      </c>
      <c r="K1985" t="s">
        <v>41</v>
      </c>
      <c r="L1985" t="s">
        <v>52</v>
      </c>
      <c r="M1985">
        <v>11</v>
      </c>
      <c r="N1985" t="s">
        <v>58</v>
      </c>
    </row>
    <row r="1986" spans="1:14" x14ac:dyDescent="0.3">
      <c r="A1986" s="1">
        <v>45454</v>
      </c>
      <c r="B1986" t="s">
        <v>32</v>
      </c>
      <c r="C1986" t="s">
        <v>33</v>
      </c>
      <c r="D1986" t="s">
        <v>12</v>
      </c>
      <c r="E1986">
        <v>7</v>
      </c>
      <c r="F1986">
        <v>1365</v>
      </c>
      <c r="G1986">
        <v>312.04000000000002</v>
      </c>
      <c r="H1986">
        <v>2024</v>
      </c>
      <c r="I1986" t="s">
        <v>27</v>
      </c>
      <c r="J1986" s="4">
        <v>0.22860073260073299</v>
      </c>
      <c r="K1986" t="s">
        <v>41</v>
      </c>
      <c r="L1986" t="s">
        <v>59</v>
      </c>
      <c r="M1986">
        <v>6</v>
      </c>
      <c r="N1986" t="s">
        <v>66</v>
      </c>
    </row>
    <row r="1987" spans="1:14" x14ac:dyDescent="0.3">
      <c r="A1987" s="1">
        <v>45512</v>
      </c>
      <c r="B1987" t="s">
        <v>32</v>
      </c>
      <c r="C1987" t="s">
        <v>33</v>
      </c>
      <c r="D1987" t="s">
        <v>19</v>
      </c>
      <c r="E1987">
        <v>8</v>
      </c>
      <c r="F1987">
        <v>2984</v>
      </c>
      <c r="G1987">
        <v>742.31</v>
      </c>
      <c r="H1987">
        <v>2024</v>
      </c>
      <c r="I1987" t="s">
        <v>24</v>
      </c>
      <c r="J1987" s="4">
        <v>0.248763404825737</v>
      </c>
      <c r="K1987" t="s">
        <v>41</v>
      </c>
      <c r="L1987" t="s">
        <v>60</v>
      </c>
      <c r="M1987">
        <v>8</v>
      </c>
      <c r="N1987" t="s">
        <v>63</v>
      </c>
    </row>
    <row r="1988" spans="1:14" x14ac:dyDescent="0.3">
      <c r="A1988" s="1">
        <v>45644</v>
      </c>
      <c r="B1988" t="s">
        <v>32</v>
      </c>
      <c r="C1988" t="s">
        <v>33</v>
      </c>
      <c r="D1988" t="s">
        <v>19</v>
      </c>
      <c r="E1988">
        <v>4</v>
      </c>
      <c r="F1988">
        <v>4740</v>
      </c>
      <c r="G1988">
        <v>607.80999999999995</v>
      </c>
      <c r="H1988">
        <v>2024</v>
      </c>
      <c r="I1988" t="s">
        <v>13</v>
      </c>
      <c r="J1988" s="4">
        <v>0.12822995780590701</v>
      </c>
      <c r="K1988" t="s">
        <v>41</v>
      </c>
      <c r="L1988" t="s">
        <v>52</v>
      </c>
      <c r="M1988">
        <v>12</v>
      </c>
      <c r="N1988" t="s">
        <v>53</v>
      </c>
    </row>
    <row r="1989" spans="1:14" x14ac:dyDescent="0.3">
      <c r="A1989" s="1">
        <v>45427</v>
      </c>
      <c r="B1989" t="s">
        <v>32</v>
      </c>
      <c r="C1989" t="s">
        <v>33</v>
      </c>
      <c r="D1989" t="s">
        <v>22</v>
      </c>
      <c r="E1989">
        <v>2</v>
      </c>
      <c r="F1989">
        <v>2170</v>
      </c>
      <c r="G1989">
        <v>522</v>
      </c>
      <c r="H1989">
        <v>2024</v>
      </c>
      <c r="I1989" t="s">
        <v>20</v>
      </c>
      <c r="J1989" s="4">
        <v>0.24055299539170499</v>
      </c>
      <c r="K1989" t="s">
        <v>41</v>
      </c>
      <c r="L1989" t="s">
        <v>59</v>
      </c>
      <c r="M1989">
        <v>5</v>
      </c>
      <c r="N1989" t="s">
        <v>20</v>
      </c>
    </row>
    <row r="1990" spans="1:14" x14ac:dyDescent="0.3">
      <c r="A1990" s="1">
        <v>45400</v>
      </c>
      <c r="B1990" t="s">
        <v>32</v>
      </c>
      <c r="C1990" t="s">
        <v>33</v>
      </c>
      <c r="D1990" t="s">
        <v>17</v>
      </c>
      <c r="E1990">
        <v>3</v>
      </c>
      <c r="F1990">
        <v>1698</v>
      </c>
      <c r="G1990">
        <v>304.91000000000003</v>
      </c>
      <c r="H1990">
        <v>2024</v>
      </c>
      <c r="I1990" t="s">
        <v>23</v>
      </c>
      <c r="J1990" s="4">
        <v>0.17957008244994099</v>
      </c>
      <c r="K1990" t="s">
        <v>41</v>
      </c>
      <c r="L1990" t="s">
        <v>59</v>
      </c>
      <c r="M1990">
        <v>4</v>
      </c>
      <c r="N1990" t="s">
        <v>62</v>
      </c>
    </row>
    <row r="1991" spans="1:14" x14ac:dyDescent="0.3">
      <c r="A1991" s="1">
        <v>45383</v>
      </c>
      <c r="B1991" t="s">
        <v>32</v>
      </c>
      <c r="C1991" t="s">
        <v>33</v>
      </c>
      <c r="D1991" t="s">
        <v>22</v>
      </c>
      <c r="E1991">
        <v>2</v>
      </c>
      <c r="F1991">
        <v>272</v>
      </c>
      <c r="G1991">
        <v>24.71</v>
      </c>
      <c r="H1991">
        <v>2024</v>
      </c>
      <c r="I1991" t="s">
        <v>23</v>
      </c>
      <c r="J1991" s="4">
        <v>9.0845588235294095E-2</v>
      </c>
      <c r="K1991" t="s">
        <v>41</v>
      </c>
      <c r="L1991" t="s">
        <v>59</v>
      </c>
      <c r="M1991">
        <v>4</v>
      </c>
      <c r="N1991" t="s">
        <v>62</v>
      </c>
    </row>
    <row r="1992" spans="1:14" x14ac:dyDescent="0.3">
      <c r="A1992" s="1">
        <v>45521</v>
      </c>
      <c r="B1992" t="s">
        <v>32</v>
      </c>
      <c r="C1992" t="s">
        <v>33</v>
      </c>
      <c r="D1992" t="s">
        <v>22</v>
      </c>
      <c r="E1992">
        <v>2</v>
      </c>
      <c r="F1992">
        <v>518</v>
      </c>
      <c r="G1992">
        <v>34.22</v>
      </c>
      <c r="H1992">
        <v>2024</v>
      </c>
      <c r="I1992" t="s">
        <v>24</v>
      </c>
      <c r="J1992" s="4">
        <v>6.6061776061776101E-2</v>
      </c>
      <c r="K1992" t="s">
        <v>41</v>
      </c>
      <c r="L1992" t="s">
        <v>60</v>
      </c>
      <c r="M1992">
        <v>8</v>
      </c>
      <c r="N1992" t="s">
        <v>63</v>
      </c>
    </row>
    <row r="1993" spans="1:14" x14ac:dyDescent="0.3">
      <c r="A1993" s="1">
        <v>45406</v>
      </c>
      <c r="B1993" t="s">
        <v>32</v>
      </c>
      <c r="C1993" t="s">
        <v>33</v>
      </c>
      <c r="D1993" t="s">
        <v>17</v>
      </c>
      <c r="E1993">
        <v>7</v>
      </c>
      <c r="F1993">
        <v>7217</v>
      </c>
      <c r="G1993">
        <v>1481.7</v>
      </c>
      <c r="H1993">
        <v>2024</v>
      </c>
      <c r="I1993" t="s">
        <v>23</v>
      </c>
      <c r="J1993" s="4">
        <v>0.20530691423028999</v>
      </c>
      <c r="K1993" t="s">
        <v>41</v>
      </c>
      <c r="L1993" t="s">
        <v>59</v>
      </c>
      <c r="M1993">
        <v>4</v>
      </c>
      <c r="N1993" t="s">
        <v>62</v>
      </c>
    </row>
    <row r="1994" spans="1:14" x14ac:dyDescent="0.3">
      <c r="A1994" s="1">
        <v>45372</v>
      </c>
      <c r="B1994" t="s">
        <v>32</v>
      </c>
      <c r="C1994" t="s">
        <v>33</v>
      </c>
      <c r="D1994" t="s">
        <v>12</v>
      </c>
      <c r="E1994">
        <v>3</v>
      </c>
      <c r="F1994">
        <v>225</v>
      </c>
      <c r="G1994">
        <v>46.96</v>
      </c>
      <c r="H1994">
        <v>2024</v>
      </c>
      <c r="I1994" t="s">
        <v>15</v>
      </c>
      <c r="J1994" s="4">
        <v>0.20871111111111099</v>
      </c>
      <c r="K1994" t="s">
        <v>41</v>
      </c>
      <c r="L1994" t="s">
        <v>55</v>
      </c>
      <c r="M1994">
        <v>3</v>
      </c>
      <c r="N1994" t="s">
        <v>56</v>
      </c>
    </row>
    <row r="1995" spans="1:14" x14ac:dyDescent="0.3">
      <c r="A1995" s="1">
        <v>45643</v>
      </c>
      <c r="B1995" t="s">
        <v>32</v>
      </c>
      <c r="C1995" t="s">
        <v>33</v>
      </c>
      <c r="D1995" t="s">
        <v>17</v>
      </c>
      <c r="E1995">
        <v>2</v>
      </c>
      <c r="F1995">
        <v>1840</v>
      </c>
      <c r="G1995">
        <v>367.7</v>
      </c>
      <c r="H1995">
        <v>2024</v>
      </c>
      <c r="I1995" t="s">
        <v>13</v>
      </c>
      <c r="J1995" s="4">
        <v>0.199836956521739</v>
      </c>
      <c r="K1995" t="s">
        <v>41</v>
      </c>
      <c r="L1995" t="s">
        <v>52</v>
      </c>
      <c r="M1995">
        <v>12</v>
      </c>
      <c r="N1995" t="s">
        <v>53</v>
      </c>
    </row>
    <row r="1996" spans="1:14" x14ac:dyDescent="0.3">
      <c r="A1996" s="1">
        <v>45482</v>
      </c>
      <c r="B1996" t="s">
        <v>32</v>
      </c>
      <c r="C1996" t="s">
        <v>33</v>
      </c>
      <c r="D1996" t="s">
        <v>17</v>
      </c>
      <c r="E1996">
        <v>5</v>
      </c>
      <c r="F1996">
        <v>310</v>
      </c>
      <c r="G1996">
        <v>32.01</v>
      </c>
      <c r="H1996">
        <v>2024</v>
      </c>
      <c r="I1996" t="s">
        <v>25</v>
      </c>
      <c r="J1996" s="4">
        <v>0.103258064516129</v>
      </c>
      <c r="K1996" t="s">
        <v>41</v>
      </c>
      <c r="L1996" t="s">
        <v>60</v>
      </c>
      <c r="M1996">
        <v>7</v>
      </c>
      <c r="N1996" t="s">
        <v>64</v>
      </c>
    </row>
    <row r="1997" spans="1:14" x14ac:dyDescent="0.3">
      <c r="A1997" s="1">
        <v>45396</v>
      </c>
      <c r="B1997" t="s">
        <v>32</v>
      </c>
      <c r="C1997" t="s">
        <v>33</v>
      </c>
      <c r="D1997" t="s">
        <v>19</v>
      </c>
      <c r="E1997">
        <v>4</v>
      </c>
      <c r="F1997">
        <v>1716</v>
      </c>
      <c r="G1997">
        <v>364.96</v>
      </c>
      <c r="H1997">
        <v>2024</v>
      </c>
      <c r="I1997" t="s">
        <v>23</v>
      </c>
      <c r="J1997" s="4">
        <v>0.212680652680653</v>
      </c>
      <c r="K1997" t="s">
        <v>41</v>
      </c>
      <c r="L1997" t="s">
        <v>59</v>
      </c>
      <c r="M1997">
        <v>4</v>
      </c>
      <c r="N1997" t="s">
        <v>62</v>
      </c>
    </row>
    <row r="1998" spans="1:14" x14ac:dyDescent="0.3">
      <c r="A1998" s="1">
        <v>45475</v>
      </c>
      <c r="B1998" t="s">
        <v>32</v>
      </c>
      <c r="C1998" t="s">
        <v>33</v>
      </c>
      <c r="D1998" t="s">
        <v>12</v>
      </c>
      <c r="E1998">
        <v>6</v>
      </c>
      <c r="F1998">
        <v>4998</v>
      </c>
      <c r="G1998">
        <v>863.82</v>
      </c>
      <c r="H1998">
        <v>2024</v>
      </c>
      <c r="I1998" t="s">
        <v>25</v>
      </c>
      <c r="J1998" s="4">
        <v>0.17283313325330099</v>
      </c>
      <c r="K1998" t="s">
        <v>41</v>
      </c>
      <c r="L1998" t="s">
        <v>60</v>
      </c>
      <c r="M1998">
        <v>7</v>
      </c>
      <c r="N1998" t="s">
        <v>64</v>
      </c>
    </row>
    <row r="1999" spans="1:14" x14ac:dyDescent="0.3">
      <c r="A1999" s="1">
        <v>45527</v>
      </c>
      <c r="B1999" t="s">
        <v>32</v>
      </c>
      <c r="C1999" t="s">
        <v>33</v>
      </c>
      <c r="D1999" t="s">
        <v>22</v>
      </c>
      <c r="E1999">
        <v>8</v>
      </c>
      <c r="F1999">
        <v>1800</v>
      </c>
      <c r="G1999">
        <v>326.02999999999997</v>
      </c>
      <c r="H1999">
        <v>2024</v>
      </c>
      <c r="I1999" t="s">
        <v>24</v>
      </c>
      <c r="J1999" s="4">
        <v>0.181127777777778</v>
      </c>
      <c r="K1999" t="s">
        <v>41</v>
      </c>
      <c r="L1999" t="s">
        <v>60</v>
      </c>
      <c r="M1999">
        <v>8</v>
      </c>
      <c r="N1999" t="s">
        <v>63</v>
      </c>
    </row>
    <row r="2000" spans="1:14" x14ac:dyDescent="0.3">
      <c r="A2000" s="1">
        <v>45656</v>
      </c>
      <c r="B2000" t="s">
        <v>32</v>
      </c>
      <c r="C2000" t="s">
        <v>33</v>
      </c>
      <c r="D2000" t="s">
        <v>12</v>
      </c>
      <c r="E2000">
        <v>9</v>
      </c>
      <c r="F2000">
        <v>8703</v>
      </c>
      <c r="G2000">
        <v>1562.88</v>
      </c>
      <c r="H2000">
        <v>2024</v>
      </c>
      <c r="I2000" t="s">
        <v>13</v>
      </c>
      <c r="J2000" s="4">
        <v>0.17957945536022099</v>
      </c>
      <c r="K2000" t="s">
        <v>41</v>
      </c>
      <c r="L2000" t="s">
        <v>52</v>
      </c>
      <c r="M2000">
        <v>12</v>
      </c>
      <c r="N2000" t="s">
        <v>53</v>
      </c>
    </row>
    <row r="2001" spans="1:14" x14ac:dyDescent="0.3">
      <c r="A2001" s="1">
        <v>45411</v>
      </c>
      <c r="B2001" t="s">
        <v>32</v>
      </c>
      <c r="C2001" t="s">
        <v>33</v>
      </c>
      <c r="D2001" t="s">
        <v>19</v>
      </c>
      <c r="E2001">
        <v>6</v>
      </c>
      <c r="F2001">
        <v>6024</v>
      </c>
      <c r="G2001">
        <v>1706.41</v>
      </c>
      <c r="H2001">
        <v>2024</v>
      </c>
      <c r="I2001" t="s">
        <v>23</v>
      </c>
      <c r="J2001" s="4">
        <v>0.28326859229747697</v>
      </c>
      <c r="K2001" t="s">
        <v>41</v>
      </c>
      <c r="L2001" t="s">
        <v>59</v>
      </c>
      <c r="M2001">
        <v>4</v>
      </c>
      <c r="N2001" t="s">
        <v>62</v>
      </c>
    </row>
    <row r="2002" spans="1:14" x14ac:dyDescent="0.3">
      <c r="A2002" s="1">
        <v>45432</v>
      </c>
      <c r="B2002" t="s">
        <v>32</v>
      </c>
      <c r="C2002" t="s">
        <v>33</v>
      </c>
      <c r="D2002" t="s">
        <v>19</v>
      </c>
      <c r="E2002">
        <v>9</v>
      </c>
      <c r="F2002">
        <v>2754</v>
      </c>
      <c r="G2002">
        <v>259.16000000000003</v>
      </c>
      <c r="H2002">
        <v>2024</v>
      </c>
      <c r="I2002" t="s">
        <v>20</v>
      </c>
      <c r="J2002" s="4">
        <v>9.4103122730573696E-2</v>
      </c>
      <c r="K2002" t="s">
        <v>41</v>
      </c>
      <c r="L2002" t="s">
        <v>59</v>
      </c>
      <c r="M2002">
        <v>5</v>
      </c>
      <c r="N2002" t="s">
        <v>20</v>
      </c>
    </row>
    <row r="2003" spans="1:14" x14ac:dyDescent="0.3">
      <c r="A2003" s="1">
        <v>45652</v>
      </c>
      <c r="B2003" t="s">
        <v>32</v>
      </c>
      <c r="C2003" t="s">
        <v>33</v>
      </c>
      <c r="D2003" t="s">
        <v>17</v>
      </c>
      <c r="E2003">
        <v>5</v>
      </c>
      <c r="F2003">
        <v>505</v>
      </c>
      <c r="G2003">
        <v>93.85</v>
      </c>
      <c r="H2003">
        <v>2024</v>
      </c>
      <c r="I2003" t="s">
        <v>13</v>
      </c>
      <c r="J2003" s="4">
        <v>0.18584158415841601</v>
      </c>
      <c r="K2003" t="s">
        <v>41</v>
      </c>
      <c r="L2003" t="s">
        <v>52</v>
      </c>
      <c r="M2003">
        <v>12</v>
      </c>
      <c r="N2003" t="s">
        <v>53</v>
      </c>
    </row>
    <row r="2004" spans="1:14" x14ac:dyDescent="0.3">
      <c r="A2004" s="1">
        <v>45300</v>
      </c>
      <c r="B2004" t="s">
        <v>32</v>
      </c>
      <c r="C2004" t="s">
        <v>33</v>
      </c>
      <c r="D2004" t="s">
        <v>12</v>
      </c>
      <c r="E2004">
        <v>1</v>
      </c>
      <c r="F2004">
        <v>309</v>
      </c>
      <c r="G2004">
        <v>62.08</v>
      </c>
      <c r="H2004">
        <v>2024</v>
      </c>
      <c r="I2004" t="s">
        <v>26</v>
      </c>
      <c r="J2004" s="4">
        <v>0.20090614886731401</v>
      </c>
      <c r="K2004" t="s">
        <v>41</v>
      </c>
      <c r="L2004" t="s">
        <v>55</v>
      </c>
      <c r="M2004">
        <v>1</v>
      </c>
      <c r="N2004" t="s">
        <v>65</v>
      </c>
    </row>
    <row r="2005" spans="1:14" x14ac:dyDescent="0.3">
      <c r="A2005" s="1">
        <v>45551</v>
      </c>
      <c r="B2005" t="s">
        <v>32</v>
      </c>
      <c r="C2005" t="s">
        <v>33</v>
      </c>
      <c r="D2005" t="s">
        <v>22</v>
      </c>
      <c r="E2005">
        <v>6</v>
      </c>
      <c r="F2005">
        <v>2640</v>
      </c>
      <c r="G2005">
        <v>734.44</v>
      </c>
      <c r="H2005">
        <v>2024</v>
      </c>
      <c r="I2005" t="s">
        <v>21</v>
      </c>
      <c r="J2005" s="4">
        <v>0.27819696969697</v>
      </c>
      <c r="K2005" t="s">
        <v>41</v>
      </c>
      <c r="L2005" t="s">
        <v>60</v>
      </c>
      <c r="M2005">
        <v>9</v>
      </c>
      <c r="N2005" t="s">
        <v>61</v>
      </c>
    </row>
    <row r="2006" spans="1:14" x14ac:dyDescent="0.3">
      <c r="A2006" s="1">
        <v>45443</v>
      </c>
      <c r="B2006" t="s">
        <v>32</v>
      </c>
      <c r="C2006" t="s">
        <v>33</v>
      </c>
      <c r="D2006" t="s">
        <v>19</v>
      </c>
      <c r="E2006">
        <v>1</v>
      </c>
      <c r="F2006">
        <v>85</v>
      </c>
      <c r="G2006">
        <v>17.71</v>
      </c>
      <c r="H2006">
        <v>2024</v>
      </c>
      <c r="I2006" t="s">
        <v>20</v>
      </c>
      <c r="J2006" s="4">
        <v>0.20835294117647099</v>
      </c>
      <c r="K2006" t="s">
        <v>41</v>
      </c>
      <c r="L2006" t="s">
        <v>59</v>
      </c>
      <c r="M2006">
        <v>5</v>
      </c>
      <c r="N2006" t="s">
        <v>20</v>
      </c>
    </row>
    <row r="2007" spans="1:14" x14ac:dyDescent="0.3">
      <c r="A2007" s="1">
        <v>45345</v>
      </c>
      <c r="B2007" t="s">
        <v>32</v>
      </c>
      <c r="C2007" t="s">
        <v>33</v>
      </c>
      <c r="D2007" t="s">
        <v>19</v>
      </c>
      <c r="E2007">
        <v>2</v>
      </c>
      <c r="F2007">
        <v>1262</v>
      </c>
      <c r="G2007">
        <v>190.02</v>
      </c>
      <c r="H2007">
        <v>2024</v>
      </c>
      <c r="I2007" t="s">
        <v>16</v>
      </c>
      <c r="J2007" s="4">
        <v>0.15057052297939799</v>
      </c>
      <c r="K2007" t="s">
        <v>41</v>
      </c>
      <c r="L2007" t="s">
        <v>55</v>
      </c>
      <c r="M2007">
        <v>2</v>
      </c>
      <c r="N2007" t="s">
        <v>57</v>
      </c>
    </row>
    <row r="2008" spans="1:14" x14ac:dyDescent="0.3">
      <c r="A2008" s="1">
        <v>45364</v>
      </c>
      <c r="B2008" t="s">
        <v>32</v>
      </c>
      <c r="C2008" t="s">
        <v>33</v>
      </c>
      <c r="D2008" t="s">
        <v>12</v>
      </c>
      <c r="E2008">
        <v>5</v>
      </c>
      <c r="F2008">
        <v>1710</v>
      </c>
      <c r="G2008">
        <v>338.1</v>
      </c>
      <c r="H2008">
        <v>2024</v>
      </c>
      <c r="I2008" t="s">
        <v>15</v>
      </c>
      <c r="J2008" s="4">
        <v>0.19771929824561399</v>
      </c>
      <c r="K2008" t="s">
        <v>41</v>
      </c>
      <c r="L2008" t="s">
        <v>55</v>
      </c>
      <c r="M2008">
        <v>3</v>
      </c>
      <c r="N2008" t="s">
        <v>56</v>
      </c>
    </row>
    <row r="2009" spans="1:14" x14ac:dyDescent="0.3">
      <c r="A2009" s="1">
        <v>45431</v>
      </c>
      <c r="B2009" t="s">
        <v>32</v>
      </c>
      <c r="C2009" t="s">
        <v>33</v>
      </c>
      <c r="D2009" t="s">
        <v>12</v>
      </c>
      <c r="E2009">
        <v>3</v>
      </c>
      <c r="F2009">
        <v>2367</v>
      </c>
      <c r="G2009">
        <v>222.26</v>
      </c>
      <c r="H2009">
        <v>2024</v>
      </c>
      <c r="I2009" t="s">
        <v>20</v>
      </c>
      <c r="J2009" s="4">
        <v>9.3899450781580102E-2</v>
      </c>
      <c r="K2009" t="s">
        <v>41</v>
      </c>
      <c r="L2009" t="s">
        <v>59</v>
      </c>
      <c r="M2009">
        <v>5</v>
      </c>
      <c r="N2009" t="s">
        <v>20</v>
      </c>
    </row>
    <row r="2010" spans="1:14" x14ac:dyDescent="0.3">
      <c r="A2010" s="1">
        <v>45318</v>
      </c>
      <c r="B2010" t="s">
        <v>32</v>
      </c>
      <c r="C2010" t="s">
        <v>33</v>
      </c>
      <c r="D2010" t="s">
        <v>22</v>
      </c>
      <c r="E2010">
        <v>2</v>
      </c>
      <c r="F2010">
        <v>396</v>
      </c>
      <c r="G2010">
        <v>46.33</v>
      </c>
      <c r="H2010">
        <v>2024</v>
      </c>
      <c r="I2010" t="s">
        <v>26</v>
      </c>
      <c r="J2010" s="4">
        <v>0.116994949494949</v>
      </c>
      <c r="K2010" t="s">
        <v>41</v>
      </c>
      <c r="L2010" t="s">
        <v>55</v>
      </c>
      <c r="M2010">
        <v>1</v>
      </c>
      <c r="N2010" t="s">
        <v>65</v>
      </c>
    </row>
    <row r="2011" spans="1:14" x14ac:dyDescent="0.3">
      <c r="A2011" s="1">
        <v>45630</v>
      </c>
      <c r="B2011" t="s">
        <v>32</v>
      </c>
      <c r="C2011" t="s">
        <v>33</v>
      </c>
      <c r="D2011" t="s">
        <v>19</v>
      </c>
      <c r="E2011">
        <v>3</v>
      </c>
      <c r="F2011">
        <v>1989</v>
      </c>
      <c r="G2011">
        <v>299.79000000000002</v>
      </c>
      <c r="H2011">
        <v>2024</v>
      </c>
      <c r="I2011" t="s">
        <v>13</v>
      </c>
      <c r="J2011" s="4">
        <v>0.150723981900452</v>
      </c>
      <c r="K2011" t="s">
        <v>41</v>
      </c>
      <c r="L2011" t="s">
        <v>52</v>
      </c>
      <c r="M2011">
        <v>12</v>
      </c>
      <c r="N2011" t="s">
        <v>53</v>
      </c>
    </row>
    <row r="2012" spans="1:14" x14ac:dyDescent="0.3">
      <c r="A2012" s="1">
        <v>45585</v>
      </c>
      <c r="B2012" t="s">
        <v>32</v>
      </c>
      <c r="C2012" t="s">
        <v>33</v>
      </c>
      <c r="D2012" t="s">
        <v>22</v>
      </c>
      <c r="E2012">
        <v>1</v>
      </c>
      <c r="F2012">
        <v>282</v>
      </c>
      <c r="G2012">
        <v>72.5</v>
      </c>
      <c r="H2012">
        <v>2024</v>
      </c>
      <c r="I2012" t="s">
        <v>14</v>
      </c>
      <c r="J2012" s="4">
        <v>0.25709219858156002</v>
      </c>
      <c r="K2012" t="s">
        <v>41</v>
      </c>
      <c r="L2012" t="s">
        <v>52</v>
      </c>
      <c r="M2012">
        <v>10</v>
      </c>
      <c r="N2012" t="s">
        <v>54</v>
      </c>
    </row>
    <row r="2013" spans="1:14" x14ac:dyDescent="0.3">
      <c r="A2013" s="1">
        <v>45647</v>
      </c>
      <c r="B2013" t="s">
        <v>32</v>
      </c>
      <c r="C2013" t="s">
        <v>33</v>
      </c>
      <c r="D2013" t="s">
        <v>19</v>
      </c>
      <c r="E2013">
        <v>9</v>
      </c>
      <c r="F2013">
        <v>7083</v>
      </c>
      <c r="G2013">
        <v>1353.39</v>
      </c>
      <c r="H2013">
        <v>2024</v>
      </c>
      <c r="I2013" t="s">
        <v>13</v>
      </c>
      <c r="J2013" s="4">
        <v>0.19107581533248599</v>
      </c>
      <c r="K2013" t="s">
        <v>41</v>
      </c>
      <c r="L2013" t="s">
        <v>52</v>
      </c>
      <c r="M2013">
        <v>12</v>
      </c>
      <c r="N2013" t="s">
        <v>53</v>
      </c>
    </row>
    <row r="2014" spans="1:14" x14ac:dyDescent="0.3">
      <c r="A2014" s="1">
        <v>45383</v>
      </c>
      <c r="B2014" t="s">
        <v>32</v>
      </c>
      <c r="C2014" t="s">
        <v>33</v>
      </c>
      <c r="D2014" t="s">
        <v>22</v>
      </c>
      <c r="E2014">
        <v>5</v>
      </c>
      <c r="F2014">
        <v>3445</v>
      </c>
      <c r="G2014">
        <v>202.15</v>
      </c>
      <c r="H2014">
        <v>2024</v>
      </c>
      <c r="I2014" t="s">
        <v>23</v>
      </c>
      <c r="J2014" s="4">
        <v>5.8679245283018898E-2</v>
      </c>
      <c r="K2014" t="s">
        <v>41</v>
      </c>
      <c r="L2014" t="s">
        <v>59</v>
      </c>
      <c r="M2014">
        <v>4</v>
      </c>
      <c r="N2014" t="s">
        <v>62</v>
      </c>
    </row>
    <row r="2015" spans="1:14" x14ac:dyDescent="0.3">
      <c r="A2015" s="1">
        <v>45600</v>
      </c>
      <c r="B2015" t="s">
        <v>32</v>
      </c>
      <c r="C2015" t="s">
        <v>33</v>
      </c>
      <c r="D2015" t="s">
        <v>19</v>
      </c>
      <c r="E2015">
        <v>4</v>
      </c>
      <c r="F2015">
        <v>1636</v>
      </c>
      <c r="G2015">
        <v>134.85</v>
      </c>
      <c r="H2015">
        <v>2024</v>
      </c>
      <c r="I2015" t="s">
        <v>18</v>
      </c>
      <c r="J2015" s="4">
        <v>8.2426650366748205E-2</v>
      </c>
      <c r="K2015" t="s">
        <v>41</v>
      </c>
      <c r="L2015" t="s">
        <v>52</v>
      </c>
      <c r="M2015">
        <v>11</v>
      </c>
      <c r="N2015" t="s">
        <v>58</v>
      </c>
    </row>
    <row r="2016" spans="1:14" x14ac:dyDescent="0.3">
      <c r="A2016" s="1">
        <v>45325</v>
      </c>
      <c r="B2016" t="s">
        <v>32</v>
      </c>
      <c r="C2016" t="s">
        <v>33</v>
      </c>
      <c r="D2016" t="s">
        <v>12</v>
      </c>
      <c r="E2016">
        <v>9</v>
      </c>
      <c r="F2016">
        <v>7695</v>
      </c>
      <c r="G2016">
        <v>1749.26</v>
      </c>
      <c r="H2016">
        <v>2024</v>
      </c>
      <c r="I2016" t="s">
        <v>16</v>
      </c>
      <c r="J2016" s="4">
        <v>0.227324236517219</v>
      </c>
      <c r="K2016" t="s">
        <v>41</v>
      </c>
      <c r="L2016" t="s">
        <v>55</v>
      </c>
      <c r="M2016">
        <v>2</v>
      </c>
      <c r="N2016" t="s">
        <v>57</v>
      </c>
    </row>
    <row r="2017" spans="1:14" x14ac:dyDescent="0.3">
      <c r="A2017" s="1">
        <v>45374</v>
      </c>
      <c r="B2017" t="s">
        <v>32</v>
      </c>
      <c r="C2017" t="s">
        <v>33</v>
      </c>
      <c r="D2017" t="s">
        <v>19</v>
      </c>
      <c r="E2017">
        <v>2</v>
      </c>
      <c r="F2017">
        <v>130</v>
      </c>
      <c r="G2017">
        <v>11.1</v>
      </c>
      <c r="H2017">
        <v>2024</v>
      </c>
      <c r="I2017" t="s">
        <v>15</v>
      </c>
      <c r="J2017" s="4">
        <v>8.5384615384615406E-2</v>
      </c>
      <c r="K2017" t="s">
        <v>41</v>
      </c>
      <c r="L2017" t="s">
        <v>55</v>
      </c>
      <c r="M2017">
        <v>3</v>
      </c>
      <c r="N2017" t="s">
        <v>56</v>
      </c>
    </row>
    <row r="2018" spans="1:14" x14ac:dyDescent="0.3">
      <c r="A2018" s="1">
        <v>45543</v>
      </c>
      <c r="B2018" t="s">
        <v>32</v>
      </c>
      <c r="C2018" t="s">
        <v>33</v>
      </c>
      <c r="D2018" t="s">
        <v>17</v>
      </c>
      <c r="E2018">
        <v>3</v>
      </c>
      <c r="F2018">
        <v>2508</v>
      </c>
      <c r="G2018">
        <v>498.69</v>
      </c>
      <c r="H2018">
        <v>2024</v>
      </c>
      <c r="I2018" t="s">
        <v>21</v>
      </c>
      <c r="J2018" s="4">
        <v>0.19883971291866001</v>
      </c>
      <c r="K2018" t="s">
        <v>41</v>
      </c>
      <c r="L2018" t="s">
        <v>60</v>
      </c>
      <c r="M2018">
        <v>9</v>
      </c>
      <c r="N2018" t="s">
        <v>61</v>
      </c>
    </row>
    <row r="2019" spans="1:14" x14ac:dyDescent="0.3">
      <c r="A2019" s="1">
        <v>45459</v>
      </c>
      <c r="B2019" t="s">
        <v>32</v>
      </c>
      <c r="C2019" t="s">
        <v>33</v>
      </c>
      <c r="D2019" t="s">
        <v>12</v>
      </c>
      <c r="E2019">
        <v>4</v>
      </c>
      <c r="F2019">
        <v>4356</v>
      </c>
      <c r="G2019">
        <v>614.62</v>
      </c>
      <c r="H2019">
        <v>2024</v>
      </c>
      <c r="I2019" t="s">
        <v>27</v>
      </c>
      <c r="J2019" s="4">
        <v>0.14109733700642799</v>
      </c>
      <c r="K2019" t="s">
        <v>41</v>
      </c>
      <c r="L2019" t="s">
        <v>59</v>
      </c>
      <c r="M2019">
        <v>6</v>
      </c>
      <c r="N2019" t="s">
        <v>66</v>
      </c>
    </row>
    <row r="2020" spans="1:14" x14ac:dyDescent="0.3">
      <c r="A2020" s="1">
        <v>45559</v>
      </c>
      <c r="B2020" t="s">
        <v>32</v>
      </c>
      <c r="C2020" t="s">
        <v>33</v>
      </c>
      <c r="D2020" t="s">
        <v>19</v>
      </c>
      <c r="E2020">
        <v>5</v>
      </c>
      <c r="F2020">
        <v>855</v>
      </c>
      <c r="G2020">
        <v>238.83</v>
      </c>
      <c r="H2020">
        <v>2024</v>
      </c>
      <c r="I2020" t="s">
        <v>21</v>
      </c>
      <c r="J2020" s="4">
        <v>0.27933333333333299</v>
      </c>
      <c r="K2020" t="s">
        <v>41</v>
      </c>
      <c r="L2020" t="s">
        <v>60</v>
      </c>
      <c r="M2020">
        <v>9</v>
      </c>
      <c r="N2020" t="s">
        <v>61</v>
      </c>
    </row>
    <row r="2021" spans="1:14" x14ac:dyDescent="0.3">
      <c r="A2021" s="1">
        <v>45488</v>
      </c>
      <c r="B2021" t="s">
        <v>32</v>
      </c>
      <c r="C2021" t="s">
        <v>33</v>
      </c>
      <c r="D2021" t="s">
        <v>12</v>
      </c>
      <c r="E2021">
        <v>2</v>
      </c>
      <c r="F2021">
        <v>1344</v>
      </c>
      <c r="G2021">
        <v>297.99</v>
      </c>
      <c r="H2021">
        <v>2024</v>
      </c>
      <c r="I2021" t="s">
        <v>25</v>
      </c>
      <c r="J2021" s="4">
        <v>0.22171874999999999</v>
      </c>
      <c r="K2021" t="s">
        <v>41</v>
      </c>
      <c r="L2021" t="s">
        <v>60</v>
      </c>
      <c r="M2021">
        <v>7</v>
      </c>
      <c r="N2021" t="s">
        <v>64</v>
      </c>
    </row>
    <row r="2022" spans="1:14" x14ac:dyDescent="0.3">
      <c r="A2022" s="1">
        <v>45651</v>
      </c>
      <c r="B2022" t="s">
        <v>32</v>
      </c>
      <c r="C2022" t="s">
        <v>33</v>
      </c>
      <c r="D2022" t="s">
        <v>12</v>
      </c>
      <c r="E2022">
        <v>2</v>
      </c>
      <c r="F2022">
        <v>1944</v>
      </c>
      <c r="G2022">
        <v>332.55</v>
      </c>
      <c r="H2022">
        <v>2024</v>
      </c>
      <c r="I2022" t="s">
        <v>13</v>
      </c>
      <c r="J2022" s="4">
        <v>0.171064814814815</v>
      </c>
      <c r="K2022" t="s">
        <v>41</v>
      </c>
      <c r="L2022" t="s">
        <v>52</v>
      </c>
      <c r="M2022">
        <v>12</v>
      </c>
      <c r="N2022" t="s">
        <v>53</v>
      </c>
    </row>
    <row r="2023" spans="1:14" x14ac:dyDescent="0.3">
      <c r="A2023" s="1">
        <v>45437</v>
      </c>
      <c r="B2023" t="s">
        <v>32</v>
      </c>
      <c r="C2023" t="s">
        <v>33</v>
      </c>
      <c r="D2023" t="s">
        <v>17</v>
      </c>
      <c r="E2023">
        <v>1</v>
      </c>
      <c r="F2023">
        <v>1112</v>
      </c>
      <c r="G2023">
        <v>100.47</v>
      </c>
      <c r="H2023">
        <v>2024</v>
      </c>
      <c r="I2023" t="s">
        <v>20</v>
      </c>
      <c r="J2023" s="4">
        <v>9.0350719424460393E-2</v>
      </c>
      <c r="K2023" t="s">
        <v>41</v>
      </c>
      <c r="L2023" t="s">
        <v>59</v>
      </c>
      <c r="M2023">
        <v>5</v>
      </c>
      <c r="N2023" t="s">
        <v>20</v>
      </c>
    </row>
    <row r="2024" spans="1:14" x14ac:dyDescent="0.3">
      <c r="A2024" s="1">
        <v>45326</v>
      </c>
      <c r="B2024" t="s">
        <v>32</v>
      </c>
      <c r="C2024" t="s">
        <v>33</v>
      </c>
      <c r="D2024" t="s">
        <v>22</v>
      </c>
      <c r="E2024">
        <v>6</v>
      </c>
      <c r="F2024">
        <v>2958</v>
      </c>
      <c r="G2024">
        <v>577.27</v>
      </c>
      <c r="H2024">
        <v>2024</v>
      </c>
      <c r="I2024" t="s">
        <v>16</v>
      </c>
      <c r="J2024" s="4">
        <v>0.195155510480054</v>
      </c>
      <c r="K2024" t="s">
        <v>41</v>
      </c>
      <c r="L2024" t="s">
        <v>55</v>
      </c>
      <c r="M2024">
        <v>2</v>
      </c>
      <c r="N2024" t="s">
        <v>57</v>
      </c>
    </row>
    <row r="2025" spans="1:14" x14ac:dyDescent="0.3">
      <c r="A2025" s="1">
        <v>45585</v>
      </c>
      <c r="B2025" t="s">
        <v>32</v>
      </c>
      <c r="C2025" t="s">
        <v>33</v>
      </c>
      <c r="D2025" t="s">
        <v>22</v>
      </c>
      <c r="E2025">
        <v>2</v>
      </c>
      <c r="F2025">
        <v>2376</v>
      </c>
      <c r="G2025">
        <v>580.26</v>
      </c>
      <c r="H2025">
        <v>2024</v>
      </c>
      <c r="I2025" t="s">
        <v>14</v>
      </c>
      <c r="J2025" s="4">
        <v>0.244217171717172</v>
      </c>
      <c r="K2025" t="s">
        <v>41</v>
      </c>
      <c r="L2025" t="s">
        <v>52</v>
      </c>
      <c r="M2025">
        <v>10</v>
      </c>
      <c r="N2025" t="s">
        <v>54</v>
      </c>
    </row>
    <row r="2026" spans="1:14" x14ac:dyDescent="0.3">
      <c r="A2026" s="1">
        <v>45425</v>
      </c>
      <c r="B2026" t="s">
        <v>32</v>
      </c>
      <c r="C2026" t="s">
        <v>33</v>
      </c>
      <c r="D2026" t="s">
        <v>19</v>
      </c>
      <c r="E2026">
        <v>7</v>
      </c>
      <c r="F2026">
        <v>8288</v>
      </c>
      <c r="G2026">
        <v>785.54</v>
      </c>
      <c r="H2026">
        <v>2024</v>
      </c>
      <c r="I2026" t="s">
        <v>20</v>
      </c>
      <c r="J2026" s="4">
        <v>9.4780405405405402E-2</v>
      </c>
      <c r="K2026" t="s">
        <v>41</v>
      </c>
      <c r="L2026" t="s">
        <v>59</v>
      </c>
      <c r="M2026">
        <v>5</v>
      </c>
      <c r="N2026" t="s">
        <v>20</v>
      </c>
    </row>
    <row r="2027" spans="1:14" x14ac:dyDescent="0.3">
      <c r="A2027" s="1">
        <v>45598</v>
      </c>
      <c r="B2027" t="s">
        <v>32</v>
      </c>
      <c r="C2027" t="s">
        <v>33</v>
      </c>
      <c r="D2027" t="s">
        <v>19</v>
      </c>
      <c r="E2027">
        <v>5</v>
      </c>
      <c r="F2027">
        <v>3735</v>
      </c>
      <c r="G2027">
        <v>423.94</v>
      </c>
      <c r="H2027">
        <v>2024</v>
      </c>
      <c r="I2027" t="s">
        <v>18</v>
      </c>
      <c r="J2027" s="4">
        <v>0.1135046854083</v>
      </c>
      <c r="K2027" t="s">
        <v>41</v>
      </c>
      <c r="L2027" t="s">
        <v>52</v>
      </c>
      <c r="M2027">
        <v>11</v>
      </c>
      <c r="N2027" t="s">
        <v>58</v>
      </c>
    </row>
    <row r="2028" spans="1:14" x14ac:dyDescent="0.3">
      <c r="A2028" s="1">
        <v>45312</v>
      </c>
      <c r="B2028" t="s">
        <v>32</v>
      </c>
      <c r="C2028" t="s">
        <v>33</v>
      </c>
      <c r="D2028" t="s">
        <v>17</v>
      </c>
      <c r="E2028">
        <v>9</v>
      </c>
      <c r="F2028">
        <v>7974</v>
      </c>
      <c r="G2028">
        <v>1181.04</v>
      </c>
      <c r="H2028">
        <v>2024</v>
      </c>
      <c r="I2028" t="s">
        <v>26</v>
      </c>
      <c r="J2028" s="4">
        <v>0.14811136192626001</v>
      </c>
      <c r="K2028" t="s">
        <v>41</v>
      </c>
      <c r="L2028" t="s">
        <v>55</v>
      </c>
      <c r="M2028">
        <v>1</v>
      </c>
      <c r="N2028" t="s">
        <v>65</v>
      </c>
    </row>
    <row r="2029" spans="1:14" x14ac:dyDescent="0.3">
      <c r="A2029" s="1">
        <v>45544</v>
      </c>
      <c r="B2029" t="s">
        <v>32</v>
      </c>
      <c r="C2029" t="s">
        <v>33</v>
      </c>
      <c r="D2029" t="s">
        <v>12</v>
      </c>
      <c r="E2029">
        <v>8</v>
      </c>
      <c r="F2029">
        <v>1024</v>
      </c>
      <c r="G2029">
        <v>201.92</v>
      </c>
      <c r="H2029">
        <v>2024</v>
      </c>
      <c r="I2029" t="s">
        <v>21</v>
      </c>
      <c r="J2029" s="4">
        <v>0.19718749999999999</v>
      </c>
      <c r="K2029" t="s">
        <v>41</v>
      </c>
      <c r="L2029" t="s">
        <v>60</v>
      </c>
      <c r="M2029">
        <v>9</v>
      </c>
      <c r="N2029" t="s">
        <v>61</v>
      </c>
    </row>
    <row r="2030" spans="1:14" x14ac:dyDescent="0.3">
      <c r="A2030" s="1">
        <v>45555</v>
      </c>
      <c r="B2030" t="s">
        <v>32</v>
      </c>
      <c r="C2030" t="s">
        <v>33</v>
      </c>
      <c r="D2030" t="s">
        <v>19</v>
      </c>
      <c r="E2030">
        <v>8</v>
      </c>
      <c r="F2030">
        <v>8872</v>
      </c>
      <c r="G2030">
        <v>1486.58</v>
      </c>
      <c r="H2030">
        <v>2024</v>
      </c>
      <c r="I2030" t="s">
        <v>21</v>
      </c>
      <c r="J2030" s="4">
        <v>0.16755861136158701</v>
      </c>
      <c r="K2030" t="s">
        <v>41</v>
      </c>
      <c r="L2030" t="s">
        <v>60</v>
      </c>
      <c r="M2030">
        <v>9</v>
      </c>
      <c r="N2030" t="s">
        <v>61</v>
      </c>
    </row>
    <row r="2031" spans="1:14" x14ac:dyDescent="0.3">
      <c r="A2031" s="1">
        <v>45452</v>
      </c>
      <c r="B2031" t="s">
        <v>32</v>
      </c>
      <c r="C2031" t="s">
        <v>33</v>
      </c>
      <c r="D2031" t="s">
        <v>22</v>
      </c>
      <c r="E2031">
        <v>3</v>
      </c>
      <c r="F2031">
        <v>1308</v>
      </c>
      <c r="G2031">
        <v>73.28</v>
      </c>
      <c r="H2031">
        <v>2024</v>
      </c>
      <c r="I2031" t="s">
        <v>27</v>
      </c>
      <c r="J2031" s="4">
        <v>5.6024464831804302E-2</v>
      </c>
      <c r="K2031" t="s">
        <v>41</v>
      </c>
      <c r="L2031" t="s">
        <v>59</v>
      </c>
      <c r="M2031">
        <v>6</v>
      </c>
      <c r="N2031" t="s">
        <v>66</v>
      </c>
    </row>
    <row r="2032" spans="1:14" x14ac:dyDescent="0.3">
      <c r="A2032" s="1">
        <v>45436</v>
      </c>
      <c r="B2032" t="s">
        <v>32</v>
      </c>
      <c r="C2032" t="s">
        <v>33</v>
      </c>
      <c r="D2032" t="s">
        <v>22</v>
      </c>
      <c r="E2032">
        <v>5</v>
      </c>
      <c r="F2032">
        <v>5665</v>
      </c>
      <c r="G2032">
        <v>332.46</v>
      </c>
      <c r="H2032">
        <v>2024</v>
      </c>
      <c r="I2032" t="s">
        <v>20</v>
      </c>
      <c r="J2032" s="4">
        <v>5.8686672550750198E-2</v>
      </c>
      <c r="K2032" t="s">
        <v>41</v>
      </c>
      <c r="L2032" t="s">
        <v>59</v>
      </c>
      <c r="M2032">
        <v>5</v>
      </c>
      <c r="N2032" t="s">
        <v>20</v>
      </c>
    </row>
    <row r="2033" spans="1:14" x14ac:dyDescent="0.3">
      <c r="A2033" s="1">
        <v>45410</v>
      </c>
      <c r="B2033" t="s">
        <v>32</v>
      </c>
      <c r="C2033" t="s">
        <v>33</v>
      </c>
      <c r="D2033" t="s">
        <v>17</v>
      </c>
      <c r="E2033">
        <v>8</v>
      </c>
      <c r="F2033">
        <v>1080</v>
      </c>
      <c r="G2033">
        <v>210.69</v>
      </c>
      <c r="H2033">
        <v>2024</v>
      </c>
      <c r="I2033" t="s">
        <v>23</v>
      </c>
      <c r="J2033" s="4">
        <v>0.195083333333333</v>
      </c>
      <c r="K2033" t="s">
        <v>41</v>
      </c>
      <c r="L2033" t="s">
        <v>59</v>
      </c>
      <c r="M2033">
        <v>4</v>
      </c>
      <c r="N2033" t="s">
        <v>62</v>
      </c>
    </row>
    <row r="2034" spans="1:14" x14ac:dyDescent="0.3">
      <c r="A2034" s="1">
        <v>45595</v>
      </c>
      <c r="B2034" t="s">
        <v>32</v>
      </c>
      <c r="C2034" t="s">
        <v>33</v>
      </c>
      <c r="D2034" t="s">
        <v>22</v>
      </c>
      <c r="E2034">
        <v>1</v>
      </c>
      <c r="F2034">
        <v>393</v>
      </c>
      <c r="G2034">
        <v>40.340000000000003</v>
      </c>
      <c r="H2034">
        <v>2024</v>
      </c>
      <c r="I2034" t="s">
        <v>14</v>
      </c>
      <c r="J2034" s="4">
        <v>0.10264631043257</v>
      </c>
      <c r="K2034" t="s">
        <v>41</v>
      </c>
      <c r="L2034" t="s">
        <v>52</v>
      </c>
      <c r="M2034">
        <v>10</v>
      </c>
      <c r="N2034" t="s">
        <v>54</v>
      </c>
    </row>
    <row r="2035" spans="1:14" x14ac:dyDescent="0.3">
      <c r="A2035" s="1">
        <v>45548</v>
      </c>
      <c r="B2035" t="s">
        <v>32</v>
      </c>
      <c r="C2035" t="s">
        <v>33</v>
      </c>
      <c r="D2035" t="s">
        <v>17</v>
      </c>
      <c r="E2035">
        <v>5</v>
      </c>
      <c r="F2035">
        <v>2805</v>
      </c>
      <c r="G2035">
        <v>438.89</v>
      </c>
      <c r="H2035">
        <v>2024</v>
      </c>
      <c r="I2035" t="s">
        <v>21</v>
      </c>
      <c r="J2035" s="4">
        <v>0.15646702317290601</v>
      </c>
      <c r="K2035" t="s">
        <v>41</v>
      </c>
      <c r="L2035" t="s">
        <v>60</v>
      </c>
      <c r="M2035">
        <v>9</v>
      </c>
      <c r="N2035" t="s">
        <v>61</v>
      </c>
    </row>
    <row r="2036" spans="1:14" x14ac:dyDescent="0.3">
      <c r="A2036" s="1">
        <v>45512</v>
      </c>
      <c r="B2036" t="s">
        <v>32</v>
      </c>
      <c r="C2036" t="s">
        <v>33</v>
      </c>
      <c r="D2036" t="s">
        <v>22</v>
      </c>
      <c r="E2036">
        <v>8</v>
      </c>
      <c r="F2036">
        <v>2592</v>
      </c>
      <c r="G2036">
        <v>526.38</v>
      </c>
      <c r="H2036">
        <v>2024</v>
      </c>
      <c r="I2036" t="s">
        <v>24</v>
      </c>
      <c r="J2036" s="4">
        <v>0.20307870370370401</v>
      </c>
      <c r="K2036" t="s">
        <v>41</v>
      </c>
      <c r="L2036" t="s">
        <v>60</v>
      </c>
      <c r="M2036">
        <v>8</v>
      </c>
      <c r="N2036" t="s">
        <v>63</v>
      </c>
    </row>
    <row r="2037" spans="1:14" x14ac:dyDescent="0.3">
      <c r="A2037" s="1">
        <v>45372</v>
      </c>
      <c r="B2037" t="s">
        <v>32</v>
      </c>
      <c r="C2037" t="s">
        <v>33</v>
      </c>
      <c r="D2037" t="s">
        <v>22</v>
      </c>
      <c r="E2037">
        <v>6</v>
      </c>
      <c r="F2037">
        <v>3684</v>
      </c>
      <c r="G2037">
        <v>477.02</v>
      </c>
      <c r="H2037">
        <v>2024</v>
      </c>
      <c r="I2037" t="s">
        <v>15</v>
      </c>
      <c r="J2037" s="4">
        <v>0.129484256243214</v>
      </c>
      <c r="K2037" t="s">
        <v>41</v>
      </c>
      <c r="L2037" t="s">
        <v>55</v>
      </c>
      <c r="M2037">
        <v>3</v>
      </c>
      <c r="N2037" t="s">
        <v>56</v>
      </c>
    </row>
    <row r="2038" spans="1:14" x14ac:dyDescent="0.3">
      <c r="A2038" s="1">
        <v>45364</v>
      </c>
      <c r="B2038" t="s">
        <v>32</v>
      </c>
      <c r="C2038" t="s">
        <v>33</v>
      </c>
      <c r="D2038" t="s">
        <v>17</v>
      </c>
      <c r="E2038">
        <v>1</v>
      </c>
      <c r="F2038">
        <v>1151</v>
      </c>
      <c r="G2038">
        <v>77.22</v>
      </c>
      <c r="H2038">
        <v>2024</v>
      </c>
      <c r="I2038" t="s">
        <v>15</v>
      </c>
      <c r="J2038" s="4">
        <v>6.7089487402258896E-2</v>
      </c>
      <c r="K2038" t="s">
        <v>41</v>
      </c>
      <c r="L2038" t="s">
        <v>55</v>
      </c>
      <c r="M2038">
        <v>3</v>
      </c>
      <c r="N2038" t="s">
        <v>56</v>
      </c>
    </row>
    <row r="2039" spans="1:14" x14ac:dyDescent="0.3">
      <c r="A2039" s="1">
        <v>45516</v>
      </c>
      <c r="B2039" t="s">
        <v>32</v>
      </c>
      <c r="C2039" t="s">
        <v>33</v>
      </c>
      <c r="D2039" t="s">
        <v>17</v>
      </c>
      <c r="E2039">
        <v>4</v>
      </c>
      <c r="F2039">
        <v>524</v>
      </c>
      <c r="G2039">
        <v>52.31</v>
      </c>
      <c r="H2039">
        <v>2024</v>
      </c>
      <c r="I2039" t="s">
        <v>24</v>
      </c>
      <c r="J2039" s="4">
        <v>9.98282442748092E-2</v>
      </c>
      <c r="K2039" t="s">
        <v>41</v>
      </c>
      <c r="L2039" t="s">
        <v>60</v>
      </c>
      <c r="M2039">
        <v>8</v>
      </c>
      <c r="N2039" t="s">
        <v>63</v>
      </c>
    </row>
    <row r="2040" spans="1:14" x14ac:dyDescent="0.3">
      <c r="A2040" s="1">
        <v>45583</v>
      </c>
      <c r="B2040" t="s">
        <v>32</v>
      </c>
      <c r="C2040" t="s">
        <v>33</v>
      </c>
      <c r="D2040" t="s">
        <v>22</v>
      </c>
      <c r="E2040">
        <v>5</v>
      </c>
      <c r="F2040">
        <v>720</v>
      </c>
      <c r="G2040">
        <v>214.31</v>
      </c>
      <c r="H2040">
        <v>2024</v>
      </c>
      <c r="I2040" t="s">
        <v>14</v>
      </c>
      <c r="J2040" s="4">
        <v>0.29765277777777799</v>
      </c>
      <c r="K2040" t="s">
        <v>41</v>
      </c>
      <c r="L2040" t="s">
        <v>52</v>
      </c>
      <c r="M2040">
        <v>10</v>
      </c>
      <c r="N2040" t="s">
        <v>54</v>
      </c>
    </row>
    <row r="2041" spans="1:14" x14ac:dyDescent="0.3">
      <c r="A2041" s="1">
        <v>45632</v>
      </c>
      <c r="B2041" t="s">
        <v>32</v>
      </c>
      <c r="C2041" t="s">
        <v>33</v>
      </c>
      <c r="D2041" t="s">
        <v>17</v>
      </c>
      <c r="E2041">
        <v>1</v>
      </c>
      <c r="F2041">
        <v>541</v>
      </c>
      <c r="G2041">
        <v>52.5</v>
      </c>
      <c r="H2041">
        <v>2024</v>
      </c>
      <c r="I2041" t="s">
        <v>13</v>
      </c>
      <c r="J2041" s="4">
        <v>9.7042513863216301E-2</v>
      </c>
      <c r="K2041" t="s">
        <v>41</v>
      </c>
      <c r="L2041" t="s">
        <v>52</v>
      </c>
      <c r="M2041">
        <v>12</v>
      </c>
      <c r="N2041" t="s">
        <v>53</v>
      </c>
    </row>
    <row r="2042" spans="1:14" x14ac:dyDescent="0.3">
      <c r="A2042" s="1">
        <v>45507</v>
      </c>
      <c r="B2042" t="s">
        <v>32</v>
      </c>
      <c r="C2042" t="s">
        <v>33</v>
      </c>
      <c r="D2042" t="s">
        <v>22</v>
      </c>
      <c r="E2042">
        <v>3</v>
      </c>
      <c r="F2042">
        <v>2433</v>
      </c>
      <c r="G2042">
        <v>515.28</v>
      </c>
      <c r="H2042">
        <v>2024</v>
      </c>
      <c r="I2042" t="s">
        <v>24</v>
      </c>
      <c r="J2042" s="4">
        <v>0.21178791615289799</v>
      </c>
      <c r="K2042" t="s">
        <v>41</v>
      </c>
      <c r="L2042" t="s">
        <v>60</v>
      </c>
      <c r="M2042">
        <v>8</v>
      </c>
      <c r="N2042" t="s">
        <v>63</v>
      </c>
    </row>
    <row r="2043" spans="1:14" x14ac:dyDescent="0.3">
      <c r="A2043" s="1">
        <v>45428</v>
      </c>
      <c r="B2043" t="s">
        <v>32</v>
      </c>
      <c r="C2043" t="s">
        <v>33</v>
      </c>
      <c r="D2043" t="s">
        <v>22</v>
      </c>
      <c r="E2043">
        <v>6</v>
      </c>
      <c r="F2043">
        <v>2790</v>
      </c>
      <c r="G2043">
        <v>719.15</v>
      </c>
      <c r="H2043">
        <v>2024</v>
      </c>
      <c r="I2043" t="s">
        <v>20</v>
      </c>
      <c r="J2043" s="4">
        <v>0.25775985663082401</v>
      </c>
      <c r="K2043" t="s">
        <v>41</v>
      </c>
      <c r="L2043" t="s">
        <v>59</v>
      </c>
      <c r="M2043">
        <v>5</v>
      </c>
      <c r="N2043" t="s">
        <v>20</v>
      </c>
    </row>
    <row r="2044" spans="1:14" x14ac:dyDescent="0.3">
      <c r="A2044" s="1">
        <v>45445</v>
      </c>
      <c r="B2044" t="s">
        <v>32</v>
      </c>
      <c r="C2044" t="s">
        <v>33</v>
      </c>
      <c r="D2044" t="s">
        <v>12</v>
      </c>
      <c r="E2044">
        <v>8</v>
      </c>
      <c r="F2044">
        <v>2304</v>
      </c>
      <c r="G2044">
        <v>291.45999999999998</v>
      </c>
      <c r="H2044">
        <v>2024</v>
      </c>
      <c r="I2044" t="s">
        <v>27</v>
      </c>
      <c r="J2044" s="4">
        <v>0.12650173611111101</v>
      </c>
      <c r="K2044" t="s">
        <v>41</v>
      </c>
      <c r="L2044" t="s">
        <v>59</v>
      </c>
      <c r="M2044">
        <v>6</v>
      </c>
      <c r="N2044" t="s">
        <v>66</v>
      </c>
    </row>
    <row r="2045" spans="1:14" x14ac:dyDescent="0.3">
      <c r="A2045" s="1">
        <v>45309</v>
      </c>
      <c r="B2045" t="s">
        <v>32</v>
      </c>
      <c r="C2045" t="s">
        <v>33</v>
      </c>
      <c r="D2045" t="s">
        <v>19</v>
      </c>
      <c r="E2045">
        <v>1</v>
      </c>
      <c r="F2045">
        <v>619</v>
      </c>
      <c r="G2045">
        <v>127.58</v>
      </c>
      <c r="H2045">
        <v>2024</v>
      </c>
      <c r="I2045" t="s">
        <v>26</v>
      </c>
      <c r="J2045" s="4">
        <v>0.20610662358643</v>
      </c>
      <c r="K2045" t="s">
        <v>41</v>
      </c>
      <c r="L2045" t="s">
        <v>55</v>
      </c>
      <c r="M2045">
        <v>1</v>
      </c>
      <c r="N2045" t="s">
        <v>65</v>
      </c>
    </row>
    <row r="2046" spans="1:14" x14ac:dyDescent="0.3">
      <c r="A2046" s="1">
        <v>45554</v>
      </c>
      <c r="B2046" t="s">
        <v>32</v>
      </c>
      <c r="C2046" t="s">
        <v>33</v>
      </c>
      <c r="D2046" t="s">
        <v>22</v>
      </c>
      <c r="E2046">
        <v>3</v>
      </c>
      <c r="F2046">
        <v>777</v>
      </c>
      <c r="G2046">
        <v>147.93</v>
      </c>
      <c r="H2046">
        <v>2024</v>
      </c>
      <c r="I2046" t="s">
        <v>21</v>
      </c>
      <c r="J2046" s="4">
        <v>0.19038610038609999</v>
      </c>
      <c r="K2046" t="s">
        <v>41</v>
      </c>
      <c r="L2046" t="s">
        <v>60</v>
      </c>
      <c r="M2046">
        <v>9</v>
      </c>
      <c r="N2046" t="s">
        <v>61</v>
      </c>
    </row>
    <row r="2047" spans="1:14" x14ac:dyDescent="0.3">
      <c r="A2047" s="1">
        <v>45391</v>
      </c>
      <c r="B2047" t="s">
        <v>32</v>
      </c>
      <c r="C2047" t="s">
        <v>33</v>
      </c>
      <c r="D2047" t="s">
        <v>19</v>
      </c>
      <c r="E2047">
        <v>7</v>
      </c>
      <c r="F2047">
        <v>6335</v>
      </c>
      <c r="G2047">
        <v>1137.08</v>
      </c>
      <c r="H2047">
        <v>2024</v>
      </c>
      <c r="I2047" t="s">
        <v>23</v>
      </c>
      <c r="J2047" s="4">
        <v>0.17949171270718201</v>
      </c>
      <c r="K2047" t="s">
        <v>41</v>
      </c>
      <c r="L2047" t="s">
        <v>59</v>
      </c>
      <c r="M2047">
        <v>4</v>
      </c>
      <c r="N2047" t="s">
        <v>62</v>
      </c>
    </row>
    <row r="2048" spans="1:14" x14ac:dyDescent="0.3">
      <c r="A2048" s="1">
        <v>45362</v>
      </c>
      <c r="B2048" t="s">
        <v>32</v>
      </c>
      <c r="C2048" t="s">
        <v>33</v>
      </c>
      <c r="D2048" t="s">
        <v>12</v>
      </c>
      <c r="E2048">
        <v>1</v>
      </c>
      <c r="F2048">
        <v>882</v>
      </c>
      <c r="G2048">
        <v>215.24</v>
      </c>
      <c r="H2048">
        <v>2024</v>
      </c>
      <c r="I2048" t="s">
        <v>15</v>
      </c>
      <c r="J2048" s="4">
        <v>0.244036281179138</v>
      </c>
      <c r="K2048" t="s">
        <v>41</v>
      </c>
      <c r="L2048" t="s">
        <v>55</v>
      </c>
      <c r="M2048">
        <v>3</v>
      </c>
      <c r="N2048" t="s">
        <v>56</v>
      </c>
    </row>
    <row r="2049" spans="1:14" x14ac:dyDescent="0.3">
      <c r="A2049" s="1">
        <v>45447</v>
      </c>
      <c r="B2049" t="s">
        <v>32</v>
      </c>
      <c r="C2049" t="s">
        <v>33</v>
      </c>
      <c r="D2049" t="s">
        <v>17</v>
      </c>
      <c r="E2049">
        <v>6</v>
      </c>
      <c r="F2049">
        <v>3024</v>
      </c>
      <c r="G2049">
        <v>336.28</v>
      </c>
      <c r="H2049">
        <v>2024</v>
      </c>
      <c r="I2049" t="s">
        <v>27</v>
      </c>
      <c r="J2049" s="4">
        <v>0.111203703703704</v>
      </c>
      <c r="K2049" t="s">
        <v>41</v>
      </c>
      <c r="L2049" t="s">
        <v>59</v>
      </c>
      <c r="M2049">
        <v>6</v>
      </c>
      <c r="N2049" t="s">
        <v>66</v>
      </c>
    </row>
    <row r="2050" spans="1:14" x14ac:dyDescent="0.3">
      <c r="A2050" s="1">
        <v>45394</v>
      </c>
      <c r="B2050" t="s">
        <v>32</v>
      </c>
      <c r="C2050" t="s">
        <v>33</v>
      </c>
      <c r="D2050" t="s">
        <v>19</v>
      </c>
      <c r="E2050">
        <v>2</v>
      </c>
      <c r="F2050">
        <v>1198</v>
      </c>
      <c r="G2050">
        <v>134.38999999999999</v>
      </c>
      <c r="H2050">
        <v>2024</v>
      </c>
      <c r="I2050" t="s">
        <v>23</v>
      </c>
      <c r="J2050" s="4">
        <v>0.11217863105175301</v>
      </c>
      <c r="K2050" t="s">
        <v>41</v>
      </c>
      <c r="L2050" t="s">
        <v>59</v>
      </c>
      <c r="M2050">
        <v>4</v>
      </c>
      <c r="N2050" t="s">
        <v>62</v>
      </c>
    </row>
    <row r="2051" spans="1:14" x14ac:dyDescent="0.3">
      <c r="A2051" s="1">
        <v>45526</v>
      </c>
      <c r="B2051" t="s">
        <v>32</v>
      </c>
      <c r="C2051" t="s">
        <v>33</v>
      </c>
      <c r="D2051" t="s">
        <v>17</v>
      </c>
      <c r="E2051">
        <v>4</v>
      </c>
      <c r="F2051">
        <v>1340</v>
      </c>
      <c r="G2051">
        <v>309.8</v>
      </c>
      <c r="H2051">
        <v>2024</v>
      </c>
      <c r="I2051" t="s">
        <v>24</v>
      </c>
      <c r="J2051" s="4">
        <v>0.231194029850746</v>
      </c>
      <c r="K2051" t="s">
        <v>41</v>
      </c>
      <c r="L2051" t="s">
        <v>60</v>
      </c>
      <c r="M2051">
        <v>8</v>
      </c>
      <c r="N2051" t="s">
        <v>63</v>
      </c>
    </row>
    <row r="2052" spans="1:14" x14ac:dyDescent="0.3">
      <c r="A2052" s="1">
        <v>45380</v>
      </c>
      <c r="B2052" t="s">
        <v>32</v>
      </c>
      <c r="C2052" t="s">
        <v>33</v>
      </c>
      <c r="D2052" t="s">
        <v>17</v>
      </c>
      <c r="E2052">
        <v>6</v>
      </c>
      <c r="F2052">
        <v>546</v>
      </c>
      <c r="G2052">
        <v>79.94</v>
      </c>
      <c r="H2052">
        <v>2024</v>
      </c>
      <c r="I2052" t="s">
        <v>15</v>
      </c>
      <c r="J2052" s="4">
        <v>0.14641025641025601</v>
      </c>
      <c r="K2052" t="s">
        <v>41</v>
      </c>
      <c r="L2052" t="s">
        <v>55</v>
      </c>
      <c r="M2052">
        <v>3</v>
      </c>
      <c r="N2052" t="s">
        <v>56</v>
      </c>
    </row>
    <row r="2053" spans="1:14" x14ac:dyDescent="0.3">
      <c r="A2053" s="1">
        <v>45634</v>
      </c>
      <c r="B2053" t="s">
        <v>32</v>
      </c>
      <c r="C2053" t="s">
        <v>33</v>
      </c>
      <c r="D2053" t="s">
        <v>22</v>
      </c>
      <c r="E2053">
        <v>3</v>
      </c>
      <c r="F2053">
        <v>2601</v>
      </c>
      <c r="G2053">
        <v>363.64</v>
      </c>
      <c r="H2053">
        <v>2024</v>
      </c>
      <c r="I2053" t="s">
        <v>13</v>
      </c>
      <c r="J2053" s="4">
        <v>0.13980776624375199</v>
      </c>
      <c r="K2053" t="s">
        <v>41</v>
      </c>
      <c r="L2053" t="s">
        <v>52</v>
      </c>
      <c r="M2053">
        <v>12</v>
      </c>
      <c r="N2053" t="s">
        <v>53</v>
      </c>
    </row>
    <row r="2054" spans="1:14" x14ac:dyDescent="0.3">
      <c r="A2054" s="1">
        <v>45382</v>
      </c>
      <c r="B2054" t="s">
        <v>32</v>
      </c>
      <c r="C2054" t="s">
        <v>33</v>
      </c>
      <c r="D2054" t="s">
        <v>19</v>
      </c>
      <c r="E2054">
        <v>8</v>
      </c>
      <c r="F2054">
        <v>1296</v>
      </c>
      <c r="G2054">
        <v>374.8</v>
      </c>
      <c r="H2054">
        <v>2024</v>
      </c>
      <c r="I2054" t="s">
        <v>15</v>
      </c>
      <c r="J2054" s="4">
        <v>0.28919753086419803</v>
      </c>
      <c r="K2054" t="s">
        <v>41</v>
      </c>
      <c r="L2054" t="s">
        <v>55</v>
      </c>
      <c r="M2054">
        <v>3</v>
      </c>
      <c r="N2054" t="s">
        <v>56</v>
      </c>
    </row>
    <row r="2055" spans="1:14" x14ac:dyDescent="0.3">
      <c r="A2055" s="1">
        <v>45377</v>
      </c>
      <c r="B2055" t="s">
        <v>32</v>
      </c>
      <c r="C2055" t="s">
        <v>33</v>
      </c>
      <c r="D2055" t="s">
        <v>22</v>
      </c>
      <c r="E2055">
        <v>7</v>
      </c>
      <c r="F2055">
        <v>2387</v>
      </c>
      <c r="G2055">
        <v>463.92</v>
      </c>
      <c r="H2055">
        <v>2024</v>
      </c>
      <c r="I2055" t="s">
        <v>15</v>
      </c>
      <c r="J2055" s="4">
        <v>0.194352744030163</v>
      </c>
      <c r="K2055" t="s">
        <v>41</v>
      </c>
      <c r="L2055" t="s">
        <v>55</v>
      </c>
      <c r="M2055">
        <v>3</v>
      </c>
      <c r="N2055" t="s">
        <v>56</v>
      </c>
    </row>
    <row r="2056" spans="1:14" x14ac:dyDescent="0.3">
      <c r="A2056" s="1">
        <v>45463</v>
      </c>
      <c r="B2056" t="s">
        <v>32</v>
      </c>
      <c r="C2056" t="s">
        <v>33</v>
      </c>
      <c r="D2056" t="s">
        <v>17</v>
      </c>
      <c r="E2056">
        <v>3</v>
      </c>
      <c r="F2056">
        <v>1962</v>
      </c>
      <c r="G2056">
        <v>469.94</v>
      </c>
      <c r="H2056">
        <v>2024</v>
      </c>
      <c r="I2056" t="s">
        <v>27</v>
      </c>
      <c r="J2056" s="4">
        <v>0.239520897043833</v>
      </c>
      <c r="K2056" t="s">
        <v>41</v>
      </c>
      <c r="L2056" t="s">
        <v>59</v>
      </c>
      <c r="M2056">
        <v>6</v>
      </c>
      <c r="N2056" t="s">
        <v>66</v>
      </c>
    </row>
    <row r="2057" spans="1:14" x14ac:dyDescent="0.3">
      <c r="A2057" s="1">
        <v>45634</v>
      </c>
      <c r="B2057" t="s">
        <v>32</v>
      </c>
      <c r="C2057" t="s">
        <v>33</v>
      </c>
      <c r="D2057" t="s">
        <v>12</v>
      </c>
      <c r="E2057">
        <v>4</v>
      </c>
      <c r="F2057">
        <v>3996</v>
      </c>
      <c r="G2057">
        <v>965.26</v>
      </c>
      <c r="H2057">
        <v>2024</v>
      </c>
      <c r="I2057" t="s">
        <v>13</v>
      </c>
      <c r="J2057" s="4">
        <v>0.241556556556557</v>
      </c>
      <c r="K2057" t="s">
        <v>41</v>
      </c>
      <c r="L2057" t="s">
        <v>52</v>
      </c>
      <c r="M2057">
        <v>12</v>
      </c>
      <c r="N2057" t="s">
        <v>53</v>
      </c>
    </row>
    <row r="2058" spans="1:14" x14ac:dyDescent="0.3">
      <c r="A2058" s="1">
        <v>45317</v>
      </c>
      <c r="B2058" t="s">
        <v>32</v>
      </c>
      <c r="C2058" t="s">
        <v>33</v>
      </c>
      <c r="D2058" t="s">
        <v>22</v>
      </c>
      <c r="E2058">
        <v>3</v>
      </c>
      <c r="F2058">
        <v>1026</v>
      </c>
      <c r="G2058">
        <v>142.71</v>
      </c>
      <c r="H2058">
        <v>2024</v>
      </c>
      <c r="I2058" t="s">
        <v>26</v>
      </c>
      <c r="J2058" s="4">
        <v>0.13909356725146199</v>
      </c>
      <c r="K2058" t="s">
        <v>41</v>
      </c>
      <c r="L2058" t="s">
        <v>55</v>
      </c>
      <c r="M2058">
        <v>1</v>
      </c>
      <c r="N2058" t="s">
        <v>65</v>
      </c>
    </row>
    <row r="2059" spans="1:14" x14ac:dyDescent="0.3">
      <c r="A2059" s="1">
        <v>45345</v>
      </c>
      <c r="B2059" t="s">
        <v>32</v>
      </c>
      <c r="C2059" t="s">
        <v>33</v>
      </c>
      <c r="D2059" t="s">
        <v>12</v>
      </c>
      <c r="E2059">
        <v>6</v>
      </c>
      <c r="F2059">
        <v>5682</v>
      </c>
      <c r="G2059">
        <v>1365.87</v>
      </c>
      <c r="H2059">
        <v>2024</v>
      </c>
      <c r="I2059" t="s">
        <v>16</v>
      </c>
      <c r="J2059" s="4">
        <v>0.24038542766631499</v>
      </c>
      <c r="K2059" t="s">
        <v>41</v>
      </c>
      <c r="L2059" t="s">
        <v>55</v>
      </c>
      <c r="M2059">
        <v>2</v>
      </c>
      <c r="N2059" t="s">
        <v>57</v>
      </c>
    </row>
    <row r="2060" spans="1:14" x14ac:dyDescent="0.3">
      <c r="A2060" s="1">
        <v>45442</v>
      </c>
      <c r="B2060" t="s">
        <v>32</v>
      </c>
      <c r="C2060" t="s">
        <v>33</v>
      </c>
      <c r="D2060" t="s">
        <v>19</v>
      </c>
      <c r="E2060">
        <v>7</v>
      </c>
      <c r="F2060">
        <v>1785</v>
      </c>
      <c r="G2060">
        <v>233.77</v>
      </c>
      <c r="H2060">
        <v>2024</v>
      </c>
      <c r="I2060" t="s">
        <v>20</v>
      </c>
      <c r="J2060" s="4">
        <v>0.130963585434174</v>
      </c>
      <c r="K2060" t="s">
        <v>41</v>
      </c>
      <c r="L2060" t="s">
        <v>59</v>
      </c>
      <c r="M2060">
        <v>5</v>
      </c>
      <c r="N2060" t="s">
        <v>20</v>
      </c>
    </row>
    <row r="2061" spans="1:14" x14ac:dyDescent="0.3">
      <c r="A2061" s="1">
        <v>45411</v>
      </c>
      <c r="B2061" t="s">
        <v>32</v>
      </c>
      <c r="C2061" t="s">
        <v>33</v>
      </c>
      <c r="D2061" t="s">
        <v>22</v>
      </c>
      <c r="E2061">
        <v>2</v>
      </c>
      <c r="F2061">
        <v>2244</v>
      </c>
      <c r="G2061">
        <v>353.83</v>
      </c>
      <c r="H2061">
        <v>2024</v>
      </c>
      <c r="I2061" t="s">
        <v>23</v>
      </c>
      <c r="J2061" s="4">
        <v>0.15767825311943001</v>
      </c>
      <c r="K2061" t="s">
        <v>41</v>
      </c>
      <c r="L2061" t="s">
        <v>59</v>
      </c>
      <c r="M2061">
        <v>4</v>
      </c>
      <c r="N2061" t="s">
        <v>62</v>
      </c>
    </row>
    <row r="2062" spans="1:14" x14ac:dyDescent="0.3">
      <c r="A2062" s="1">
        <v>45321</v>
      </c>
      <c r="B2062" t="s">
        <v>32</v>
      </c>
      <c r="C2062" t="s">
        <v>33</v>
      </c>
      <c r="D2062" t="s">
        <v>19</v>
      </c>
      <c r="E2062">
        <v>2</v>
      </c>
      <c r="F2062">
        <v>2014</v>
      </c>
      <c r="G2062">
        <v>215.06</v>
      </c>
      <c r="H2062">
        <v>2024</v>
      </c>
      <c r="I2062" t="s">
        <v>26</v>
      </c>
      <c r="J2062" s="4">
        <v>0.106782522343595</v>
      </c>
      <c r="K2062" t="s">
        <v>41</v>
      </c>
      <c r="L2062" t="s">
        <v>55</v>
      </c>
      <c r="M2062">
        <v>1</v>
      </c>
      <c r="N2062" t="s">
        <v>65</v>
      </c>
    </row>
    <row r="2063" spans="1:14" x14ac:dyDescent="0.3">
      <c r="A2063" s="1">
        <v>45422</v>
      </c>
      <c r="B2063" t="s">
        <v>32</v>
      </c>
      <c r="C2063" t="s">
        <v>33</v>
      </c>
      <c r="D2063" t="s">
        <v>22</v>
      </c>
      <c r="E2063">
        <v>4</v>
      </c>
      <c r="F2063">
        <v>4664</v>
      </c>
      <c r="G2063">
        <v>294.05</v>
      </c>
      <c r="H2063">
        <v>2024</v>
      </c>
      <c r="I2063" t="s">
        <v>20</v>
      </c>
      <c r="J2063" s="4">
        <v>6.3046740994854203E-2</v>
      </c>
      <c r="K2063" t="s">
        <v>41</v>
      </c>
      <c r="L2063" t="s">
        <v>59</v>
      </c>
      <c r="M2063">
        <v>5</v>
      </c>
      <c r="N2063" t="s">
        <v>20</v>
      </c>
    </row>
    <row r="2064" spans="1:14" x14ac:dyDescent="0.3">
      <c r="A2064" s="1">
        <v>45336</v>
      </c>
      <c r="B2064" t="s">
        <v>32</v>
      </c>
      <c r="C2064" t="s">
        <v>33</v>
      </c>
      <c r="D2064" t="s">
        <v>19</v>
      </c>
      <c r="E2064">
        <v>3</v>
      </c>
      <c r="F2064">
        <v>384</v>
      </c>
      <c r="G2064">
        <v>45.99</v>
      </c>
      <c r="H2064">
        <v>2024</v>
      </c>
      <c r="I2064" t="s">
        <v>16</v>
      </c>
      <c r="J2064" s="4">
        <v>0.119765625</v>
      </c>
      <c r="K2064" t="s">
        <v>41</v>
      </c>
      <c r="L2064" t="s">
        <v>55</v>
      </c>
      <c r="M2064">
        <v>2</v>
      </c>
      <c r="N2064" t="s">
        <v>57</v>
      </c>
    </row>
    <row r="2065" spans="1:14" x14ac:dyDescent="0.3">
      <c r="A2065" s="1">
        <v>45646</v>
      </c>
      <c r="B2065" t="s">
        <v>32</v>
      </c>
      <c r="C2065" t="s">
        <v>33</v>
      </c>
      <c r="D2065" t="s">
        <v>22</v>
      </c>
      <c r="E2065">
        <v>6</v>
      </c>
      <c r="F2065">
        <v>5346</v>
      </c>
      <c r="G2065">
        <v>351.93</v>
      </c>
      <c r="H2065">
        <v>2024</v>
      </c>
      <c r="I2065" t="s">
        <v>13</v>
      </c>
      <c r="J2065" s="4">
        <v>6.5830527497194202E-2</v>
      </c>
      <c r="K2065" t="s">
        <v>41</v>
      </c>
      <c r="L2065" t="s">
        <v>52</v>
      </c>
      <c r="M2065">
        <v>12</v>
      </c>
      <c r="N2065" t="s">
        <v>53</v>
      </c>
    </row>
    <row r="2066" spans="1:14" x14ac:dyDescent="0.3">
      <c r="A2066" s="1">
        <v>45490</v>
      </c>
      <c r="B2066" t="s">
        <v>32</v>
      </c>
      <c r="C2066" t="s">
        <v>33</v>
      </c>
      <c r="D2066" t="s">
        <v>12</v>
      </c>
      <c r="E2066">
        <v>6</v>
      </c>
      <c r="F2066">
        <v>5370</v>
      </c>
      <c r="G2066">
        <v>1045.0999999999999</v>
      </c>
      <c r="H2066">
        <v>2024</v>
      </c>
      <c r="I2066" t="s">
        <v>25</v>
      </c>
      <c r="J2066" s="4">
        <v>0.194618249534451</v>
      </c>
      <c r="K2066" t="s">
        <v>41</v>
      </c>
      <c r="L2066" t="s">
        <v>60</v>
      </c>
      <c r="M2066">
        <v>7</v>
      </c>
      <c r="N2066" t="s">
        <v>64</v>
      </c>
    </row>
    <row r="2067" spans="1:14" x14ac:dyDescent="0.3">
      <c r="A2067" s="1">
        <v>45414</v>
      </c>
      <c r="B2067" t="s">
        <v>32</v>
      </c>
      <c r="C2067" t="s">
        <v>33</v>
      </c>
      <c r="D2067" t="s">
        <v>19</v>
      </c>
      <c r="E2067">
        <v>5</v>
      </c>
      <c r="F2067">
        <v>1775</v>
      </c>
      <c r="G2067">
        <v>234.67</v>
      </c>
      <c r="H2067">
        <v>2024</v>
      </c>
      <c r="I2067" t="s">
        <v>20</v>
      </c>
      <c r="J2067" s="4">
        <v>0.13220845070422499</v>
      </c>
      <c r="K2067" t="s">
        <v>41</v>
      </c>
      <c r="L2067" t="s">
        <v>59</v>
      </c>
      <c r="M2067">
        <v>5</v>
      </c>
      <c r="N2067" t="s">
        <v>20</v>
      </c>
    </row>
    <row r="2068" spans="1:14" x14ac:dyDescent="0.3">
      <c r="A2068" s="1">
        <v>45335</v>
      </c>
      <c r="B2068" t="s">
        <v>32</v>
      </c>
      <c r="C2068" t="s">
        <v>33</v>
      </c>
      <c r="D2068" t="s">
        <v>17</v>
      </c>
      <c r="E2068">
        <v>7</v>
      </c>
      <c r="F2068">
        <v>3766</v>
      </c>
      <c r="G2068">
        <v>914.49</v>
      </c>
      <c r="H2068">
        <v>2024</v>
      </c>
      <c r="I2068" t="s">
        <v>16</v>
      </c>
      <c r="J2068" s="4">
        <v>0.24282793414763701</v>
      </c>
      <c r="K2068" t="s">
        <v>41</v>
      </c>
      <c r="L2068" t="s">
        <v>55</v>
      </c>
      <c r="M2068">
        <v>2</v>
      </c>
      <c r="N2068" t="s">
        <v>57</v>
      </c>
    </row>
    <row r="2069" spans="1:14" x14ac:dyDescent="0.3">
      <c r="A2069" s="1">
        <v>45415</v>
      </c>
      <c r="B2069" t="s">
        <v>32</v>
      </c>
      <c r="C2069" t="s">
        <v>33</v>
      </c>
      <c r="D2069" t="s">
        <v>17</v>
      </c>
      <c r="E2069">
        <v>3</v>
      </c>
      <c r="F2069">
        <v>3291</v>
      </c>
      <c r="G2069">
        <v>274.10000000000002</v>
      </c>
      <c r="H2069">
        <v>2024</v>
      </c>
      <c r="I2069" t="s">
        <v>20</v>
      </c>
      <c r="J2069" s="4">
        <v>8.3287754481920398E-2</v>
      </c>
      <c r="K2069" t="s">
        <v>41</v>
      </c>
      <c r="L2069" t="s">
        <v>59</v>
      </c>
      <c r="M2069">
        <v>5</v>
      </c>
      <c r="N2069" t="s">
        <v>20</v>
      </c>
    </row>
    <row r="2070" spans="1:14" x14ac:dyDescent="0.3">
      <c r="A2070" s="1">
        <v>45638</v>
      </c>
      <c r="B2070" t="s">
        <v>32</v>
      </c>
      <c r="C2070" t="s">
        <v>33</v>
      </c>
      <c r="D2070" t="s">
        <v>22</v>
      </c>
      <c r="E2070">
        <v>9</v>
      </c>
      <c r="F2070">
        <v>8514</v>
      </c>
      <c r="G2070">
        <v>1291.97</v>
      </c>
      <c r="H2070">
        <v>2024</v>
      </c>
      <c r="I2070" t="s">
        <v>13</v>
      </c>
      <c r="J2070" s="4">
        <v>0.15174653511862801</v>
      </c>
      <c r="K2070" t="s">
        <v>41</v>
      </c>
      <c r="L2070" t="s">
        <v>52</v>
      </c>
      <c r="M2070">
        <v>12</v>
      </c>
      <c r="N2070" t="s">
        <v>53</v>
      </c>
    </row>
    <row r="2071" spans="1:14" x14ac:dyDescent="0.3">
      <c r="A2071" s="1">
        <v>45638</v>
      </c>
      <c r="B2071" t="s">
        <v>32</v>
      </c>
      <c r="C2071" t="s">
        <v>33</v>
      </c>
      <c r="D2071" t="s">
        <v>12</v>
      </c>
      <c r="E2071">
        <v>7</v>
      </c>
      <c r="F2071">
        <v>2380</v>
      </c>
      <c r="G2071">
        <v>431.43</v>
      </c>
      <c r="H2071">
        <v>2024</v>
      </c>
      <c r="I2071" t="s">
        <v>13</v>
      </c>
      <c r="J2071" s="4">
        <v>0.18127310924369799</v>
      </c>
      <c r="K2071" t="s">
        <v>41</v>
      </c>
      <c r="L2071" t="s">
        <v>52</v>
      </c>
      <c r="M2071">
        <v>12</v>
      </c>
      <c r="N2071" t="s">
        <v>53</v>
      </c>
    </row>
    <row r="2072" spans="1:14" x14ac:dyDescent="0.3">
      <c r="A2072" s="1">
        <v>45505</v>
      </c>
      <c r="B2072" t="s">
        <v>32</v>
      </c>
      <c r="C2072" t="s">
        <v>33</v>
      </c>
      <c r="D2072" t="s">
        <v>17</v>
      </c>
      <c r="E2072">
        <v>6</v>
      </c>
      <c r="F2072">
        <v>576</v>
      </c>
      <c r="G2072">
        <v>162.75</v>
      </c>
      <c r="H2072">
        <v>2024</v>
      </c>
      <c r="I2072" t="s">
        <v>24</v>
      </c>
      <c r="J2072" s="4">
        <v>0.28255208333333298</v>
      </c>
      <c r="K2072" t="s">
        <v>41</v>
      </c>
      <c r="L2072" t="s">
        <v>60</v>
      </c>
      <c r="M2072">
        <v>8</v>
      </c>
      <c r="N2072" t="s">
        <v>63</v>
      </c>
    </row>
    <row r="2073" spans="1:14" x14ac:dyDescent="0.3">
      <c r="A2073" s="1">
        <v>45525</v>
      </c>
      <c r="B2073" t="s">
        <v>32</v>
      </c>
      <c r="C2073" t="s">
        <v>33</v>
      </c>
      <c r="D2073" t="s">
        <v>17</v>
      </c>
      <c r="E2073">
        <v>6</v>
      </c>
      <c r="F2073">
        <v>6774</v>
      </c>
      <c r="G2073">
        <v>960.41</v>
      </c>
      <c r="H2073">
        <v>2024</v>
      </c>
      <c r="I2073" t="s">
        <v>24</v>
      </c>
      <c r="J2073" s="4">
        <v>0.14177886034839099</v>
      </c>
      <c r="K2073" t="s">
        <v>41</v>
      </c>
      <c r="L2073" t="s">
        <v>60</v>
      </c>
      <c r="M2073">
        <v>8</v>
      </c>
      <c r="N2073" t="s">
        <v>63</v>
      </c>
    </row>
    <row r="2074" spans="1:14" x14ac:dyDescent="0.3">
      <c r="A2074" s="1">
        <v>45452</v>
      </c>
      <c r="B2074" t="s">
        <v>32</v>
      </c>
      <c r="C2074" t="s">
        <v>33</v>
      </c>
      <c r="D2074" t="s">
        <v>12</v>
      </c>
      <c r="E2074">
        <v>8</v>
      </c>
      <c r="F2074">
        <v>2488</v>
      </c>
      <c r="G2074">
        <v>151.94999999999999</v>
      </c>
      <c r="H2074">
        <v>2024</v>
      </c>
      <c r="I2074" t="s">
        <v>27</v>
      </c>
      <c r="J2074" s="4">
        <v>6.1073151125401903E-2</v>
      </c>
      <c r="K2074" t="s">
        <v>41</v>
      </c>
      <c r="L2074" t="s">
        <v>59</v>
      </c>
      <c r="M2074">
        <v>6</v>
      </c>
      <c r="N2074" t="s">
        <v>66</v>
      </c>
    </row>
    <row r="2075" spans="1:14" x14ac:dyDescent="0.3">
      <c r="A2075" s="1">
        <v>45303</v>
      </c>
      <c r="B2075" t="s">
        <v>32</v>
      </c>
      <c r="C2075" t="s">
        <v>33</v>
      </c>
      <c r="D2075" t="s">
        <v>22</v>
      </c>
      <c r="E2075">
        <v>6</v>
      </c>
      <c r="F2075">
        <v>978</v>
      </c>
      <c r="G2075">
        <v>182.46</v>
      </c>
      <c r="H2075">
        <v>2024</v>
      </c>
      <c r="I2075" t="s">
        <v>26</v>
      </c>
      <c r="J2075" s="4">
        <v>0.186564417177914</v>
      </c>
      <c r="K2075" t="s">
        <v>41</v>
      </c>
      <c r="L2075" t="s">
        <v>55</v>
      </c>
      <c r="M2075">
        <v>1</v>
      </c>
      <c r="N2075" t="s">
        <v>65</v>
      </c>
    </row>
    <row r="2076" spans="1:14" x14ac:dyDescent="0.3">
      <c r="A2076" s="1">
        <v>45471</v>
      </c>
      <c r="B2076" t="s">
        <v>32</v>
      </c>
      <c r="C2076" t="s">
        <v>33</v>
      </c>
      <c r="D2076" t="s">
        <v>22</v>
      </c>
      <c r="E2076">
        <v>4</v>
      </c>
      <c r="F2076">
        <v>4000</v>
      </c>
      <c r="G2076">
        <v>964.43</v>
      </c>
      <c r="H2076">
        <v>2024</v>
      </c>
      <c r="I2076" t="s">
        <v>27</v>
      </c>
      <c r="J2076" s="4">
        <v>0.2411075</v>
      </c>
      <c r="K2076" t="s">
        <v>41</v>
      </c>
      <c r="L2076" t="s">
        <v>59</v>
      </c>
      <c r="M2076">
        <v>6</v>
      </c>
      <c r="N2076" t="s">
        <v>66</v>
      </c>
    </row>
    <row r="2077" spans="1:14" x14ac:dyDescent="0.3">
      <c r="A2077" s="1">
        <v>45488</v>
      </c>
      <c r="B2077" t="s">
        <v>32</v>
      </c>
      <c r="C2077" t="s">
        <v>33</v>
      </c>
      <c r="D2077" t="s">
        <v>17</v>
      </c>
      <c r="E2077">
        <v>9</v>
      </c>
      <c r="F2077">
        <v>5256</v>
      </c>
      <c r="G2077">
        <v>1296.6500000000001</v>
      </c>
      <c r="H2077">
        <v>2024</v>
      </c>
      <c r="I2077" t="s">
        <v>25</v>
      </c>
      <c r="J2077" s="4">
        <v>0.24669901065448999</v>
      </c>
      <c r="K2077" t="s">
        <v>41</v>
      </c>
      <c r="L2077" t="s">
        <v>60</v>
      </c>
      <c r="M2077">
        <v>7</v>
      </c>
      <c r="N2077" t="s">
        <v>64</v>
      </c>
    </row>
    <row r="2078" spans="1:14" x14ac:dyDescent="0.3">
      <c r="A2078" s="1">
        <v>45331</v>
      </c>
      <c r="B2078" t="s">
        <v>32</v>
      </c>
      <c r="C2078" t="s">
        <v>33</v>
      </c>
      <c r="D2078" t="s">
        <v>12</v>
      </c>
      <c r="E2078">
        <v>5</v>
      </c>
      <c r="F2078">
        <v>5320</v>
      </c>
      <c r="G2078">
        <v>882.84</v>
      </c>
      <c r="H2078">
        <v>2024</v>
      </c>
      <c r="I2078" t="s">
        <v>16</v>
      </c>
      <c r="J2078" s="4">
        <v>0.16594736842105301</v>
      </c>
      <c r="K2078" t="s">
        <v>41</v>
      </c>
      <c r="L2078" t="s">
        <v>55</v>
      </c>
      <c r="M2078">
        <v>2</v>
      </c>
      <c r="N2078" t="s">
        <v>57</v>
      </c>
    </row>
    <row r="2079" spans="1:14" x14ac:dyDescent="0.3">
      <c r="A2079" s="1">
        <v>45323</v>
      </c>
      <c r="B2079" t="s">
        <v>32</v>
      </c>
      <c r="C2079" t="s">
        <v>33</v>
      </c>
      <c r="D2079" t="s">
        <v>19</v>
      </c>
      <c r="E2079">
        <v>5</v>
      </c>
      <c r="F2079">
        <v>1810</v>
      </c>
      <c r="G2079">
        <v>171.47</v>
      </c>
      <c r="H2079">
        <v>2024</v>
      </c>
      <c r="I2079" t="s">
        <v>16</v>
      </c>
      <c r="J2079" s="4">
        <v>9.4734806629834301E-2</v>
      </c>
      <c r="K2079" t="s">
        <v>41</v>
      </c>
      <c r="L2079" t="s">
        <v>55</v>
      </c>
      <c r="M2079">
        <v>2</v>
      </c>
      <c r="N2079" t="s">
        <v>57</v>
      </c>
    </row>
    <row r="2080" spans="1:14" x14ac:dyDescent="0.3">
      <c r="A2080" s="1">
        <v>45311</v>
      </c>
      <c r="B2080" t="s">
        <v>32</v>
      </c>
      <c r="C2080" t="s">
        <v>33</v>
      </c>
      <c r="D2080" t="s">
        <v>17</v>
      </c>
      <c r="E2080">
        <v>9</v>
      </c>
      <c r="F2080">
        <v>1440</v>
      </c>
      <c r="G2080">
        <v>94.41</v>
      </c>
      <c r="H2080">
        <v>2024</v>
      </c>
      <c r="I2080" t="s">
        <v>26</v>
      </c>
      <c r="J2080" s="4">
        <v>6.5562499999999996E-2</v>
      </c>
      <c r="K2080" t="s">
        <v>41</v>
      </c>
      <c r="L2080" t="s">
        <v>55</v>
      </c>
      <c r="M2080">
        <v>1</v>
      </c>
      <c r="N2080" t="s">
        <v>65</v>
      </c>
    </row>
    <row r="2081" spans="1:14" x14ac:dyDescent="0.3">
      <c r="A2081" s="1">
        <v>45438</v>
      </c>
      <c r="B2081" t="s">
        <v>32</v>
      </c>
      <c r="C2081" t="s">
        <v>33</v>
      </c>
      <c r="D2081" t="s">
        <v>19</v>
      </c>
      <c r="E2081">
        <v>3</v>
      </c>
      <c r="F2081">
        <v>1683</v>
      </c>
      <c r="G2081">
        <v>129.63999999999999</v>
      </c>
      <c r="H2081">
        <v>2024</v>
      </c>
      <c r="I2081" t="s">
        <v>20</v>
      </c>
      <c r="J2081" s="4">
        <v>7.7029114676173502E-2</v>
      </c>
      <c r="K2081" t="s">
        <v>41</v>
      </c>
      <c r="L2081" t="s">
        <v>59</v>
      </c>
      <c r="M2081">
        <v>5</v>
      </c>
      <c r="N2081" t="s">
        <v>20</v>
      </c>
    </row>
    <row r="2082" spans="1:14" x14ac:dyDescent="0.3">
      <c r="A2082" s="1">
        <v>45368</v>
      </c>
      <c r="B2082" t="s">
        <v>32</v>
      </c>
      <c r="C2082" t="s">
        <v>33</v>
      </c>
      <c r="D2082" t="s">
        <v>19</v>
      </c>
      <c r="E2082">
        <v>4</v>
      </c>
      <c r="F2082">
        <v>3912</v>
      </c>
      <c r="G2082">
        <v>550.09</v>
      </c>
      <c r="H2082">
        <v>2024</v>
      </c>
      <c r="I2082" t="s">
        <v>15</v>
      </c>
      <c r="J2082" s="4">
        <v>0.140616053169734</v>
      </c>
      <c r="K2082" t="s">
        <v>41</v>
      </c>
      <c r="L2082" t="s">
        <v>55</v>
      </c>
      <c r="M2082">
        <v>3</v>
      </c>
      <c r="N2082" t="s">
        <v>56</v>
      </c>
    </row>
    <row r="2083" spans="1:14" x14ac:dyDescent="0.3">
      <c r="A2083" s="1">
        <v>44892</v>
      </c>
      <c r="B2083" t="s">
        <v>34</v>
      </c>
      <c r="C2083" t="s">
        <v>33</v>
      </c>
      <c r="D2083" t="s">
        <v>19</v>
      </c>
      <c r="E2083">
        <v>7</v>
      </c>
      <c r="F2083">
        <v>1197</v>
      </c>
      <c r="G2083">
        <v>106.53</v>
      </c>
      <c r="H2083">
        <v>2022</v>
      </c>
      <c r="I2083" t="s">
        <v>18</v>
      </c>
      <c r="J2083" s="4">
        <v>8.8997493734335797E-2</v>
      </c>
      <c r="K2083" t="s">
        <v>42</v>
      </c>
      <c r="L2083" t="s">
        <v>52</v>
      </c>
      <c r="M2083">
        <v>11</v>
      </c>
      <c r="N2083" t="s">
        <v>58</v>
      </c>
    </row>
    <row r="2084" spans="1:14" x14ac:dyDescent="0.3">
      <c r="A2084" s="1">
        <v>44814</v>
      </c>
      <c r="B2084" t="s">
        <v>34</v>
      </c>
      <c r="C2084" t="s">
        <v>33</v>
      </c>
      <c r="D2084" t="s">
        <v>12</v>
      </c>
      <c r="E2084">
        <v>1</v>
      </c>
      <c r="F2084">
        <v>509</v>
      </c>
      <c r="G2084">
        <v>103.28</v>
      </c>
      <c r="H2084">
        <v>2022</v>
      </c>
      <c r="I2084" t="s">
        <v>21</v>
      </c>
      <c r="J2084" s="4">
        <v>0.20290766208251501</v>
      </c>
      <c r="K2084" t="s">
        <v>42</v>
      </c>
      <c r="L2084" t="s">
        <v>60</v>
      </c>
      <c r="M2084">
        <v>9</v>
      </c>
      <c r="N2084" t="s">
        <v>61</v>
      </c>
    </row>
    <row r="2085" spans="1:14" x14ac:dyDescent="0.3">
      <c r="A2085" s="1">
        <v>44696</v>
      </c>
      <c r="B2085" t="s">
        <v>34</v>
      </c>
      <c r="C2085" t="s">
        <v>33</v>
      </c>
      <c r="D2085" t="s">
        <v>17</v>
      </c>
      <c r="E2085">
        <v>7</v>
      </c>
      <c r="F2085">
        <v>7469</v>
      </c>
      <c r="G2085">
        <v>589.80999999999995</v>
      </c>
      <c r="H2085">
        <v>2022</v>
      </c>
      <c r="I2085" t="s">
        <v>20</v>
      </c>
      <c r="J2085" s="4">
        <v>7.8967733297630197E-2</v>
      </c>
      <c r="K2085" t="s">
        <v>42</v>
      </c>
      <c r="L2085" t="s">
        <v>59</v>
      </c>
      <c r="M2085">
        <v>5</v>
      </c>
      <c r="N2085" t="s">
        <v>20</v>
      </c>
    </row>
    <row r="2086" spans="1:14" x14ac:dyDescent="0.3">
      <c r="A2086" s="1">
        <v>44715</v>
      </c>
      <c r="B2086" t="s">
        <v>34</v>
      </c>
      <c r="C2086" t="s">
        <v>33</v>
      </c>
      <c r="D2086" t="s">
        <v>12</v>
      </c>
      <c r="E2086">
        <v>6</v>
      </c>
      <c r="F2086">
        <v>5460</v>
      </c>
      <c r="G2086">
        <v>845.75</v>
      </c>
      <c r="H2086">
        <v>2022</v>
      </c>
      <c r="I2086" t="s">
        <v>27</v>
      </c>
      <c r="J2086" s="4">
        <v>0.15489926739926699</v>
      </c>
      <c r="K2086" t="s">
        <v>42</v>
      </c>
      <c r="L2086" t="s">
        <v>59</v>
      </c>
      <c r="M2086">
        <v>6</v>
      </c>
      <c r="N2086" t="s">
        <v>66</v>
      </c>
    </row>
    <row r="2087" spans="1:14" x14ac:dyDescent="0.3">
      <c r="A2087" s="1">
        <v>44608</v>
      </c>
      <c r="B2087" t="s">
        <v>34</v>
      </c>
      <c r="C2087" t="s">
        <v>33</v>
      </c>
      <c r="D2087" t="s">
        <v>17</v>
      </c>
      <c r="E2087">
        <v>6</v>
      </c>
      <c r="F2087">
        <v>1512</v>
      </c>
      <c r="G2087">
        <v>423.03</v>
      </c>
      <c r="H2087">
        <v>2022</v>
      </c>
      <c r="I2087" t="s">
        <v>16</v>
      </c>
      <c r="J2087" s="4">
        <v>0.27978174603174599</v>
      </c>
      <c r="K2087" t="s">
        <v>42</v>
      </c>
      <c r="L2087" t="s">
        <v>55</v>
      </c>
      <c r="M2087">
        <v>2</v>
      </c>
      <c r="N2087" t="s">
        <v>57</v>
      </c>
    </row>
    <row r="2088" spans="1:14" x14ac:dyDescent="0.3">
      <c r="A2088" s="1">
        <v>44666</v>
      </c>
      <c r="B2088" t="s">
        <v>34</v>
      </c>
      <c r="C2088" t="s">
        <v>33</v>
      </c>
      <c r="D2088" t="s">
        <v>19</v>
      </c>
      <c r="E2088">
        <v>9</v>
      </c>
      <c r="F2088">
        <v>7884</v>
      </c>
      <c r="G2088">
        <v>2054.02</v>
      </c>
      <c r="H2088">
        <v>2022</v>
      </c>
      <c r="I2088" t="s">
        <v>23</v>
      </c>
      <c r="J2088" s="4">
        <v>0.26053018772196901</v>
      </c>
      <c r="K2088" t="s">
        <v>42</v>
      </c>
      <c r="L2088" t="s">
        <v>59</v>
      </c>
      <c r="M2088">
        <v>4</v>
      </c>
      <c r="N2088" t="s">
        <v>62</v>
      </c>
    </row>
    <row r="2089" spans="1:14" x14ac:dyDescent="0.3">
      <c r="A2089" s="1">
        <v>44562</v>
      </c>
      <c r="B2089" t="s">
        <v>34</v>
      </c>
      <c r="C2089" t="s">
        <v>33</v>
      </c>
      <c r="D2089" t="s">
        <v>19</v>
      </c>
      <c r="E2089">
        <v>3</v>
      </c>
      <c r="F2089">
        <v>3474</v>
      </c>
      <c r="G2089">
        <v>565</v>
      </c>
      <c r="H2089">
        <v>2022</v>
      </c>
      <c r="I2089" t="s">
        <v>26</v>
      </c>
      <c r="J2089" s="4">
        <v>0.162636729994243</v>
      </c>
      <c r="K2089" t="s">
        <v>42</v>
      </c>
      <c r="L2089" t="s">
        <v>55</v>
      </c>
      <c r="M2089">
        <v>1</v>
      </c>
      <c r="N2089" t="s">
        <v>65</v>
      </c>
    </row>
    <row r="2090" spans="1:14" x14ac:dyDescent="0.3">
      <c r="A2090" s="1">
        <v>44664</v>
      </c>
      <c r="B2090" t="s">
        <v>34</v>
      </c>
      <c r="C2090" t="s">
        <v>33</v>
      </c>
      <c r="D2090" t="s">
        <v>22</v>
      </c>
      <c r="E2090">
        <v>5</v>
      </c>
      <c r="F2090">
        <v>3135</v>
      </c>
      <c r="G2090">
        <v>787.7</v>
      </c>
      <c r="H2090">
        <v>2022</v>
      </c>
      <c r="I2090" t="s">
        <v>23</v>
      </c>
      <c r="J2090" s="4">
        <v>0.25125996810207302</v>
      </c>
      <c r="K2090" t="s">
        <v>42</v>
      </c>
      <c r="L2090" t="s">
        <v>59</v>
      </c>
      <c r="M2090">
        <v>4</v>
      </c>
      <c r="N2090" t="s">
        <v>62</v>
      </c>
    </row>
    <row r="2091" spans="1:14" x14ac:dyDescent="0.3">
      <c r="A2091" s="1">
        <v>44836</v>
      </c>
      <c r="B2091" t="s">
        <v>34</v>
      </c>
      <c r="C2091" t="s">
        <v>33</v>
      </c>
      <c r="D2091" t="s">
        <v>17</v>
      </c>
      <c r="E2091">
        <v>3</v>
      </c>
      <c r="F2091">
        <v>453</v>
      </c>
      <c r="G2091">
        <v>89.49</v>
      </c>
      <c r="H2091">
        <v>2022</v>
      </c>
      <c r="I2091" t="s">
        <v>14</v>
      </c>
      <c r="J2091" s="4">
        <v>0.197549668874172</v>
      </c>
      <c r="K2091" t="s">
        <v>42</v>
      </c>
      <c r="L2091" t="s">
        <v>52</v>
      </c>
      <c r="M2091">
        <v>10</v>
      </c>
      <c r="N2091" t="s">
        <v>54</v>
      </c>
    </row>
    <row r="2092" spans="1:14" x14ac:dyDescent="0.3">
      <c r="A2092" s="1">
        <v>44785</v>
      </c>
      <c r="B2092" t="s">
        <v>34</v>
      </c>
      <c r="C2092" t="s">
        <v>33</v>
      </c>
      <c r="D2092" t="s">
        <v>22</v>
      </c>
      <c r="E2092">
        <v>1</v>
      </c>
      <c r="F2092">
        <v>1187</v>
      </c>
      <c r="G2092">
        <v>206.28</v>
      </c>
      <c r="H2092">
        <v>2022</v>
      </c>
      <c r="I2092" t="s">
        <v>24</v>
      </c>
      <c r="J2092" s="4">
        <v>0.17378264532434701</v>
      </c>
      <c r="K2092" t="s">
        <v>42</v>
      </c>
      <c r="L2092" t="s">
        <v>60</v>
      </c>
      <c r="M2092">
        <v>8</v>
      </c>
      <c r="N2092" t="s">
        <v>63</v>
      </c>
    </row>
    <row r="2093" spans="1:14" x14ac:dyDescent="0.3">
      <c r="A2093" s="1">
        <v>44661</v>
      </c>
      <c r="B2093" t="s">
        <v>34</v>
      </c>
      <c r="C2093" t="s">
        <v>33</v>
      </c>
      <c r="D2093" t="s">
        <v>12</v>
      </c>
      <c r="E2093">
        <v>1</v>
      </c>
      <c r="F2093">
        <v>916</v>
      </c>
      <c r="G2093">
        <v>223.5</v>
      </c>
      <c r="H2093">
        <v>2022</v>
      </c>
      <c r="I2093" t="s">
        <v>23</v>
      </c>
      <c r="J2093" s="4">
        <v>0.24399563318777301</v>
      </c>
      <c r="K2093" t="s">
        <v>42</v>
      </c>
      <c r="L2093" t="s">
        <v>59</v>
      </c>
      <c r="M2093">
        <v>4</v>
      </c>
      <c r="N2093" t="s">
        <v>62</v>
      </c>
    </row>
    <row r="2094" spans="1:14" x14ac:dyDescent="0.3">
      <c r="A2094" s="1">
        <v>44580</v>
      </c>
      <c r="B2094" t="s">
        <v>34</v>
      </c>
      <c r="C2094" t="s">
        <v>33</v>
      </c>
      <c r="D2094" t="s">
        <v>19</v>
      </c>
      <c r="E2094">
        <v>1</v>
      </c>
      <c r="F2094">
        <v>745</v>
      </c>
      <c r="G2094">
        <v>151.22</v>
      </c>
      <c r="H2094">
        <v>2022</v>
      </c>
      <c r="I2094" t="s">
        <v>26</v>
      </c>
      <c r="J2094" s="4">
        <v>0.20297986577181201</v>
      </c>
      <c r="K2094" t="s">
        <v>42</v>
      </c>
      <c r="L2094" t="s">
        <v>55</v>
      </c>
      <c r="M2094">
        <v>1</v>
      </c>
      <c r="N2094" t="s">
        <v>65</v>
      </c>
    </row>
    <row r="2095" spans="1:14" x14ac:dyDescent="0.3">
      <c r="A2095" s="1">
        <v>44799</v>
      </c>
      <c r="B2095" t="s">
        <v>34</v>
      </c>
      <c r="C2095" t="s">
        <v>33</v>
      </c>
      <c r="D2095" t="s">
        <v>12</v>
      </c>
      <c r="E2095">
        <v>8</v>
      </c>
      <c r="F2095">
        <v>4928</v>
      </c>
      <c r="G2095">
        <v>1038.18</v>
      </c>
      <c r="H2095">
        <v>2022</v>
      </c>
      <c r="I2095" t="s">
        <v>24</v>
      </c>
      <c r="J2095" s="4">
        <v>0.21066964285714301</v>
      </c>
      <c r="K2095" t="s">
        <v>42</v>
      </c>
      <c r="L2095" t="s">
        <v>60</v>
      </c>
      <c r="M2095">
        <v>8</v>
      </c>
      <c r="N2095" t="s">
        <v>63</v>
      </c>
    </row>
    <row r="2096" spans="1:14" x14ac:dyDescent="0.3">
      <c r="A2096" s="1">
        <v>44826</v>
      </c>
      <c r="B2096" t="s">
        <v>34</v>
      </c>
      <c r="C2096" t="s">
        <v>33</v>
      </c>
      <c r="D2096" t="s">
        <v>12</v>
      </c>
      <c r="E2096">
        <v>3</v>
      </c>
      <c r="F2096">
        <v>2250</v>
      </c>
      <c r="G2096">
        <v>301.97000000000003</v>
      </c>
      <c r="H2096">
        <v>2022</v>
      </c>
      <c r="I2096" t="s">
        <v>21</v>
      </c>
      <c r="J2096" s="4">
        <v>0.13420888888888899</v>
      </c>
      <c r="K2096" t="s">
        <v>42</v>
      </c>
      <c r="L2096" t="s">
        <v>60</v>
      </c>
      <c r="M2096">
        <v>9</v>
      </c>
      <c r="N2096" t="s">
        <v>61</v>
      </c>
    </row>
    <row r="2097" spans="1:14" x14ac:dyDescent="0.3">
      <c r="A2097" s="1">
        <v>44693</v>
      </c>
      <c r="B2097" t="s">
        <v>34</v>
      </c>
      <c r="C2097" t="s">
        <v>33</v>
      </c>
      <c r="D2097" t="s">
        <v>19</v>
      </c>
      <c r="E2097">
        <v>3</v>
      </c>
      <c r="F2097">
        <v>1662</v>
      </c>
      <c r="G2097">
        <v>375.04</v>
      </c>
      <c r="H2097">
        <v>2022</v>
      </c>
      <c r="I2097" t="s">
        <v>20</v>
      </c>
      <c r="J2097" s="4">
        <v>0.22565583634175701</v>
      </c>
      <c r="K2097" t="s">
        <v>42</v>
      </c>
      <c r="L2097" t="s">
        <v>59</v>
      </c>
      <c r="M2097">
        <v>5</v>
      </c>
      <c r="N2097" t="s">
        <v>20</v>
      </c>
    </row>
    <row r="2098" spans="1:14" x14ac:dyDescent="0.3">
      <c r="A2098" s="1">
        <v>44838</v>
      </c>
      <c r="B2098" t="s">
        <v>34</v>
      </c>
      <c r="C2098" t="s">
        <v>33</v>
      </c>
      <c r="D2098" t="s">
        <v>22</v>
      </c>
      <c r="E2098">
        <v>1</v>
      </c>
      <c r="F2098">
        <v>272</v>
      </c>
      <c r="G2098">
        <v>45.33</v>
      </c>
      <c r="H2098">
        <v>2022</v>
      </c>
      <c r="I2098" t="s">
        <v>14</v>
      </c>
      <c r="J2098" s="4">
        <v>0.166654411764706</v>
      </c>
      <c r="K2098" t="s">
        <v>42</v>
      </c>
      <c r="L2098" t="s">
        <v>52</v>
      </c>
      <c r="M2098">
        <v>10</v>
      </c>
      <c r="N2098" t="s">
        <v>54</v>
      </c>
    </row>
    <row r="2099" spans="1:14" x14ac:dyDescent="0.3">
      <c r="A2099" s="1">
        <v>44731</v>
      </c>
      <c r="B2099" t="s">
        <v>34</v>
      </c>
      <c r="C2099" t="s">
        <v>33</v>
      </c>
      <c r="D2099" t="s">
        <v>12</v>
      </c>
      <c r="E2099">
        <v>5</v>
      </c>
      <c r="F2099">
        <v>855</v>
      </c>
      <c r="G2099">
        <v>67.569999999999993</v>
      </c>
      <c r="H2099">
        <v>2022</v>
      </c>
      <c r="I2099" t="s">
        <v>27</v>
      </c>
      <c r="J2099" s="4">
        <v>7.9029239766081893E-2</v>
      </c>
      <c r="K2099" t="s">
        <v>42</v>
      </c>
      <c r="L2099" t="s">
        <v>59</v>
      </c>
      <c r="M2099">
        <v>6</v>
      </c>
      <c r="N2099" t="s">
        <v>66</v>
      </c>
    </row>
    <row r="2100" spans="1:14" x14ac:dyDescent="0.3">
      <c r="A2100" s="1">
        <v>44926</v>
      </c>
      <c r="B2100" t="s">
        <v>34</v>
      </c>
      <c r="C2100" t="s">
        <v>33</v>
      </c>
      <c r="D2100" t="s">
        <v>22</v>
      </c>
      <c r="E2100">
        <v>9</v>
      </c>
      <c r="F2100">
        <v>3186</v>
      </c>
      <c r="G2100">
        <v>583.24</v>
      </c>
      <c r="H2100">
        <v>2022</v>
      </c>
      <c r="I2100" t="s">
        <v>13</v>
      </c>
      <c r="J2100" s="4">
        <v>0.183063402385436</v>
      </c>
      <c r="K2100" t="s">
        <v>42</v>
      </c>
      <c r="L2100" t="s">
        <v>52</v>
      </c>
      <c r="M2100">
        <v>12</v>
      </c>
      <c r="N2100" t="s">
        <v>53</v>
      </c>
    </row>
    <row r="2101" spans="1:14" x14ac:dyDescent="0.3">
      <c r="A2101" s="1">
        <v>44807</v>
      </c>
      <c r="B2101" t="s">
        <v>34</v>
      </c>
      <c r="C2101" t="s">
        <v>33</v>
      </c>
      <c r="D2101" t="s">
        <v>17</v>
      </c>
      <c r="E2101">
        <v>2</v>
      </c>
      <c r="F2101">
        <v>632</v>
      </c>
      <c r="G2101">
        <v>87.45</v>
      </c>
      <c r="H2101">
        <v>2022</v>
      </c>
      <c r="I2101" t="s">
        <v>21</v>
      </c>
      <c r="J2101" s="4">
        <v>0.13837025316455701</v>
      </c>
      <c r="K2101" t="s">
        <v>42</v>
      </c>
      <c r="L2101" t="s">
        <v>60</v>
      </c>
      <c r="M2101">
        <v>9</v>
      </c>
      <c r="N2101" t="s">
        <v>61</v>
      </c>
    </row>
    <row r="2102" spans="1:14" x14ac:dyDescent="0.3">
      <c r="A2102" s="1">
        <v>44833</v>
      </c>
      <c r="B2102" t="s">
        <v>34</v>
      </c>
      <c r="C2102" t="s">
        <v>33</v>
      </c>
      <c r="D2102" t="s">
        <v>19</v>
      </c>
      <c r="E2102">
        <v>6</v>
      </c>
      <c r="F2102">
        <v>4260</v>
      </c>
      <c r="G2102">
        <v>372.33</v>
      </c>
      <c r="H2102">
        <v>2022</v>
      </c>
      <c r="I2102" t="s">
        <v>21</v>
      </c>
      <c r="J2102" s="4">
        <v>8.7401408450704196E-2</v>
      </c>
      <c r="K2102" t="s">
        <v>42</v>
      </c>
      <c r="L2102" t="s">
        <v>60</v>
      </c>
      <c r="M2102">
        <v>9</v>
      </c>
      <c r="N2102" t="s">
        <v>61</v>
      </c>
    </row>
    <row r="2103" spans="1:14" x14ac:dyDescent="0.3">
      <c r="A2103" s="1">
        <v>44611</v>
      </c>
      <c r="B2103" t="s">
        <v>34</v>
      </c>
      <c r="C2103" t="s">
        <v>33</v>
      </c>
      <c r="D2103" t="s">
        <v>12</v>
      </c>
      <c r="E2103">
        <v>6</v>
      </c>
      <c r="F2103">
        <v>5622</v>
      </c>
      <c r="G2103">
        <v>1382.67</v>
      </c>
      <c r="H2103">
        <v>2022</v>
      </c>
      <c r="I2103" t="s">
        <v>16</v>
      </c>
      <c r="J2103" s="4">
        <v>0.24593916755602999</v>
      </c>
      <c r="K2103" t="s">
        <v>42</v>
      </c>
      <c r="L2103" t="s">
        <v>55</v>
      </c>
      <c r="M2103">
        <v>2</v>
      </c>
      <c r="N2103" t="s">
        <v>57</v>
      </c>
    </row>
    <row r="2104" spans="1:14" x14ac:dyDescent="0.3">
      <c r="A2104" s="1">
        <v>44803</v>
      </c>
      <c r="B2104" t="s">
        <v>34</v>
      </c>
      <c r="C2104" t="s">
        <v>33</v>
      </c>
      <c r="D2104" t="s">
        <v>19</v>
      </c>
      <c r="E2104">
        <v>1</v>
      </c>
      <c r="F2104">
        <v>763</v>
      </c>
      <c r="G2104">
        <v>217.94</v>
      </c>
      <c r="H2104">
        <v>2022</v>
      </c>
      <c r="I2104" t="s">
        <v>24</v>
      </c>
      <c r="J2104" s="4">
        <v>0.28563564875491498</v>
      </c>
      <c r="K2104" t="s">
        <v>42</v>
      </c>
      <c r="L2104" t="s">
        <v>60</v>
      </c>
      <c r="M2104">
        <v>8</v>
      </c>
      <c r="N2104" t="s">
        <v>63</v>
      </c>
    </row>
    <row r="2105" spans="1:14" x14ac:dyDescent="0.3">
      <c r="A2105" s="1">
        <v>44617</v>
      </c>
      <c r="B2105" t="s">
        <v>34</v>
      </c>
      <c r="C2105" t="s">
        <v>33</v>
      </c>
      <c r="D2105" t="s">
        <v>19</v>
      </c>
      <c r="E2105">
        <v>4</v>
      </c>
      <c r="F2105">
        <v>2532</v>
      </c>
      <c r="G2105">
        <v>404.96</v>
      </c>
      <c r="H2105">
        <v>2022</v>
      </c>
      <c r="I2105" t="s">
        <v>16</v>
      </c>
      <c r="J2105" s="4">
        <v>0.15993680884676101</v>
      </c>
      <c r="K2105" t="s">
        <v>42</v>
      </c>
      <c r="L2105" t="s">
        <v>55</v>
      </c>
      <c r="M2105">
        <v>2</v>
      </c>
      <c r="N2105" t="s">
        <v>57</v>
      </c>
    </row>
    <row r="2106" spans="1:14" x14ac:dyDescent="0.3">
      <c r="A2106" s="1">
        <v>44569</v>
      </c>
      <c r="B2106" t="s">
        <v>34</v>
      </c>
      <c r="C2106" t="s">
        <v>33</v>
      </c>
      <c r="D2106" t="s">
        <v>22</v>
      </c>
      <c r="E2106">
        <v>1</v>
      </c>
      <c r="F2106">
        <v>71</v>
      </c>
      <c r="G2106">
        <v>12.02</v>
      </c>
      <c r="H2106">
        <v>2022</v>
      </c>
      <c r="I2106" t="s">
        <v>26</v>
      </c>
      <c r="J2106" s="4">
        <v>0.169295774647887</v>
      </c>
      <c r="K2106" t="s">
        <v>42</v>
      </c>
      <c r="L2106" t="s">
        <v>55</v>
      </c>
      <c r="M2106">
        <v>1</v>
      </c>
      <c r="N2106" t="s">
        <v>65</v>
      </c>
    </row>
    <row r="2107" spans="1:14" x14ac:dyDescent="0.3">
      <c r="A2107" s="1">
        <v>44732</v>
      </c>
      <c r="B2107" t="s">
        <v>34</v>
      </c>
      <c r="C2107" t="s">
        <v>33</v>
      </c>
      <c r="D2107" t="s">
        <v>22</v>
      </c>
      <c r="E2107">
        <v>5</v>
      </c>
      <c r="F2107">
        <v>3910</v>
      </c>
      <c r="G2107">
        <v>584.77</v>
      </c>
      <c r="H2107">
        <v>2022</v>
      </c>
      <c r="I2107" t="s">
        <v>27</v>
      </c>
      <c r="J2107" s="4">
        <v>0.14955754475703301</v>
      </c>
      <c r="K2107" t="s">
        <v>42</v>
      </c>
      <c r="L2107" t="s">
        <v>59</v>
      </c>
      <c r="M2107">
        <v>6</v>
      </c>
      <c r="N2107" t="s">
        <v>66</v>
      </c>
    </row>
    <row r="2108" spans="1:14" x14ac:dyDescent="0.3">
      <c r="A2108" s="1">
        <v>44924</v>
      </c>
      <c r="B2108" t="s">
        <v>34</v>
      </c>
      <c r="C2108" t="s">
        <v>33</v>
      </c>
      <c r="D2108" t="s">
        <v>19</v>
      </c>
      <c r="E2108">
        <v>6</v>
      </c>
      <c r="F2108">
        <v>1404</v>
      </c>
      <c r="G2108">
        <v>368.36</v>
      </c>
      <c r="H2108">
        <v>2022</v>
      </c>
      <c r="I2108" t="s">
        <v>13</v>
      </c>
      <c r="J2108" s="4">
        <v>0.26236467236467198</v>
      </c>
      <c r="K2108" t="s">
        <v>42</v>
      </c>
      <c r="L2108" t="s">
        <v>52</v>
      </c>
      <c r="M2108">
        <v>12</v>
      </c>
      <c r="N2108" t="s">
        <v>53</v>
      </c>
    </row>
    <row r="2109" spans="1:14" x14ac:dyDescent="0.3">
      <c r="A2109" s="1">
        <v>44893</v>
      </c>
      <c r="B2109" t="s">
        <v>34</v>
      </c>
      <c r="C2109" t="s">
        <v>33</v>
      </c>
      <c r="D2109" t="s">
        <v>22</v>
      </c>
      <c r="E2109">
        <v>2</v>
      </c>
      <c r="F2109">
        <v>1446</v>
      </c>
      <c r="G2109">
        <v>403.89</v>
      </c>
      <c r="H2109">
        <v>2022</v>
      </c>
      <c r="I2109" t="s">
        <v>18</v>
      </c>
      <c r="J2109" s="4">
        <v>0.27931535269709501</v>
      </c>
      <c r="K2109" t="s">
        <v>42</v>
      </c>
      <c r="L2109" t="s">
        <v>52</v>
      </c>
      <c r="M2109">
        <v>11</v>
      </c>
      <c r="N2109" t="s">
        <v>58</v>
      </c>
    </row>
    <row r="2110" spans="1:14" x14ac:dyDescent="0.3">
      <c r="A2110" s="1">
        <v>44778</v>
      </c>
      <c r="B2110" t="s">
        <v>34</v>
      </c>
      <c r="C2110" t="s">
        <v>33</v>
      </c>
      <c r="D2110" t="s">
        <v>22</v>
      </c>
      <c r="E2110">
        <v>6</v>
      </c>
      <c r="F2110">
        <v>1758</v>
      </c>
      <c r="G2110">
        <v>262.36</v>
      </c>
      <c r="H2110">
        <v>2022</v>
      </c>
      <c r="I2110" t="s">
        <v>24</v>
      </c>
      <c r="J2110" s="4">
        <v>0.14923777019340201</v>
      </c>
      <c r="K2110" t="s">
        <v>42</v>
      </c>
      <c r="L2110" t="s">
        <v>60</v>
      </c>
      <c r="M2110">
        <v>8</v>
      </c>
      <c r="N2110" t="s">
        <v>63</v>
      </c>
    </row>
    <row r="2111" spans="1:14" x14ac:dyDescent="0.3">
      <c r="A2111" s="1">
        <v>44820</v>
      </c>
      <c r="B2111" t="s">
        <v>34</v>
      </c>
      <c r="C2111" t="s">
        <v>33</v>
      </c>
      <c r="D2111" t="s">
        <v>19</v>
      </c>
      <c r="E2111">
        <v>2</v>
      </c>
      <c r="F2111">
        <v>442</v>
      </c>
      <c r="G2111">
        <v>28.13</v>
      </c>
      <c r="H2111">
        <v>2022</v>
      </c>
      <c r="I2111" t="s">
        <v>21</v>
      </c>
      <c r="J2111" s="4">
        <v>6.3642533936651605E-2</v>
      </c>
      <c r="K2111" t="s">
        <v>42</v>
      </c>
      <c r="L2111" t="s">
        <v>60</v>
      </c>
      <c r="M2111">
        <v>9</v>
      </c>
      <c r="N2111" t="s">
        <v>61</v>
      </c>
    </row>
    <row r="2112" spans="1:14" x14ac:dyDescent="0.3">
      <c r="A2112" s="1">
        <v>44787</v>
      </c>
      <c r="B2112" t="s">
        <v>34</v>
      </c>
      <c r="C2112" t="s">
        <v>33</v>
      </c>
      <c r="D2112" t="s">
        <v>17</v>
      </c>
      <c r="E2112">
        <v>9</v>
      </c>
      <c r="F2112">
        <v>3384</v>
      </c>
      <c r="G2112">
        <v>252.11</v>
      </c>
      <c r="H2112">
        <v>2022</v>
      </c>
      <c r="I2112" t="s">
        <v>24</v>
      </c>
      <c r="J2112" s="4">
        <v>7.4500591016548504E-2</v>
      </c>
      <c r="K2112" t="s">
        <v>42</v>
      </c>
      <c r="L2112" t="s">
        <v>60</v>
      </c>
      <c r="M2112">
        <v>8</v>
      </c>
      <c r="N2112" t="s">
        <v>63</v>
      </c>
    </row>
    <row r="2113" spans="1:14" x14ac:dyDescent="0.3">
      <c r="A2113" s="1">
        <v>44726</v>
      </c>
      <c r="B2113" t="s">
        <v>34</v>
      </c>
      <c r="C2113" t="s">
        <v>33</v>
      </c>
      <c r="D2113" t="s">
        <v>17</v>
      </c>
      <c r="E2113">
        <v>1</v>
      </c>
      <c r="F2113">
        <v>739</v>
      </c>
      <c r="G2113">
        <v>111.18</v>
      </c>
      <c r="H2113">
        <v>2022</v>
      </c>
      <c r="I2113" t="s">
        <v>27</v>
      </c>
      <c r="J2113" s="4">
        <v>0.150446549391069</v>
      </c>
      <c r="K2113" t="s">
        <v>42</v>
      </c>
      <c r="L2113" t="s">
        <v>59</v>
      </c>
      <c r="M2113">
        <v>6</v>
      </c>
      <c r="N2113" t="s">
        <v>66</v>
      </c>
    </row>
    <row r="2114" spans="1:14" x14ac:dyDescent="0.3">
      <c r="A2114" s="1">
        <v>44626</v>
      </c>
      <c r="B2114" t="s">
        <v>34</v>
      </c>
      <c r="C2114" t="s">
        <v>33</v>
      </c>
      <c r="D2114" t="s">
        <v>12</v>
      </c>
      <c r="E2114">
        <v>6</v>
      </c>
      <c r="F2114">
        <v>3522</v>
      </c>
      <c r="G2114">
        <v>626.72</v>
      </c>
      <c r="H2114">
        <v>2022</v>
      </c>
      <c r="I2114" t="s">
        <v>15</v>
      </c>
      <c r="J2114" s="4">
        <v>0.17794434980124901</v>
      </c>
      <c r="K2114" t="s">
        <v>42</v>
      </c>
      <c r="L2114" t="s">
        <v>55</v>
      </c>
      <c r="M2114">
        <v>3</v>
      </c>
      <c r="N2114" t="s">
        <v>56</v>
      </c>
    </row>
    <row r="2115" spans="1:14" x14ac:dyDescent="0.3">
      <c r="A2115" s="1">
        <v>44755</v>
      </c>
      <c r="B2115" t="s">
        <v>34</v>
      </c>
      <c r="C2115" t="s">
        <v>33</v>
      </c>
      <c r="D2115" t="s">
        <v>22</v>
      </c>
      <c r="E2115">
        <v>7</v>
      </c>
      <c r="F2115">
        <v>3395</v>
      </c>
      <c r="G2115">
        <v>1012.78</v>
      </c>
      <c r="H2115">
        <v>2022</v>
      </c>
      <c r="I2115" t="s">
        <v>25</v>
      </c>
      <c r="J2115" s="4">
        <v>0.29831516936671598</v>
      </c>
      <c r="K2115" t="s">
        <v>42</v>
      </c>
      <c r="L2115" t="s">
        <v>60</v>
      </c>
      <c r="M2115">
        <v>7</v>
      </c>
      <c r="N2115" t="s">
        <v>64</v>
      </c>
    </row>
    <row r="2116" spans="1:14" x14ac:dyDescent="0.3">
      <c r="A2116" s="1">
        <v>44651</v>
      </c>
      <c r="B2116" t="s">
        <v>34</v>
      </c>
      <c r="C2116" t="s">
        <v>33</v>
      </c>
      <c r="D2116" t="s">
        <v>12</v>
      </c>
      <c r="E2116">
        <v>6</v>
      </c>
      <c r="F2116">
        <v>6516</v>
      </c>
      <c r="G2116">
        <v>842.83</v>
      </c>
      <c r="H2116">
        <v>2022</v>
      </c>
      <c r="I2116" t="s">
        <v>15</v>
      </c>
      <c r="J2116" s="4">
        <v>0.129347759361572</v>
      </c>
      <c r="K2116" t="s">
        <v>42</v>
      </c>
      <c r="L2116" t="s">
        <v>55</v>
      </c>
      <c r="M2116">
        <v>3</v>
      </c>
      <c r="N2116" t="s">
        <v>56</v>
      </c>
    </row>
    <row r="2117" spans="1:14" x14ac:dyDescent="0.3">
      <c r="A2117" s="1">
        <v>44768</v>
      </c>
      <c r="B2117" t="s">
        <v>34</v>
      </c>
      <c r="C2117" t="s">
        <v>33</v>
      </c>
      <c r="D2117" t="s">
        <v>19</v>
      </c>
      <c r="E2117">
        <v>8</v>
      </c>
      <c r="F2117">
        <v>6056</v>
      </c>
      <c r="G2117">
        <v>1631.71</v>
      </c>
      <c r="H2117">
        <v>2022</v>
      </c>
      <c r="I2117" t="s">
        <v>25</v>
      </c>
      <c r="J2117" s="4">
        <v>0.26943692206076603</v>
      </c>
      <c r="K2117" t="s">
        <v>42</v>
      </c>
      <c r="L2117" t="s">
        <v>60</v>
      </c>
      <c r="M2117">
        <v>7</v>
      </c>
      <c r="N2117" t="s">
        <v>64</v>
      </c>
    </row>
    <row r="2118" spans="1:14" x14ac:dyDescent="0.3">
      <c r="A2118" s="1">
        <v>44792</v>
      </c>
      <c r="B2118" t="s">
        <v>34</v>
      </c>
      <c r="C2118" t="s">
        <v>33</v>
      </c>
      <c r="D2118" t="s">
        <v>17</v>
      </c>
      <c r="E2118">
        <v>7</v>
      </c>
      <c r="F2118">
        <v>5789</v>
      </c>
      <c r="G2118">
        <v>950.45</v>
      </c>
      <c r="H2118">
        <v>2022</v>
      </c>
      <c r="I2118" t="s">
        <v>24</v>
      </c>
      <c r="J2118" s="4">
        <v>0.164182069442045</v>
      </c>
      <c r="K2118" t="s">
        <v>42</v>
      </c>
      <c r="L2118" t="s">
        <v>60</v>
      </c>
      <c r="M2118">
        <v>8</v>
      </c>
      <c r="N2118" t="s">
        <v>63</v>
      </c>
    </row>
    <row r="2119" spans="1:14" x14ac:dyDescent="0.3">
      <c r="A2119" s="1">
        <v>44635</v>
      </c>
      <c r="B2119" t="s">
        <v>34</v>
      </c>
      <c r="C2119" t="s">
        <v>33</v>
      </c>
      <c r="D2119" t="s">
        <v>19</v>
      </c>
      <c r="E2119">
        <v>2</v>
      </c>
      <c r="F2119">
        <v>1128</v>
      </c>
      <c r="G2119">
        <v>94.13</v>
      </c>
      <c r="H2119">
        <v>2022</v>
      </c>
      <c r="I2119" t="s">
        <v>15</v>
      </c>
      <c r="J2119" s="4">
        <v>8.3448581560283702E-2</v>
      </c>
      <c r="K2119" t="s">
        <v>42</v>
      </c>
      <c r="L2119" t="s">
        <v>55</v>
      </c>
      <c r="M2119">
        <v>3</v>
      </c>
      <c r="N2119" t="s">
        <v>56</v>
      </c>
    </row>
    <row r="2120" spans="1:14" x14ac:dyDescent="0.3">
      <c r="A2120" s="1">
        <v>44820</v>
      </c>
      <c r="B2120" t="s">
        <v>34</v>
      </c>
      <c r="C2120" t="s">
        <v>33</v>
      </c>
      <c r="D2120" t="s">
        <v>12</v>
      </c>
      <c r="E2120">
        <v>8</v>
      </c>
      <c r="F2120">
        <v>1608</v>
      </c>
      <c r="G2120">
        <v>464.18</v>
      </c>
      <c r="H2120">
        <v>2022</v>
      </c>
      <c r="I2120" t="s">
        <v>21</v>
      </c>
      <c r="J2120" s="4">
        <v>0.28866915422885597</v>
      </c>
      <c r="K2120" t="s">
        <v>42</v>
      </c>
      <c r="L2120" t="s">
        <v>60</v>
      </c>
      <c r="M2120">
        <v>9</v>
      </c>
      <c r="N2120" t="s">
        <v>61</v>
      </c>
    </row>
    <row r="2121" spans="1:14" x14ac:dyDescent="0.3">
      <c r="A2121" s="1">
        <v>44791</v>
      </c>
      <c r="B2121" t="s">
        <v>34</v>
      </c>
      <c r="C2121" t="s">
        <v>33</v>
      </c>
      <c r="D2121" t="s">
        <v>17</v>
      </c>
      <c r="E2121">
        <v>9</v>
      </c>
      <c r="F2121">
        <v>2763</v>
      </c>
      <c r="G2121">
        <v>458.4</v>
      </c>
      <c r="H2121">
        <v>2022</v>
      </c>
      <c r="I2121" t="s">
        <v>24</v>
      </c>
      <c r="J2121" s="4">
        <v>0.165906623235613</v>
      </c>
      <c r="K2121" t="s">
        <v>42</v>
      </c>
      <c r="L2121" t="s">
        <v>60</v>
      </c>
      <c r="M2121">
        <v>8</v>
      </c>
      <c r="N2121" t="s">
        <v>63</v>
      </c>
    </row>
    <row r="2122" spans="1:14" x14ac:dyDescent="0.3">
      <c r="A2122" s="1">
        <v>44832</v>
      </c>
      <c r="B2122" t="s">
        <v>34</v>
      </c>
      <c r="C2122" t="s">
        <v>33</v>
      </c>
      <c r="D2122" t="s">
        <v>19</v>
      </c>
      <c r="E2122">
        <v>6</v>
      </c>
      <c r="F2122">
        <v>1824</v>
      </c>
      <c r="G2122">
        <v>213.47</v>
      </c>
      <c r="H2122">
        <v>2022</v>
      </c>
      <c r="I2122" t="s">
        <v>21</v>
      </c>
      <c r="J2122" s="4">
        <v>0.11703399122807</v>
      </c>
      <c r="K2122" t="s">
        <v>42</v>
      </c>
      <c r="L2122" t="s">
        <v>60</v>
      </c>
      <c r="M2122">
        <v>9</v>
      </c>
      <c r="N2122" t="s">
        <v>61</v>
      </c>
    </row>
    <row r="2123" spans="1:14" x14ac:dyDescent="0.3">
      <c r="A2123" s="1">
        <v>44844</v>
      </c>
      <c r="B2123" t="s">
        <v>34</v>
      </c>
      <c r="C2123" t="s">
        <v>33</v>
      </c>
      <c r="D2123" t="s">
        <v>22</v>
      </c>
      <c r="E2123">
        <v>7</v>
      </c>
      <c r="F2123">
        <v>7805</v>
      </c>
      <c r="G2123">
        <v>1078.03</v>
      </c>
      <c r="H2123">
        <v>2022</v>
      </c>
      <c r="I2123" t="s">
        <v>14</v>
      </c>
      <c r="J2123" s="4">
        <v>0.13812043561819301</v>
      </c>
      <c r="K2123" t="s">
        <v>42</v>
      </c>
      <c r="L2123" t="s">
        <v>52</v>
      </c>
      <c r="M2123">
        <v>10</v>
      </c>
      <c r="N2123" t="s">
        <v>54</v>
      </c>
    </row>
    <row r="2124" spans="1:14" x14ac:dyDescent="0.3">
      <c r="A2124" s="1">
        <v>44617</v>
      </c>
      <c r="B2124" t="s">
        <v>34</v>
      </c>
      <c r="C2124" t="s">
        <v>33</v>
      </c>
      <c r="D2124" t="s">
        <v>19</v>
      </c>
      <c r="E2124">
        <v>4</v>
      </c>
      <c r="F2124">
        <v>4404</v>
      </c>
      <c r="G2124">
        <v>793.7</v>
      </c>
      <c r="H2124">
        <v>2022</v>
      </c>
      <c r="I2124" t="s">
        <v>16</v>
      </c>
      <c r="J2124" s="4">
        <v>0.18022252497729299</v>
      </c>
      <c r="K2124" t="s">
        <v>42</v>
      </c>
      <c r="L2124" t="s">
        <v>55</v>
      </c>
      <c r="M2124">
        <v>2</v>
      </c>
      <c r="N2124" t="s">
        <v>57</v>
      </c>
    </row>
    <row r="2125" spans="1:14" x14ac:dyDescent="0.3">
      <c r="A2125" s="1">
        <v>44918</v>
      </c>
      <c r="B2125" t="s">
        <v>34</v>
      </c>
      <c r="C2125" t="s">
        <v>33</v>
      </c>
      <c r="D2125" t="s">
        <v>17</v>
      </c>
      <c r="E2125">
        <v>3</v>
      </c>
      <c r="F2125">
        <v>2004</v>
      </c>
      <c r="G2125">
        <v>467.76</v>
      </c>
      <c r="H2125">
        <v>2022</v>
      </c>
      <c r="I2125" t="s">
        <v>13</v>
      </c>
      <c r="J2125" s="4">
        <v>0.23341317365269501</v>
      </c>
      <c r="K2125" t="s">
        <v>42</v>
      </c>
      <c r="L2125" t="s">
        <v>52</v>
      </c>
      <c r="M2125">
        <v>12</v>
      </c>
      <c r="N2125" t="s">
        <v>53</v>
      </c>
    </row>
    <row r="2126" spans="1:14" x14ac:dyDescent="0.3">
      <c r="A2126" s="1">
        <v>44694</v>
      </c>
      <c r="B2126" t="s">
        <v>34</v>
      </c>
      <c r="C2126" t="s">
        <v>33</v>
      </c>
      <c r="D2126" t="s">
        <v>22</v>
      </c>
      <c r="E2126">
        <v>5</v>
      </c>
      <c r="F2126">
        <v>5070</v>
      </c>
      <c r="G2126">
        <v>986.39</v>
      </c>
      <c r="H2126">
        <v>2022</v>
      </c>
      <c r="I2126" t="s">
        <v>20</v>
      </c>
      <c r="J2126" s="4">
        <v>0.194554240631164</v>
      </c>
      <c r="K2126" t="s">
        <v>42</v>
      </c>
      <c r="L2126" t="s">
        <v>59</v>
      </c>
      <c r="M2126">
        <v>5</v>
      </c>
      <c r="N2126" t="s">
        <v>20</v>
      </c>
    </row>
    <row r="2127" spans="1:14" x14ac:dyDescent="0.3">
      <c r="A2127" s="1">
        <v>44661</v>
      </c>
      <c r="B2127" t="s">
        <v>34</v>
      </c>
      <c r="C2127" t="s">
        <v>33</v>
      </c>
      <c r="D2127" t="s">
        <v>22</v>
      </c>
      <c r="E2127">
        <v>3</v>
      </c>
      <c r="F2127">
        <v>1446</v>
      </c>
      <c r="G2127">
        <v>356.7</v>
      </c>
      <c r="H2127">
        <v>2022</v>
      </c>
      <c r="I2127" t="s">
        <v>23</v>
      </c>
      <c r="J2127" s="4">
        <v>0.24668049792531099</v>
      </c>
      <c r="K2127" t="s">
        <v>42</v>
      </c>
      <c r="L2127" t="s">
        <v>59</v>
      </c>
      <c r="M2127">
        <v>4</v>
      </c>
      <c r="N2127" t="s">
        <v>62</v>
      </c>
    </row>
    <row r="2128" spans="1:14" x14ac:dyDescent="0.3">
      <c r="A2128" s="1">
        <v>44847</v>
      </c>
      <c r="B2128" t="s">
        <v>34</v>
      </c>
      <c r="C2128" t="s">
        <v>33</v>
      </c>
      <c r="D2128" t="s">
        <v>12</v>
      </c>
      <c r="E2128">
        <v>8</v>
      </c>
      <c r="F2128">
        <v>1192</v>
      </c>
      <c r="G2128">
        <v>289.91000000000003</v>
      </c>
      <c r="H2128">
        <v>2022</v>
      </c>
      <c r="I2128" t="s">
        <v>14</v>
      </c>
      <c r="J2128" s="4">
        <v>0.243213087248322</v>
      </c>
      <c r="K2128" t="s">
        <v>42</v>
      </c>
      <c r="L2128" t="s">
        <v>52</v>
      </c>
      <c r="M2128">
        <v>10</v>
      </c>
      <c r="N2128" t="s">
        <v>54</v>
      </c>
    </row>
    <row r="2129" spans="1:14" x14ac:dyDescent="0.3">
      <c r="A2129" s="1">
        <v>44660</v>
      </c>
      <c r="B2129" t="s">
        <v>34</v>
      </c>
      <c r="C2129" t="s">
        <v>33</v>
      </c>
      <c r="D2129" t="s">
        <v>19</v>
      </c>
      <c r="E2129">
        <v>6</v>
      </c>
      <c r="F2129">
        <v>4302</v>
      </c>
      <c r="G2129">
        <v>957.38</v>
      </c>
      <c r="H2129">
        <v>2022</v>
      </c>
      <c r="I2129" t="s">
        <v>23</v>
      </c>
      <c r="J2129" s="4">
        <v>0.22254300325429999</v>
      </c>
      <c r="K2129" t="s">
        <v>42</v>
      </c>
      <c r="L2129" t="s">
        <v>59</v>
      </c>
      <c r="M2129">
        <v>4</v>
      </c>
      <c r="N2129" t="s">
        <v>62</v>
      </c>
    </row>
    <row r="2130" spans="1:14" x14ac:dyDescent="0.3">
      <c r="A2130" s="1">
        <v>44858</v>
      </c>
      <c r="B2130" t="s">
        <v>34</v>
      </c>
      <c r="C2130" t="s">
        <v>33</v>
      </c>
      <c r="D2130" t="s">
        <v>12</v>
      </c>
      <c r="E2130">
        <v>6</v>
      </c>
      <c r="F2130">
        <v>3186</v>
      </c>
      <c r="G2130">
        <v>841.04</v>
      </c>
      <c r="H2130">
        <v>2022</v>
      </c>
      <c r="I2130" t="s">
        <v>14</v>
      </c>
      <c r="J2130" s="4">
        <v>0.26397991211550498</v>
      </c>
      <c r="K2130" t="s">
        <v>42</v>
      </c>
      <c r="L2130" t="s">
        <v>52</v>
      </c>
      <c r="M2130">
        <v>10</v>
      </c>
      <c r="N2130" t="s">
        <v>54</v>
      </c>
    </row>
    <row r="2131" spans="1:14" x14ac:dyDescent="0.3">
      <c r="A2131" s="1">
        <v>44833</v>
      </c>
      <c r="B2131" t="s">
        <v>34</v>
      </c>
      <c r="C2131" t="s">
        <v>33</v>
      </c>
      <c r="D2131" t="s">
        <v>22</v>
      </c>
      <c r="E2131">
        <v>7</v>
      </c>
      <c r="F2131">
        <v>770</v>
      </c>
      <c r="G2131">
        <v>129.11000000000001</v>
      </c>
      <c r="H2131">
        <v>2022</v>
      </c>
      <c r="I2131" t="s">
        <v>21</v>
      </c>
      <c r="J2131" s="4">
        <v>0.167675324675325</v>
      </c>
      <c r="K2131" t="s">
        <v>42</v>
      </c>
      <c r="L2131" t="s">
        <v>60</v>
      </c>
      <c r="M2131">
        <v>9</v>
      </c>
      <c r="N2131" t="s">
        <v>61</v>
      </c>
    </row>
    <row r="2132" spans="1:14" x14ac:dyDescent="0.3">
      <c r="A2132" s="1">
        <v>44846</v>
      </c>
      <c r="B2132" t="s">
        <v>34</v>
      </c>
      <c r="C2132" t="s">
        <v>33</v>
      </c>
      <c r="D2132" t="s">
        <v>17</v>
      </c>
      <c r="E2132">
        <v>1</v>
      </c>
      <c r="F2132">
        <v>1140</v>
      </c>
      <c r="G2132">
        <v>117.05</v>
      </c>
      <c r="H2132">
        <v>2022</v>
      </c>
      <c r="I2132" t="s">
        <v>14</v>
      </c>
      <c r="J2132" s="4">
        <v>0.102675438596491</v>
      </c>
      <c r="K2132" t="s">
        <v>42</v>
      </c>
      <c r="L2132" t="s">
        <v>52</v>
      </c>
      <c r="M2132">
        <v>10</v>
      </c>
      <c r="N2132" t="s">
        <v>54</v>
      </c>
    </row>
    <row r="2133" spans="1:14" x14ac:dyDescent="0.3">
      <c r="A2133" s="1">
        <v>44565</v>
      </c>
      <c r="B2133" t="s">
        <v>34</v>
      </c>
      <c r="C2133" t="s">
        <v>33</v>
      </c>
      <c r="D2133" t="s">
        <v>22</v>
      </c>
      <c r="E2133">
        <v>9</v>
      </c>
      <c r="F2133">
        <v>9378</v>
      </c>
      <c r="G2133">
        <v>1740.97</v>
      </c>
      <c r="H2133">
        <v>2022</v>
      </c>
      <c r="I2133" t="s">
        <v>26</v>
      </c>
      <c r="J2133" s="4">
        <v>0.185644060567285</v>
      </c>
      <c r="K2133" t="s">
        <v>42</v>
      </c>
      <c r="L2133" t="s">
        <v>55</v>
      </c>
      <c r="M2133">
        <v>1</v>
      </c>
      <c r="N2133" t="s">
        <v>65</v>
      </c>
    </row>
    <row r="2134" spans="1:14" x14ac:dyDescent="0.3">
      <c r="A2134" s="1">
        <v>44730</v>
      </c>
      <c r="B2134" t="s">
        <v>34</v>
      </c>
      <c r="C2134" t="s">
        <v>33</v>
      </c>
      <c r="D2134" t="s">
        <v>19</v>
      </c>
      <c r="E2134">
        <v>9</v>
      </c>
      <c r="F2134">
        <v>6705</v>
      </c>
      <c r="G2134">
        <v>1283.78</v>
      </c>
      <c r="H2134">
        <v>2022</v>
      </c>
      <c r="I2134" t="s">
        <v>27</v>
      </c>
      <c r="J2134" s="4">
        <v>0.191466070096943</v>
      </c>
      <c r="K2134" t="s">
        <v>42</v>
      </c>
      <c r="L2134" t="s">
        <v>59</v>
      </c>
      <c r="M2134">
        <v>6</v>
      </c>
      <c r="N2134" t="s">
        <v>66</v>
      </c>
    </row>
    <row r="2135" spans="1:14" x14ac:dyDescent="0.3">
      <c r="A2135" s="1">
        <v>44878</v>
      </c>
      <c r="B2135" t="s">
        <v>34</v>
      </c>
      <c r="C2135" t="s">
        <v>33</v>
      </c>
      <c r="D2135" t="s">
        <v>12</v>
      </c>
      <c r="E2135">
        <v>3</v>
      </c>
      <c r="F2135">
        <v>375</v>
      </c>
      <c r="G2135">
        <v>107.26</v>
      </c>
      <c r="H2135">
        <v>2022</v>
      </c>
      <c r="I2135" t="s">
        <v>18</v>
      </c>
      <c r="J2135" s="4">
        <v>0.28602666666666698</v>
      </c>
      <c r="K2135" t="s">
        <v>42</v>
      </c>
      <c r="L2135" t="s">
        <v>52</v>
      </c>
      <c r="M2135">
        <v>11</v>
      </c>
      <c r="N2135" t="s">
        <v>58</v>
      </c>
    </row>
    <row r="2136" spans="1:14" x14ac:dyDescent="0.3">
      <c r="A2136" s="1">
        <v>44610</v>
      </c>
      <c r="B2136" t="s">
        <v>34</v>
      </c>
      <c r="C2136" t="s">
        <v>33</v>
      </c>
      <c r="D2136" t="s">
        <v>12</v>
      </c>
      <c r="E2136">
        <v>5</v>
      </c>
      <c r="F2136">
        <v>5890</v>
      </c>
      <c r="G2136">
        <v>309</v>
      </c>
      <c r="H2136">
        <v>2022</v>
      </c>
      <c r="I2136" t="s">
        <v>16</v>
      </c>
      <c r="J2136" s="4">
        <v>5.2461799660441399E-2</v>
      </c>
      <c r="K2136" t="s">
        <v>42</v>
      </c>
      <c r="L2136" t="s">
        <v>55</v>
      </c>
      <c r="M2136">
        <v>2</v>
      </c>
      <c r="N2136" t="s">
        <v>57</v>
      </c>
    </row>
    <row r="2137" spans="1:14" x14ac:dyDescent="0.3">
      <c r="A2137" s="1">
        <v>44699</v>
      </c>
      <c r="B2137" t="s">
        <v>34</v>
      </c>
      <c r="C2137" t="s">
        <v>33</v>
      </c>
      <c r="D2137" t="s">
        <v>12</v>
      </c>
      <c r="E2137">
        <v>4</v>
      </c>
      <c r="F2137">
        <v>1208</v>
      </c>
      <c r="G2137">
        <v>351.47</v>
      </c>
      <c r="H2137">
        <v>2022</v>
      </c>
      <c r="I2137" t="s">
        <v>20</v>
      </c>
      <c r="J2137" s="4">
        <v>0.29095198675496697</v>
      </c>
      <c r="K2137" t="s">
        <v>42</v>
      </c>
      <c r="L2137" t="s">
        <v>59</v>
      </c>
      <c r="M2137">
        <v>5</v>
      </c>
      <c r="N2137" t="s">
        <v>20</v>
      </c>
    </row>
    <row r="2138" spans="1:14" x14ac:dyDescent="0.3">
      <c r="A2138" s="1">
        <v>44736</v>
      </c>
      <c r="B2138" t="s">
        <v>34</v>
      </c>
      <c r="C2138" t="s">
        <v>33</v>
      </c>
      <c r="D2138" t="s">
        <v>22</v>
      </c>
      <c r="E2138">
        <v>3</v>
      </c>
      <c r="F2138">
        <v>3504</v>
      </c>
      <c r="G2138">
        <v>807.65</v>
      </c>
      <c r="H2138">
        <v>2022</v>
      </c>
      <c r="I2138" t="s">
        <v>27</v>
      </c>
      <c r="J2138" s="4">
        <v>0.23049372146118699</v>
      </c>
      <c r="K2138" t="s">
        <v>42</v>
      </c>
      <c r="L2138" t="s">
        <v>59</v>
      </c>
      <c r="M2138">
        <v>6</v>
      </c>
      <c r="N2138" t="s">
        <v>66</v>
      </c>
    </row>
    <row r="2139" spans="1:14" x14ac:dyDescent="0.3">
      <c r="A2139" s="1">
        <v>44676</v>
      </c>
      <c r="B2139" t="s">
        <v>34</v>
      </c>
      <c r="C2139" t="s">
        <v>33</v>
      </c>
      <c r="D2139" t="s">
        <v>22</v>
      </c>
      <c r="E2139">
        <v>7</v>
      </c>
      <c r="F2139">
        <v>1428</v>
      </c>
      <c r="G2139">
        <v>289.64999999999998</v>
      </c>
      <c r="H2139">
        <v>2022</v>
      </c>
      <c r="I2139" t="s">
        <v>23</v>
      </c>
      <c r="J2139" s="4">
        <v>0.20283613445378201</v>
      </c>
      <c r="K2139" t="s">
        <v>42</v>
      </c>
      <c r="L2139" t="s">
        <v>59</v>
      </c>
      <c r="M2139">
        <v>4</v>
      </c>
      <c r="N2139" t="s">
        <v>62</v>
      </c>
    </row>
    <row r="2140" spans="1:14" x14ac:dyDescent="0.3">
      <c r="A2140" s="1">
        <v>44902</v>
      </c>
      <c r="B2140" t="s">
        <v>34</v>
      </c>
      <c r="C2140" t="s">
        <v>33</v>
      </c>
      <c r="D2140" t="s">
        <v>19</v>
      </c>
      <c r="E2140">
        <v>6</v>
      </c>
      <c r="F2140">
        <v>2742</v>
      </c>
      <c r="G2140">
        <v>334.48</v>
      </c>
      <c r="H2140">
        <v>2022</v>
      </c>
      <c r="I2140" t="s">
        <v>13</v>
      </c>
      <c r="J2140" s="4">
        <v>0.12198395331874499</v>
      </c>
      <c r="K2140" t="s">
        <v>42</v>
      </c>
      <c r="L2140" t="s">
        <v>52</v>
      </c>
      <c r="M2140">
        <v>12</v>
      </c>
      <c r="N2140" t="s">
        <v>53</v>
      </c>
    </row>
    <row r="2141" spans="1:14" x14ac:dyDescent="0.3">
      <c r="A2141" s="1">
        <v>44886</v>
      </c>
      <c r="B2141" t="s">
        <v>34</v>
      </c>
      <c r="C2141" t="s">
        <v>33</v>
      </c>
      <c r="D2141" t="s">
        <v>17</v>
      </c>
      <c r="E2141">
        <v>2</v>
      </c>
      <c r="F2141">
        <v>2344</v>
      </c>
      <c r="G2141">
        <v>385.19</v>
      </c>
      <c r="H2141">
        <v>2022</v>
      </c>
      <c r="I2141" t="s">
        <v>18</v>
      </c>
      <c r="J2141" s="4">
        <v>0.16433020477815699</v>
      </c>
      <c r="K2141" t="s">
        <v>42</v>
      </c>
      <c r="L2141" t="s">
        <v>52</v>
      </c>
      <c r="M2141">
        <v>11</v>
      </c>
      <c r="N2141" t="s">
        <v>58</v>
      </c>
    </row>
    <row r="2142" spans="1:14" x14ac:dyDescent="0.3">
      <c r="A2142" s="1">
        <v>44854</v>
      </c>
      <c r="B2142" t="s">
        <v>34</v>
      </c>
      <c r="C2142" t="s">
        <v>33</v>
      </c>
      <c r="D2142" t="s">
        <v>17</v>
      </c>
      <c r="E2142">
        <v>3</v>
      </c>
      <c r="F2142">
        <v>2982</v>
      </c>
      <c r="G2142">
        <v>452.22</v>
      </c>
      <c r="H2142">
        <v>2022</v>
      </c>
      <c r="I2142" t="s">
        <v>14</v>
      </c>
      <c r="J2142" s="4">
        <v>0.15164989939637799</v>
      </c>
      <c r="K2142" t="s">
        <v>42</v>
      </c>
      <c r="L2142" t="s">
        <v>52</v>
      </c>
      <c r="M2142">
        <v>10</v>
      </c>
      <c r="N2142" t="s">
        <v>54</v>
      </c>
    </row>
    <row r="2143" spans="1:14" x14ac:dyDescent="0.3">
      <c r="A2143" s="1">
        <v>44857</v>
      </c>
      <c r="B2143" t="s">
        <v>34</v>
      </c>
      <c r="C2143" t="s">
        <v>33</v>
      </c>
      <c r="D2143" t="s">
        <v>17</v>
      </c>
      <c r="E2143">
        <v>7</v>
      </c>
      <c r="F2143">
        <v>5957</v>
      </c>
      <c r="G2143">
        <v>1077.8599999999999</v>
      </c>
      <c r="H2143">
        <v>2022</v>
      </c>
      <c r="I2143" t="s">
        <v>14</v>
      </c>
      <c r="J2143" s="4">
        <v>0.18094007050528799</v>
      </c>
      <c r="K2143" t="s">
        <v>42</v>
      </c>
      <c r="L2143" t="s">
        <v>52</v>
      </c>
      <c r="M2143">
        <v>10</v>
      </c>
      <c r="N2143" t="s">
        <v>54</v>
      </c>
    </row>
    <row r="2144" spans="1:14" x14ac:dyDescent="0.3">
      <c r="A2144" s="1">
        <v>44649</v>
      </c>
      <c r="B2144" t="s">
        <v>34</v>
      </c>
      <c r="C2144" t="s">
        <v>33</v>
      </c>
      <c r="D2144" t="s">
        <v>12</v>
      </c>
      <c r="E2144">
        <v>5</v>
      </c>
      <c r="F2144">
        <v>5430</v>
      </c>
      <c r="G2144">
        <v>310.86</v>
      </c>
      <c r="H2144">
        <v>2022</v>
      </c>
      <c r="I2144" t="s">
        <v>15</v>
      </c>
      <c r="J2144" s="4">
        <v>5.72486187845304E-2</v>
      </c>
      <c r="K2144" t="s">
        <v>42</v>
      </c>
      <c r="L2144" t="s">
        <v>55</v>
      </c>
      <c r="M2144">
        <v>3</v>
      </c>
      <c r="N2144" t="s">
        <v>56</v>
      </c>
    </row>
    <row r="2145" spans="1:14" x14ac:dyDescent="0.3">
      <c r="A2145" s="1">
        <v>44718</v>
      </c>
      <c r="B2145" t="s">
        <v>34</v>
      </c>
      <c r="C2145" t="s">
        <v>33</v>
      </c>
      <c r="D2145" t="s">
        <v>19</v>
      </c>
      <c r="E2145">
        <v>8</v>
      </c>
      <c r="F2145">
        <v>416</v>
      </c>
      <c r="G2145">
        <v>67.81</v>
      </c>
      <c r="H2145">
        <v>2022</v>
      </c>
      <c r="I2145" t="s">
        <v>27</v>
      </c>
      <c r="J2145" s="4">
        <v>0.16300480769230799</v>
      </c>
      <c r="K2145" t="s">
        <v>42</v>
      </c>
      <c r="L2145" t="s">
        <v>59</v>
      </c>
      <c r="M2145">
        <v>6</v>
      </c>
      <c r="N2145" t="s">
        <v>66</v>
      </c>
    </row>
    <row r="2146" spans="1:14" x14ac:dyDescent="0.3">
      <c r="A2146" s="1">
        <v>44800</v>
      </c>
      <c r="B2146" t="s">
        <v>34</v>
      </c>
      <c r="C2146" t="s">
        <v>33</v>
      </c>
      <c r="D2146" t="s">
        <v>22</v>
      </c>
      <c r="E2146">
        <v>7</v>
      </c>
      <c r="F2146">
        <v>4340</v>
      </c>
      <c r="G2146">
        <v>383.9</v>
      </c>
      <c r="H2146">
        <v>2022</v>
      </c>
      <c r="I2146" t="s">
        <v>24</v>
      </c>
      <c r="J2146" s="4">
        <v>8.8456221198156701E-2</v>
      </c>
      <c r="K2146" t="s">
        <v>42</v>
      </c>
      <c r="L2146" t="s">
        <v>60</v>
      </c>
      <c r="M2146">
        <v>8</v>
      </c>
      <c r="N2146" t="s">
        <v>63</v>
      </c>
    </row>
    <row r="2147" spans="1:14" x14ac:dyDescent="0.3">
      <c r="A2147" s="1">
        <v>44608</v>
      </c>
      <c r="B2147" t="s">
        <v>34</v>
      </c>
      <c r="C2147" t="s">
        <v>33</v>
      </c>
      <c r="D2147" t="s">
        <v>12</v>
      </c>
      <c r="E2147">
        <v>9</v>
      </c>
      <c r="F2147">
        <v>7362</v>
      </c>
      <c r="G2147">
        <v>1866.65</v>
      </c>
      <c r="H2147">
        <v>2022</v>
      </c>
      <c r="I2147" t="s">
        <v>16</v>
      </c>
      <c r="J2147" s="4">
        <v>0.25355202390654702</v>
      </c>
      <c r="K2147" t="s">
        <v>42</v>
      </c>
      <c r="L2147" t="s">
        <v>55</v>
      </c>
      <c r="M2147">
        <v>2</v>
      </c>
      <c r="N2147" t="s">
        <v>57</v>
      </c>
    </row>
    <row r="2148" spans="1:14" x14ac:dyDescent="0.3">
      <c r="A2148" s="1">
        <v>44630</v>
      </c>
      <c r="B2148" t="s">
        <v>34</v>
      </c>
      <c r="C2148" t="s">
        <v>33</v>
      </c>
      <c r="D2148" t="s">
        <v>19</v>
      </c>
      <c r="E2148">
        <v>5</v>
      </c>
      <c r="F2148">
        <v>5615</v>
      </c>
      <c r="G2148">
        <v>715.58</v>
      </c>
      <c r="H2148">
        <v>2022</v>
      </c>
      <c r="I2148" t="s">
        <v>15</v>
      </c>
      <c r="J2148" s="4">
        <v>0.12744078361531599</v>
      </c>
      <c r="K2148" t="s">
        <v>42</v>
      </c>
      <c r="L2148" t="s">
        <v>55</v>
      </c>
      <c r="M2148">
        <v>3</v>
      </c>
      <c r="N2148" t="s">
        <v>56</v>
      </c>
    </row>
    <row r="2149" spans="1:14" x14ac:dyDescent="0.3">
      <c r="A2149" s="1">
        <v>44887</v>
      </c>
      <c r="B2149" t="s">
        <v>34</v>
      </c>
      <c r="C2149" t="s">
        <v>33</v>
      </c>
      <c r="D2149" t="s">
        <v>22</v>
      </c>
      <c r="E2149">
        <v>6</v>
      </c>
      <c r="F2149">
        <v>2940</v>
      </c>
      <c r="G2149">
        <v>609.99</v>
      </c>
      <c r="H2149">
        <v>2022</v>
      </c>
      <c r="I2149" t="s">
        <v>18</v>
      </c>
      <c r="J2149" s="4">
        <v>0.20747959183673501</v>
      </c>
      <c r="K2149" t="s">
        <v>42</v>
      </c>
      <c r="L2149" t="s">
        <v>52</v>
      </c>
      <c r="M2149">
        <v>11</v>
      </c>
      <c r="N2149" t="s">
        <v>58</v>
      </c>
    </row>
    <row r="2150" spans="1:14" x14ac:dyDescent="0.3">
      <c r="A2150" s="1">
        <v>44920</v>
      </c>
      <c r="B2150" t="s">
        <v>34</v>
      </c>
      <c r="C2150" t="s">
        <v>33</v>
      </c>
      <c r="D2150" t="s">
        <v>17</v>
      </c>
      <c r="E2150">
        <v>5</v>
      </c>
      <c r="F2150">
        <v>3730</v>
      </c>
      <c r="G2150">
        <v>864.41</v>
      </c>
      <c r="H2150">
        <v>2022</v>
      </c>
      <c r="I2150" t="s">
        <v>13</v>
      </c>
      <c r="J2150" s="4">
        <v>0.23174530831099199</v>
      </c>
      <c r="K2150" t="s">
        <v>42</v>
      </c>
      <c r="L2150" t="s">
        <v>52</v>
      </c>
      <c r="M2150">
        <v>12</v>
      </c>
      <c r="N2150" t="s">
        <v>53</v>
      </c>
    </row>
    <row r="2151" spans="1:14" x14ac:dyDescent="0.3">
      <c r="A2151" s="1">
        <v>44830</v>
      </c>
      <c r="B2151" t="s">
        <v>34</v>
      </c>
      <c r="C2151" t="s">
        <v>33</v>
      </c>
      <c r="D2151" t="s">
        <v>22</v>
      </c>
      <c r="E2151">
        <v>8</v>
      </c>
      <c r="F2151">
        <v>4248</v>
      </c>
      <c r="G2151">
        <v>831.54</v>
      </c>
      <c r="H2151">
        <v>2022</v>
      </c>
      <c r="I2151" t="s">
        <v>21</v>
      </c>
      <c r="J2151" s="4">
        <v>0.195748587570621</v>
      </c>
      <c r="K2151" t="s">
        <v>42</v>
      </c>
      <c r="L2151" t="s">
        <v>60</v>
      </c>
      <c r="M2151">
        <v>9</v>
      </c>
      <c r="N2151" t="s">
        <v>61</v>
      </c>
    </row>
    <row r="2152" spans="1:14" x14ac:dyDescent="0.3">
      <c r="A2152" s="1">
        <v>44637</v>
      </c>
      <c r="B2152" t="s">
        <v>34</v>
      </c>
      <c r="C2152" t="s">
        <v>33</v>
      </c>
      <c r="D2152" t="s">
        <v>22</v>
      </c>
      <c r="E2152">
        <v>5</v>
      </c>
      <c r="F2152">
        <v>4200</v>
      </c>
      <c r="G2152">
        <v>746.86</v>
      </c>
      <c r="H2152">
        <v>2022</v>
      </c>
      <c r="I2152" t="s">
        <v>15</v>
      </c>
      <c r="J2152" s="4">
        <v>0.17782380952380999</v>
      </c>
      <c r="K2152" t="s">
        <v>42</v>
      </c>
      <c r="L2152" t="s">
        <v>55</v>
      </c>
      <c r="M2152">
        <v>3</v>
      </c>
      <c r="N2152" t="s">
        <v>56</v>
      </c>
    </row>
    <row r="2153" spans="1:14" x14ac:dyDescent="0.3">
      <c r="A2153" s="1">
        <v>44909</v>
      </c>
      <c r="B2153" t="s">
        <v>34</v>
      </c>
      <c r="C2153" t="s">
        <v>33</v>
      </c>
      <c r="D2153" t="s">
        <v>22</v>
      </c>
      <c r="E2153">
        <v>9</v>
      </c>
      <c r="F2153">
        <v>7875</v>
      </c>
      <c r="G2153">
        <v>1243.56</v>
      </c>
      <c r="H2153">
        <v>2022</v>
      </c>
      <c r="I2153" t="s">
        <v>13</v>
      </c>
      <c r="J2153" s="4">
        <v>0.157912380952381</v>
      </c>
      <c r="K2153" t="s">
        <v>42</v>
      </c>
      <c r="L2153" t="s">
        <v>52</v>
      </c>
      <c r="M2153">
        <v>12</v>
      </c>
      <c r="N2153" t="s">
        <v>53</v>
      </c>
    </row>
    <row r="2154" spans="1:14" x14ac:dyDescent="0.3">
      <c r="A2154" s="1">
        <v>44651</v>
      </c>
      <c r="B2154" t="s">
        <v>34</v>
      </c>
      <c r="C2154" t="s">
        <v>33</v>
      </c>
      <c r="D2154" t="s">
        <v>12</v>
      </c>
      <c r="E2154">
        <v>7</v>
      </c>
      <c r="F2154">
        <v>8008</v>
      </c>
      <c r="G2154">
        <v>1593.65</v>
      </c>
      <c r="H2154">
        <v>2022</v>
      </c>
      <c r="I2154" t="s">
        <v>15</v>
      </c>
      <c r="J2154" s="4">
        <v>0.19900724275724299</v>
      </c>
      <c r="K2154" t="s">
        <v>42</v>
      </c>
      <c r="L2154" t="s">
        <v>55</v>
      </c>
      <c r="M2154">
        <v>3</v>
      </c>
      <c r="N2154" t="s">
        <v>56</v>
      </c>
    </row>
    <row r="2155" spans="1:14" x14ac:dyDescent="0.3">
      <c r="A2155" s="1">
        <v>44589</v>
      </c>
      <c r="B2155" t="s">
        <v>34</v>
      </c>
      <c r="C2155" t="s">
        <v>33</v>
      </c>
      <c r="D2155" t="s">
        <v>17</v>
      </c>
      <c r="E2155">
        <v>6</v>
      </c>
      <c r="F2155">
        <v>606</v>
      </c>
      <c r="G2155">
        <v>104.52</v>
      </c>
      <c r="H2155">
        <v>2022</v>
      </c>
      <c r="I2155" t="s">
        <v>26</v>
      </c>
      <c r="J2155" s="4">
        <v>0.17247524752475199</v>
      </c>
      <c r="K2155" t="s">
        <v>42</v>
      </c>
      <c r="L2155" t="s">
        <v>55</v>
      </c>
      <c r="M2155">
        <v>1</v>
      </c>
      <c r="N2155" t="s">
        <v>65</v>
      </c>
    </row>
    <row r="2156" spans="1:14" x14ac:dyDescent="0.3">
      <c r="A2156" s="1">
        <v>44667</v>
      </c>
      <c r="B2156" t="s">
        <v>34</v>
      </c>
      <c r="C2156" t="s">
        <v>33</v>
      </c>
      <c r="D2156" t="s">
        <v>19</v>
      </c>
      <c r="E2156">
        <v>4</v>
      </c>
      <c r="F2156">
        <v>840</v>
      </c>
      <c r="G2156">
        <v>190.13</v>
      </c>
      <c r="H2156">
        <v>2022</v>
      </c>
      <c r="I2156" t="s">
        <v>23</v>
      </c>
      <c r="J2156" s="4">
        <v>0.22634523809523799</v>
      </c>
      <c r="K2156" t="s">
        <v>42</v>
      </c>
      <c r="L2156" t="s">
        <v>59</v>
      </c>
      <c r="M2156">
        <v>4</v>
      </c>
      <c r="N2156" t="s">
        <v>62</v>
      </c>
    </row>
    <row r="2157" spans="1:14" x14ac:dyDescent="0.3">
      <c r="A2157" s="1">
        <v>44563</v>
      </c>
      <c r="B2157" t="s">
        <v>34</v>
      </c>
      <c r="C2157" t="s">
        <v>33</v>
      </c>
      <c r="D2157" t="s">
        <v>17</v>
      </c>
      <c r="E2157">
        <v>8</v>
      </c>
      <c r="F2157">
        <v>6600</v>
      </c>
      <c r="G2157">
        <v>360.45</v>
      </c>
      <c r="H2157">
        <v>2022</v>
      </c>
      <c r="I2157" t="s">
        <v>26</v>
      </c>
      <c r="J2157" s="4">
        <v>5.4613636363636399E-2</v>
      </c>
      <c r="K2157" t="s">
        <v>42</v>
      </c>
      <c r="L2157" t="s">
        <v>55</v>
      </c>
      <c r="M2157">
        <v>1</v>
      </c>
      <c r="N2157" t="s">
        <v>65</v>
      </c>
    </row>
    <row r="2158" spans="1:14" x14ac:dyDescent="0.3">
      <c r="A2158" s="1">
        <v>44566</v>
      </c>
      <c r="B2158" t="s">
        <v>34</v>
      </c>
      <c r="C2158" t="s">
        <v>33</v>
      </c>
      <c r="D2158" t="s">
        <v>19</v>
      </c>
      <c r="E2158">
        <v>5</v>
      </c>
      <c r="F2158">
        <v>3745</v>
      </c>
      <c r="G2158">
        <v>720.08</v>
      </c>
      <c r="H2158">
        <v>2022</v>
      </c>
      <c r="I2158" t="s">
        <v>26</v>
      </c>
      <c r="J2158" s="4">
        <v>0.19227770360480601</v>
      </c>
      <c r="K2158" t="s">
        <v>42</v>
      </c>
      <c r="L2158" t="s">
        <v>55</v>
      </c>
      <c r="M2158">
        <v>1</v>
      </c>
      <c r="N2158" t="s">
        <v>65</v>
      </c>
    </row>
    <row r="2159" spans="1:14" x14ac:dyDescent="0.3">
      <c r="A2159" s="1">
        <v>44729</v>
      </c>
      <c r="B2159" t="s">
        <v>34</v>
      </c>
      <c r="C2159" t="s">
        <v>33</v>
      </c>
      <c r="D2159" t="s">
        <v>22</v>
      </c>
      <c r="E2159">
        <v>5</v>
      </c>
      <c r="F2159">
        <v>5730</v>
      </c>
      <c r="G2159">
        <v>310.58</v>
      </c>
      <c r="H2159">
        <v>2022</v>
      </c>
      <c r="I2159" t="s">
        <v>27</v>
      </c>
      <c r="J2159" s="4">
        <v>5.42024432809773E-2</v>
      </c>
      <c r="K2159" t="s">
        <v>42</v>
      </c>
      <c r="L2159" t="s">
        <v>59</v>
      </c>
      <c r="M2159">
        <v>6</v>
      </c>
      <c r="N2159" t="s">
        <v>66</v>
      </c>
    </row>
    <row r="2160" spans="1:14" x14ac:dyDescent="0.3">
      <c r="A2160" s="1">
        <v>44840</v>
      </c>
      <c r="B2160" t="s">
        <v>34</v>
      </c>
      <c r="C2160" t="s">
        <v>33</v>
      </c>
      <c r="D2160" t="s">
        <v>19</v>
      </c>
      <c r="E2160">
        <v>3</v>
      </c>
      <c r="F2160">
        <v>2688</v>
      </c>
      <c r="G2160">
        <v>476.77</v>
      </c>
      <c r="H2160">
        <v>2022</v>
      </c>
      <c r="I2160" t="s">
        <v>14</v>
      </c>
      <c r="J2160" s="4">
        <v>0.177369791666667</v>
      </c>
      <c r="K2160" t="s">
        <v>42</v>
      </c>
      <c r="L2160" t="s">
        <v>52</v>
      </c>
      <c r="M2160">
        <v>10</v>
      </c>
      <c r="N2160" t="s">
        <v>54</v>
      </c>
    </row>
    <row r="2161" spans="1:14" x14ac:dyDescent="0.3">
      <c r="A2161" s="1">
        <v>44666</v>
      </c>
      <c r="B2161" t="s">
        <v>34</v>
      </c>
      <c r="C2161" t="s">
        <v>33</v>
      </c>
      <c r="D2161" t="s">
        <v>22</v>
      </c>
      <c r="E2161">
        <v>5</v>
      </c>
      <c r="F2161">
        <v>1465</v>
      </c>
      <c r="G2161">
        <v>424.64</v>
      </c>
      <c r="H2161">
        <v>2022</v>
      </c>
      <c r="I2161" t="s">
        <v>23</v>
      </c>
      <c r="J2161" s="4">
        <v>0.28985665529010202</v>
      </c>
      <c r="K2161" t="s">
        <v>42</v>
      </c>
      <c r="L2161" t="s">
        <v>59</v>
      </c>
      <c r="M2161">
        <v>4</v>
      </c>
      <c r="N2161" t="s">
        <v>62</v>
      </c>
    </row>
    <row r="2162" spans="1:14" x14ac:dyDescent="0.3">
      <c r="A2162" s="1">
        <v>44574</v>
      </c>
      <c r="B2162" t="s">
        <v>34</v>
      </c>
      <c r="C2162" t="s">
        <v>33</v>
      </c>
      <c r="D2162" t="s">
        <v>19</v>
      </c>
      <c r="E2162">
        <v>7</v>
      </c>
      <c r="F2162">
        <v>3843</v>
      </c>
      <c r="G2162">
        <v>378.03</v>
      </c>
      <c r="H2162">
        <v>2022</v>
      </c>
      <c r="I2162" t="s">
        <v>26</v>
      </c>
      <c r="J2162" s="4">
        <v>9.8368462138953894E-2</v>
      </c>
      <c r="K2162" t="s">
        <v>42</v>
      </c>
      <c r="L2162" t="s">
        <v>55</v>
      </c>
      <c r="M2162">
        <v>1</v>
      </c>
      <c r="N2162" t="s">
        <v>65</v>
      </c>
    </row>
    <row r="2163" spans="1:14" x14ac:dyDescent="0.3">
      <c r="A2163" s="1">
        <v>44658</v>
      </c>
      <c r="B2163" t="s">
        <v>34</v>
      </c>
      <c r="C2163" t="s">
        <v>33</v>
      </c>
      <c r="D2163" t="s">
        <v>22</v>
      </c>
      <c r="E2163">
        <v>5</v>
      </c>
      <c r="F2163">
        <v>1210</v>
      </c>
      <c r="G2163">
        <v>201.45</v>
      </c>
      <c r="H2163">
        <v>2022</v>
      </c>
      <c r="I2163" t="s">
        <v>23</v>
      </c>
      <c r="J2163" s="4">
        <v>0.16648760330578499</v>
      </c>
      <c r="K2163" t="s">
        <v>42</v>
      </c>
      <c r="L2163" t="s">
        <v>59</v>
      </c>
      <c r="M2163">
        <v>4</v>
      </c>
      <c r="N2163" t="s">
        <v>62</v>
      </c>
    </row>
    <row r="2164" spans="1:14" x14ac:dyDescent="0.3">
      <c r="A2164" s="1">
        <v>44592</v>
      </c>
      <c r="B2164" t="s">
        <v>34</v>
      </c>
      <c r="C2164" t="s">
        <v>33</v>
      </c>
      <c r="D2164" t="s">
        <v>22</v>
      </c>
      <c r="E2164">
        <v>1</v>
      </c>
      <c r="F2164">
        <v>1159</v>
      </c>
      <c r="G2164">
        <v>344.22</v>
      </c>
      <c r="H2164">
        <v>2022</v>
      </c>
      <c r="I2164" t="s">
        <v>26</v>
      </c>
      <c r="J2164" s="4">
        <v>0.29699741156169102</v>
      </c>
      <c r="K2164" t="s">
        <v>42</v>
      </c>
      <c r="L2164" t="s">
        <v>55</v>
      </c>
      <c r="M2164">
        <v>1</v>
      </c>
      <c r="N2164" t="s">
        <v>65</v>
      </c>
    </row>
    <row r="2165" spans="1:14" x14ac:dyDescent="0.3">
      <c r="A2165" s="1">
        <v>44854</v>
      </c>
      <c r="B2165" t="s">
        <v>34</v>
      </c>
      <c r="C2165" t="s">
        <v>33</v>
      </c>
      <c r="D2165" t="s">
        <v>17</v>
      </c>
      <c r="E2165">
        <v>6</v>
      </c>
      <c r="F2165">
        <v>4056</v>
      </c>
      <c r="G2165">
        <v>815.1</v>
      </c>
      <c r="H2165">
        <v>2022</v>
      </c>
      <c r="I2165" t="s">
        <v>14</v>
      </c>
      <c r="J2165" s="4">
        <v>0.200961538461538</v>
      </c>
      <c r="K2165" t="s">
        <v>42</v>
      </c>
      <c r="L2165" t="s">
        <v>52</v>
      </c>
      <c r="M2165">
        <v>10</v>
      </c>
      <c r="N2165" t="s">
        <v>54</v>
      </c>
    </row>
    <row r="2166" spans="1:14" x14ac:dyDescent="0.3">
      <c r="A2166" s="1">
        <v>44643</v>
      </c>
      <c r="B2166" t="s">
        <v>34</v>
      </c>
      <c r="C2166" t="s">
        <v>33</v>
      </c>
      <c r="D2166" t="s">
        <v>17</v>
      </c>
      <c r="E2166">
        <v>3</v>
      </c>
      <c r="F2166">
        <v>369</v>
      </c>
      <c r="G2166">
        <v>19.22</v>
      </c>
      <c r="H2166">
        <v>2022</v>
      </c>
      <c r="I2166" t="s">
        <v>15</v>
      </c>
      <c r="J2166" s="4">
        <v>5.2086720867208697E-2</v>
      </c>
      <c r="K2166" t="s">
        <v>42</v>
      </c>
      <c r="L2166" t="s">
        <v>55</v>
      </c>
      <c r="M2166">
        <v>3</v>
      </c>
      <c r="N2166" t="s">
        <v>56</v>
      </c>
    </row>
    <row r="2167" spans="1:14" x14ac:dyDescent="0.3">
      <c r="A2167" s="1">
        <v>44876</v>
      </c>
      <c r="B2167" t="s">
        <v>34</v>
      </c>
      <c r="C2167" t="s">
        <v>33</v>
      </c>
      <c r="D2167" t="s">
        <v>22</v>
      </c>
      <c r="E2167">
        <v>9</v>
      </c>
      <c r="F2167">
        <v>657</v>
      </c>
      <c r="G2167">
        <v>109.39</v>
      </c>
      <c r="H2167">
        <v>2022</v>
      </c>
      <c r="I2167" t="s">
        <v>18</v>
      </c>
      <c r="J2167" s="4">
        <v>0.166499238964992</v>
      </c>
      <c r="K2167" t="s">
        <v>42</v>
      </c>
      <c r="L2167" t="s">
        <v>52</v>
      </c>
      <c r="M2167">
        <v>11</v>
      </c>
      <c r="N2167" t="s">
        <v>58</v>
      </c>
    </row>
    <row r="2168" spans="1:14" x14ac:dyDescent="0.3">
      <c r="A2168" s="1">
        <v>44905</v>
      </c>
      <c r="B2168" t="s">
        <v>34</v>
      </c>
      <c r="C2168" t="s">
        <v>33</v>
      </c>
      <c r="D2168" t="s">
        <v>19</v>
      </c>
      <c r="E2168">
        <v>5</v>
      </c>
      <c r="F2168">
        <v>4350</v>
      </c>
      <c r="G2168">
        <v>688.77</v>
      </c>
      <c r="H2168">
        <v>2022</v>
      </c>
      <c r="I2168" t="s">
        <v>13</v>
      </c>
      <c r="J2168" s="4">
        <v>0.15833793103448299</v>
      </c>
      <c r="K2168" t="s">
        <v>42</v>
      </c>
      <c r="L2168" t="s">
        <v>52</v>
      </c>
      <c r="M2168">
        <v>12</v>
      </c>
      <c r="N2168" t="s">
        <v>53</v>
      </c>
    </row>
    <row r="2169" spans="1:14" x14ac:dyDescent="0.3">
      <c r="A2169" s="1">
        <v>44590</v>
      </c>
      <c r="B2169" t="s">
        <v>34</v>
      </c>
      <c r="C2169" t="s">
        <v>33</v>
      </c>
      <c r="D2169" t="s">
        <v>22</v>
      </c>
      <c r="E2169">
        <v>8</v>
      </c>
      <c r="F2169">
        <v>2112</v>
      </c>
      <c r="G2169">
        <v>418.58</v>
      </c>
      <c r="H2169">
        <v>2022</v>
      </c>
      <c r="I2169" t="s">
        <v>26</v>
      </c>
      <c r="J2169" s="4">
        <v>0.19819128787878801</v>
      </c>
      <c r="K2169" t="s">
        <v>42</v>
      </c>
      <c r="L2169" t="s">
        <v>55</v>
      </c>
      <c r="M2169">
        <v>1</v>
      </c>
      <c r="N2169" t="s">
        <v>65</v>
      </c>
    </row>
    <row r="2170" spans="1:14" x14ac:dyDescent="0.3">
      <c r="A2170" s="1">
        <v>44785</v>
      </c>
      <c r="B2170" t="s">
        <v>34</v>
      </c>
      <c r="C2170" t="s">
        <v>33</v>
      </c>
      <c r="D2170" t="s">
        <v>19</v>
      </c>
      <c r="E2170">
        <v>4</v>
      </c>
      <c r="F2170">
        <v>392</v>
      </c>
      <c r="G2170">
        <v>39.229999999999997</v>
      </c>
      <c r="H2170">
        <v>2022</v>
      </c>
      <c r="I2170" t="s">
        <v>24</v>
      </c>
      <c r="J2170" s="4">
        <v>0.100076530612245</v>
      </c>
      <c r="K2170" t="s">
        <v>42</v>
      </c>
      <c r="L2170" t="s">
        <v>60</v>
      </c>
      <c r="M2170">
        <v>8</v>
      </c>
      <c r="N2170" t="s">
        <v>63</v>
      </c>
    </row>
    <row r="2171" spans="1:14" x14ac:dyDescent="0.3">
      <c r="A2171" s="1">
        <v>44689</v>
      </c>
      <c r="B2171" t="s">
        <v>34</v>
      </c>
      <c r="C2171" t="s">
        <v>33</v>
      </c>
      <c r="D2171" t="s">
        <v>22</v>
      </c>
      <c r="E2171">
        <v>1</v>
      </c>
      <c r="F2171">
        <v>1162</v>
      </c>
      <c r="G2171">
        <v>220.93</v>
      </c>
      <c r="H2171">
        <v>2022</v>
      </c>
      <c r="I2171" t="s">
        <v>20</v>
      </c>
      <c r="J2171" s="4">
        <v>0.19012908777969001</v>
      </c>
      <c r="K2171" t="s">
        <v>42</v>
      </c>
      <c r="L2171" t="s">
        <v>59</v>
      </c>
      <c r="M2171">
        <v>5</v>
      </c>
      <c r="N2171" t="s">
        <v>20</v>
      </c>
    </row>
    <row r="2172" spans="1:14" x14ac:dyDescent="0.3">
      <c r="A2172" s="1">
        <v>44684</v>
      </c>
      <c r="B2172" t="s">
        <v>34</v>
      </c>
      <c r="C2172" t="s">
        <v>33</v>
      </c>
      <c r="D2172" t="s">
        <v>17</v>
      </c>
      <c r="E2172">
        <v>2</v>
      </c>
      <c r="F2172">
        <v>596</v>
      </c>
      <c r="G2172">
        <v>41.37</v>
      </c>
      <c r="H2172">
        <v>2022</v>
      </c>
      <c r="I2172" t="s">
        <v>20</v>
      </c>
      <c r="J2172" s="4">
        <v>6.9412751677852297E-2</v>
      </c>
      <c r="K2172" t="s">
        <v>42</v>
      </c>
      <c r="L2172" t="s">
        <v>59</v>
      </c>
      <c r="M2172">
        <v>5</v>
      </c>
      <c r="N2172" t="s">
        <v>20</v>
      </c>
    </row>
    <row r="2173" spans="1:14" x14ac:dyDescent="0.3">
      <c r="A2173" s="1">
        <v>44590</v>
      </c>
      <c r="B2173" t="s">
        <v>34</v>
      </c>
      <c r="C2173" t="s">
        <v>33</v>
      </c>
      <c r="D2173" t="s">
        <v>12</v>
      </c>
      <c r="E2173">
        <v>1</v>
      </c>
      <c r="F2173">
        <v>1033</v>
      </c>
      <c r="G2173">
        <v>302.68</v>
      </c>
      <c r="H2173">
        <v>2022</v>
      </c>
      <c r="I2173" t="s">
        <v>26</v>
      </c>
      <c r="J2173" s="4">
        <v>0.29301064859632098</v>
      </c>
      <c r="K2173" t="s">
        <v>42</v>
      </c>
      <c r="L2173" t="s">
        <v>55</v>
      </c>
      <c r="M2173">
        <v>1</v>
      </c>
      <c r="N2173" t="s">
        <v>65</v>
      </c>
    </row>
    <row r="2174" spans="1:14" x14ac:dyDescent="0.3">
      <c r="A2174" s="1">
        <v>44649</v>
      </c>
      <c r="B2174" t="s">
        <v>34</v>
      </c>
      <c r="C2174" t="s">
        <v>33</v>
      </c>
      <c r="D2174" t="s">
        <v>17</v>
      </c>
      <c r="E2174">
        <v>2</v>
      </c>
      <c r="F2174">
        <v>1168</v>
      </c>
      <c r="G2174">
        <v>172.18</v>
      </c>
      <c r="H2174">
        <v>2022</v>
      </c>
      <c r="I2174" t="s">
        <v>15</v>
      </c>
      <c r="J2174" s="4">
        <v>0.14741438356164399</v>
      </c>
      <c r="K2174" t="s">
        <v>42</v>
      </c>
      <c r="L2174" t="s">
        <v>55</v>
      </c>
      <c r="M2174">
        <v>3</v>
      </c>
      <c r="N2174" t="s">
        <v>56</v>
      </c>
    </row>
    <row r="2175" spans="1:14" x14ac:dyDescent="0.3">
      <c r="A2175" s="1">
        <v>44696</v>
      </c>
      <c r="B2175" t="s">
        <v>34</v>
      </c>
      <c r="C2175" t="s">
        <v>33</v>
      </c>
      <c r="D2175" t="s">
        <v>17</v>
      </c>
      <c r="E2175">
        <v>8</v>
      </c>
      <c r="F2175">
        <v>2760</v>
      </c>
      <c r="G2175">
        <v>156.53</v>
      </c>
      <c r="H2175">
        <v>2022</v>
      </c>
      <c r="I2175" t="s">
        <v>20</v>
      </c>
      <c r="J2175" s="4">
        <v>5.6713768115941997E-2</v>
      </c>
      <c r="K2175" t="s">
        <v>42</v>
      </c>
      <c r="L2175" t="s">
        <v>59</v>
      </c>
      <c r="M2175">
        <v>5</v>
      </c>
      <c r="N2175" t="s">
        <v>20</v>
      </c>
    </row>
    <row r="2176" spans="1:14" x14ac:dyDescent="0.3">
      <c r="A2176" s="1">
        <v>44578</v>
      </c>
      <c r="B2176" t="s">
        <v>34</v>
      </c>
      <c r="C2176" t="s">
        <v>33</v>
      </c>
      <c r="D2176" t="s">
        <v>22</v>
      </c>
      <c r="E2176">
        <v>4</v>
      </c>
      <c r="F2176">
        <v>1316</v>
      </c>
      <c r="G2176">
        <v>244.13</v>
      </c>
      <c r="H2176">
        <v>2022</v>
      </c>
      <c r="I2176" t="s">
        <v>26</v>
      </c>
      <c r="J2176" s="4">
        <v>0.185509118541033</v>
      </c>
      <c r="K2176" t="s">
        <v>42</v>
      </c>
      <c r="L2176" t="s">
        <v>55</v>
      </c>
      <c r="M2176">
        <v>1</v>
      </c>
      <c r="N2176" t="s">
        <v>65</v>
      </c>
    </row>
    <row r="2177" spans="1:14" x14ac:dyDescent="0.3">
      <c r="A2177" s="1">
        <v>44657</v>
      </c>
      <c r="B2177" t="s">
        <v>34</v>
      </c>
      <c r="C2177" t="s">
        <v>33</v>
      </c>
      <c r="D2177" t="s">
        <v>19</v>
      </c>
      <c r="E2177">
        <v>7</v>
      </c>
      <c r="F2177">
        <v>5047</v>
      </c>
      <c r="G2177">
        <v>1356.23</v>
      </c>
      <c r="H2177">
        <v>2022</v>
      </c>
      <c r="I2177" t="s">
        <v>23</v>
      </c>
      <c r="J2177" s="4">
        <v>0.26872003170200098</v>
      </c>
      <c r="K2177" t="s">
        <v>42</v>
      </c>
      <c r="L2177" t="s">
        <v>59</v>
      </c>
      <c r="M2177">
        <v>4</v>
      </c>
      <c r="N2177" t="s">
        <v>62</v>
      </c>
    </row>
    <row r="2178" spans="1:14" x14ac:dyDescent="0.3">
      <c r="A2178" s="1">
        <v>44580</v>
      </c>
      <c r="B2178" t="s">
        <v>34</v>
      </c>
      <c r="C2178" t="s">
        <v>33</v>
      </c>
      <c r="D2178" t="s">
        <v>19</v>
      </c>
      <c r="E2178">
        <v>8</v>
      </c>
      <c r="F2178">
        <v>1896</v>
      </c>
      <c r="G2178">
        <v>448.53</v>
      </c>
      <c r="H2178">
        <v>2022</v>
      </c>
      <c r="I2178" t="s">
        <v>26</v>
      </c>
      <c r="J2178" s="4">
        <v>0.23656645569620299</v>
      </c>
      <c r="K2178" t="s">
        <v>42</v>
      </c>
      <c r="L2178" t="s">
        <v>55</v>
      </c>
      <c r="M2178">
        <v>1</v>
      </c>
      <c r="N2178" t="s">
        <v>65</v>
      </c>
    </row>
    <row r="2179" spans="1:14" x14ac:dyDescent="0.3">
      <c r="A2179" s="1">
        <v>44629</v>
      </c>
      <c r="B2179" t="s">
        <v>34</v>
      </c>
      <c r="C2179" t="s">
        <v>33</v>
      </c>
      <c r="D2179" t="s">
        <v>19</v>
      </c>
      <c r="E2179">
        <v>3</v>
      </c>
      <c r="F2179">
        <v>2172</v>
      </c>
      <c r="G2179">
        <v>364.77</v>
      </c>
      <c r="H2179">
        <v>2022</v>
      </c>
      <c r="I2179" t="s">
        <v>15</v>
      </c>
      <c r="J2179" s="4">
        <v>0.16794198895027601</v>
      </c>
      <c r="K2179" t="s">
        <v>42</v>
      </c>
      <c r="L2179" t="s">
        <v>55</v>
      </c>
      <c r="M2179">
        <v>3</v>
      </c>
      <c r="N2179" t="s">
        <v>56</v>
      </c>
    </row>
    <row r="2180" spans="1:14" x14ac:dyDescent="0.3">
      <c r="A2180" s="1">
        <v>44897</v>
      </c>
      <c r="B2180" t="s">
        <v>34</v>
      </c>
      <c r="C2180" t="s">
        <v>33</v>
      </c>
      <c r="D2180" t="s">
        <v>19</v>
      </c>
      <c r="E2180">
        <v>4</v>
      </c>
      <c r="F2180">
        <v>2580</v>
      </c>
      <c r="G2180">
        <v>669.67</v>
      </c>
      <c r="H2180">
        <v>2022</v>
      </c>
      <c r="I2180" t="s">
        <v>13</v>
      </c>
      <c r="J2180" s="4">
        <v>0.25956201550387598</v>
      </c>
      <c r="K2180" t="s">
        <v>42</v>
      </c>
      <c r="L2180" t="s">
        <v>52</v>
      </c>
      <c r="M2180">
        <v>12</v>
      </c>
      <c r="N2180" t="s">
        <v>53</v>
      </c>
    </row>
    <row r="2181" spans="1:14" x14ac:dyDescent="0.3">
      <c r="A2181" s="1">
        <v>44609</v>
      </c>
      <c r="B2181" t="s">
        <v>34</v>
      </c>
      <c r="C2181" t="s">
        <v>33</v>
      </c>
      <c r="D2181" t="s">
        <v>22</v>
      </c>
      <c r="E2181">
        <v>4</v>
      </c>
      <c r="F2181">
        <v>1156</v>
      </c>
      <c r="G2181">
        <v>326.92</v>
      </c>
      <c r="H2181">
        <v>2022</v>
      </c>
      <c r="I2181" t="s">
        <v>16</v>
      </c>
      <c r="J2181" s="4">
        <v>0.28280276816609001</v>
      </c>
      <c r="K2181" t="s">
        <v>42</v>
      </c>
      <c r="L2181" t="s">
        <v>55</v>
      </c>
      <c r="M2181">
        <v>2</v>
      </c>
      <c r="N2181" t="s">
        <v>57</v>
      </c>
    </row>
    <row r="2182" spans="1:14" x14ac:dyDescent="0.3">
      <c r="A2182" s="1">
        <v>44863</v>
      </c>
      <c r="B2182" t="s">
        <v>34</v>
      </c>
      <c r="C2182" t="s">
        <v>33</v>
      </c>
      <c r="D2182" t="s">
        <v>12</v>
      </c>
      <c r="E2182">
        <v>4</v>
      </c>
      <c r="F2182">
        <v>2536</v>
      </c>
      <c r="G2182">
        <v>148.85</v>
      </c>
      <c r="H2182">
        <v>2022</v>
      </c>
      <c r="I2182" t="s">
        <v>14</v>
      </c>
      <c r="J2182" s="4">
        <v>5.8694794952681401E-2</v>
      </c>
      <c r="K2182" t="s">
        <v>42</v>
      </c>
      <c r="L2182" t="s">
        <v>52</v>
      </c>
      <c r="M2182">
        <v>10</v>
      </c>
      <c r="N2182" t="s">
        <v>54</v>
      </c>
    </row>
    <row r="2183" spans="1:14" x14ac:dyDescent="0.3">
      <c r="A2183" s="1">
        <v>44778</v>
      </c>
      <c r="B2183" t="s">
        <v>34</v>
      </c>
      <c r="C2183" t="s">
        <v>33</v>
      </c>
      <c r="D2183" t="s">
        <v>12</v>
      </c>
      <c r="E2183">
        <v>5</v>
      </c>
      <c r="F2183">
        <v>3405</v>
      </c>
      <c r="G2183">
        <v>476.39</v>
      </c>
      <c r="H2183">
        <v>2022</v>
      </c>
      <c r="I2183" t="s">
        <v>24</v>
      </c>
      <c r="J2183" s="4">
        <v>0.139908957415565</v>
      </c>
      <c r="K2183" t="s">
        <v>42</v>
      </c>
      <c r="L2183" t="s">
        <v>60</v>
      </c>
      <c r="M2183">
        <v>8</v>
      </c>
      <c r="N2183" t="s">
        <v>63</v>
      </c>
    </row>
    <row r="2184" spans="1:14" x14ac:dyDescent="0.3">
      <c r="A2184" s="1">
        <v>44665</v>
      </c>
      <c r="B2184" t="s">
        <v>34</v>
      </c>
      <c r="C2184" t="s">
        <v>33</v>
      </c>
      <c r="D2184" t="s">
        <v>19</v>
      </c>
      <c r="E2184">
        <v>8</v>
      </c>
      <c r="F2184">
        <v>4088</v>
      </c>
      <c r="G2184">
        <v>853.36</v>
      </c>
      <c r="H2184">
        <v>2022</v>
      </c>
      <c r="I2184" t="s">
        <v>23</v>
      </c>
      <c r="J2184" s="4">
        <v>0.20874755381604701</v>
      </c>
      <c r="K2184" t="s">
        <v>42</v>
      </c>
      <c r="L2184" t="s">
        <v>59</v>
      </c>
      <c r="M2184">
        <v>4</v>
      </c>
      <c r="N2184" t="s">
        <v>62</v>
      </c>
    </row>
    <row r="2185" spans="1:14" x14ac:dyDescent="0.3">
      <c r="A2185" s="1">
        <v>44892</v>
      </c>
      <c r="B2185" t="s">
        <v>34</v>
      </c>
      <c r="C2185" t="s">
        <v>33</v>
      </c>
      <c r="D2185" t="s">
        <v>12</v>
      </c>
      <c r="E2185">
        <v>6</v>
      </c>
      <c r="F2185">
        <v>3660</v>
      </c>
      <c r="G2185">
        <v>1079</v>
      </c>
      <c r="H2185">
        <v>2022</v>
      </c>
      <c r="I2185" t="s">
        <v>18</v>
      </c>
      <c r="J2185" s="4">
        <v>0.29480874316939898</v>
      </c>
      <c r="K2185" t="s">
        <v>42</v>
      </c>
      <c r="L2185" t="s">
        <v>52</v>
      </c>
      <c r="M2185">
        <v>11</v>
      </c>
      <c r="N2185" t="s">
        <v>58</v>
      </c>
    </row>
    <row r="2186" spans="1:14" x14ac:dyDescent="0.3">
      <c r="A2186" s="1">
        <v>44669</v>
      </c>
      <c r="B2186" t="s">
        <v>34</v>
      </c>
      <c r="C2186" t="s">
        <v>33</v>
      </c>
      <c r="D2186" t="s">
        <v>17</v>
      </c>
      <c r="E2186">
        <v>6</v>
      </c>
      <c r="F2186">
        <v>4488</v>
      </c>
      <c r="G2186">
        <v>939.05</v>
      </c>
      <c r="H2186">
        <v>2022</v>
      </c>
      <c r="I2186" t="s">
        <v>23</v>
      </c>
      <c r="J2186" s="4">
        <v>0.20923573975044599</v>
      </c>
      <c r="K2186" t="s">
        <v>42</v>
      </c>
      <c r="L2186" t="s">
        <v>59</v>
      </c>
      <c r="M2186">
        <v>4</v>
      </c>
      <c r="N2186" t="s">
        <v>62</v>
      </c>
    </row>
    <row r="2187" spans="1:14" x14ac:dyDescent="0.3">
      <c r="A2187" s="1">
        <v>44763</v>
      </c>
      <c r="B2187" t="s">
        <v>34</v>
      </c>
      <c r="C2187" t="s">
        <v>33</v>
      </c>
      <c r="D2187" t="s">
        <v>22</v>
      </c>
      <c r="E2187">
        <v>4</v>
      </c>
      <c r="F2187">
        <v>2912</v>
      </c>
      <c r="G2187">
        <v>331.11</v>
      </c>
      <c r="H2187">
        <v>2022</v>
      </c>
      <c r="I2187" t="s">
        <v>25</v>
      </c>
      <c r="J2187" s="4">
        <v>0.113705357142857</v>
      </c>
      <c r="K2187" t="s">
        <v>42</v>
      </c>
      <c r="L2187" t="s">
        <v>60</v>
      </c>
      <c r="M2187">
        <v>7</v>
      </c>
      <c r="N2187" t="s">
        <v>64</v>
      </c>
    </row>
    <row r="2188" spans="1:14" x14ac:dyDescent="0.3">
      <c r="A2188" s="1">
        <v>44638</v>
      </c>
      <c r="B2188" t="s">
        <v>34</v>
      </c>
      <c r="C2188" t="s">
        <v>33</v>
      </c>
      <c r="D2188" t="s">
        <v>12</v>
      </c>
      <c r="E2188">
        <v>1</v>
      </c>
      <c r="F2188">
        <v>104</v>
      </c>
      <c r="G2188">
        <v>29.67</v>
      </c>
      <c r="H2188">
        <v>2022</v>
      </c>
      <c r="I2188" t="s">
        <v>15</v>
      </c>
      <c r="J2188" s="4">
        <v>0.28528846153846199</v>
      </c>
      <c r="K2188" t="s">
        <v>42</v>
      </c>
      <c r="L2188" t="s">
        <v>55</v>
      </c>
      <c r="M2188">
        <v>3</v>
      </c>
      <c r="N2188" t="s">
        <v>56</v>
      </c>
    </row>
    <row r="2189" spans="1:14" x14ac:dyDescent="0.3">
      <c r="A2189" s="1">
        <v>44615</v>
      </c>
      <c r="B2189" t="s">
        <v>34</v>
      </c>
      <c r="C2189" t="s">
        <v>33</v>
      </c>
      <c r="D2189" t="s">
        <v>12</v>
      </c>
      <c r="E2189">
        <v>9</v>
      </c>
      <c r="F2189">
        <v>3186</v>
      </c>
      <c r="G2189">
        <v>483.22</v>
      </c>
      <c r="H2189">
        <v>2022</v>
      </c>
      <c r="I2189" t="s">
        <v>16</v>
      </c>
      <c r="J2189" s="4">
        <v>0.15166980539861899</v>
      </c>
      <c r="K2189" t="s">
        <v>42</v>
      </c>
      <c r="L2189" t="s">
        <v>55</v>
      </c>
      <c r="M2189">
        <v>2</v>
      </c>
      <c r="N2189" t="s">
        <v>57</v>
      </c>
    </row>
    <row r="2190" spans="1:14" x14ac:dyDescent="0.3">
      <c r="A2190" s="1">
        <v>44713</v>
      </c>
      <c r="B2190" t="s">
        <v>34</v>
      </c>
      <c r="C2190" t="s">
        <v>33</v>
      </c>
      <c r="D2190" t="s">
        <v>12</v>
      </c>
      <c r="E2190">
        <v>8</v>
      </c>
      <c r="F2190">
        <v>6080</v>
      </c>
      <c r="G2190">
        <v>1171.93</v>
      </c>
      <c r="H2190">
        <v>2022</v>
      </c>
      <c r="I2190" t="s">
        <v>27</v>
      </c>
      <c r="J2190" s="4">
        <v>0.192751644736842</v>
      </c>
      <c r="K2190" t="s">
        <v>42</v>
      </c>
      <c r="L2190" t="s">
        <v>59</v>
      </c>
      <c r="M2190">
        <v>6</v>
      </c>
      <c r="N2190" t="s">
        <v>66</v>
      </c>
    </row>
    <row r="2191" spans="1:14" x14ac:dyDescent="0.3">
      <c r="A2191" s="1">
        <v>44895</v>
      </c>
      <c r="B2191" t="s">
        <v>34</v>
      </c>
      <c r="C2191" t="s">
        <v>33</v>
      </c>
      <c r="D2191" t="s">
        <v>19</v>
      </c>
      <c r="E2191">
        <v>2</v>
      </c>
      <c r="F2191">
        <v>630</v>
      </c>
      <c r="G2191">
        <v>144.13999999999999</v>
      </c>
      <c r="H2191">
        <v>2022</v>
      </c>
      <c r="I2191" t="s">
        <v>18</v>
      </c>
      <c r="J2191" s="4">
        <v>0.22879365079365099</v>
      </c>
      <c r="K2191" t="s">
        <v>42</v>
      </c>
      <c r="L2191" t="s">
        <v>52</v>
      </c>
      <c r="M2191">
        <v>11</v>
      </c>
      <c r="N2191" t="s">
        <v>58</v>
      </c>
    </row>
    <row r="2192" spans="1:14" x14ac:dyDescent="0.3">
      <c r="A2192" s="1">
        <v>44910</v>
      </c>
      <c r="B2192" t="s">
        <v>34</v>
      </c>
      <c r="C2192" t="s">
        <v>33</v>
      </c>
      <c r="D2192" t="s">
        <v>17</v>
      </c>
      <c r="E2192">
        <v>1</v>
      </c>
      <c r="F2192">
        <v>564</v>
      </c>
      <c r="G2192">
        <v>164.5</v>
      </c>
      <c r="H2192">
        <v>2022</v>
      </c>
      <c r="I2192" t="s">
        <v>13</v>
      </c>
      <c r="J2192" s="4">
        <v>0.29166666666666702</v>
      </c>
      <c r="K2192" t="s">
        <v>42</v>
      </c>
      <c r="L2192" t="s">
        <v>52</v>
      </c>
      <c r="M2192">
        <v>12</v>
      </c>
      <c r="N2192" t="s">
        <v>53</v>
      </c>
    </row>
    <row r="2193" spans="1:14" x14ac:dyDescent="0.3">
      <c r="A2193" s="1">
        <v>44773</v>
      </c>
      <c r="B2193" t="s">
        <v>34</v>
      </c>
      <c r="C2193" t="s">
        <v>33</v>
      </c>
      <c r="D2193" t="s">
        <v>12</v>
      </c>
      <c r="E2193">
        <v>3</v>
      </c>
      <c r="F2193">
        <v>1278</v>
      </c>
      <c r="G2193">
        <v>178.78</v>
      </c>
      <c r="H2193">
        <v>2022</v>
      </c>
      <c r="I2193" t="s">
        <v>25</v>
      </c>
      <c r="J2193" s="4">
        <v>0.139890453834116</v>
      </c>
      <c r="K2193" t="s">
        <v>42</v>
      </c>
      <c r="L2193" t="s">
        <v>60</v>
      </c>
      <c r="M2193">
        <v>7</v>
      </c>
      <c r="N2193" t="s">
        <v>64</v>
      </c>
    </row>
    <row r="2194" spans="1:14" x14ac:dyDescent="0.3">
      <c r="A2194" s="1">
        <v>44775</v>
      </c>
      <c r="B2194" t="s">
        <v>34</v>
      </c>
      <c r="C2194" t="s">
        <v>33</v>
      </c>
      <c r="D2194" t="s">
        <v>22</v>
      </c>
      <c r="E2194">
        <v>6</v>
      </c>
      <c r="F2194">
        <v>3384</v>
      </c>
      <c r="G2194">
        <v>924.03</v>
      </c>
      <c r="H2194">
        <v>2022</v>
      </c>
      <c r="I2194" t="s">
        <v>24</v>
      </c>
      <c r="J2194" s="4">
        <v>0.273058510638298</v>
      </c>
      <c r="K2194" t="s">
        <v>42</v>
      </c>
      <c r="L2194" t="s">
        <v>60</v>
      </c>
      <c r="M2194">
        <v>8</v>
      </c>
      <c r="N2194" t="s">
        <v>63</v>
      </c>
    </row>
    <row r="2195" spans="1:14" x14ac:dyDescent="0.3">
      <c r="A2195" s="1">
        <v>45367</v>
      </c>
      <c r="B2195" t="s">
        <v>34</v>
      </c>
      <c r="C2195" t="s">
        <v>33</v>
      </c>
      <c r="D2195" t="s">
        <v>22</v>
      </c>
      <c r="E2195">
        <v>2</v>
      </c>
      <c r="F2195">
        <v>786</v>
      </c>
      <c r="G2195">
        <v>202.87</v>
      </c>
      <c r="H2195">
        <v>2024</v>
      </c>
      <c r="I2195" t="s">
        <v>15</v>
      </c>
      <c r="J2195" s="4">
        <v>0.25810432569974601</v>
      </c>
      <c r="K2195" t="s">
        <v>41</v>
      </c>
      <c r="L2195" t="s">
        <v>55</v>
      </c>
      <c r="M2195">
        <v>3</v>
      </c>
      <c r="N2195" t="s">
        <v>56</v>
      </c>
    </row>
    <row r="2196" spans="1:14" x14ac:dyDescent="0.3">
      <c r="A2196" s="1">
        <v>45356</v>
      </c>
      <c r="B2196" t="s">
        <v>34</v>
      </c>
      <c r="C2196" t="s">
        <v>33</v>
      </c>
      <c r="D2196" t="s">
        <v>17</v>
      </c>
      <c r="E2196">
        <v>7</v>
      </c>
      <c r="F2196">
        <v>5712</v>
      </c>
      <c r="G2196">
        <v>651.27</v>
      </c>
      <c r="H2196">
        <v>2024</v>
      </c>
      <c r="I2196" t="s">
        <v>15</v>
      </c>
      <c r="J2196" s="4">
        <v>0.114017857142857</v>
      </c>
      <c r="K2196" t="s">
        <v>41</v>
      </c>
      <c r="L2196" t="s">
        <v>55</v>
      </c>
      <c r="M2196">
        <v>3</v>
      </c>
      <c r="N2196" t="s">
        <v>56</v>
      </c>
    </row>
    <row r="2197" spans="1:14" x14ac:dyDescent="0.3">
      <c r="A2197" s="1">
        <v>45313</v>
      </c>
      <c r="B2197" t="s">
        <v>34</v>
      </c>
      <c r="C2197" t="s">
        <v>33</v>
      </c>
      <c r="D2197" t="s">
        <v>12</v>
      </c>
      <c r="E2197">
        <v>4</v>
      </c>
      <c r="F2197">
        <v>988</v>
      </c>
      <c r="G2197">
        <v>147.91</v>
      </c>
      <c r="H2197">
        <v>2024</v>
      </c>
      <c r="I2197" t="s">
        <v>26</v>
      </c>
      <c r="J2197" s="4">
        <v>0.149706477732794</v>
      </c>
      <c r="K2197" t="s">
        <v>41</v>
      </c>
      <c r="L2197" t="s">
        <v>55</v>
      </c>
      <c r="M2197">
        <v>1</v>
      </c>
      <c r="N2197" t="s">
        <v>65</v>
      </c>
    </row>
    <row r="2198" spans="1:14" x14ac:dyDescent="0.3">
      <c r="A2198" s="1">
        <v>45377</v>
      </c>
      <c r="B2198" t="s">
        <v>34</v>
      </c>
      <c r="C2198" t="s">
        <v>33</v>
      </c>
      <c r="D2198" t="s">
        <v>12</v>
      </c>
      <c r="E2198">
        <v>5</v>
      </c>
      <c r="F2198">
        <v>5320</v>
      </c>
      <c r="G2198">
        <v>716.91</v>
      </c>
      <c r="H2198">
        <v>2024</v>
      </c>
      <c r="I2198" t="s">
        <v>15</v>
      </c>
      <c r="J2198" s="4">
        <v>0.13475751879699199</v>
      </c>
      <c r="K2198" t="s">
        <v>41</v>
      </c>
      <c r="L2198" t="s">
        <v>55</v>
      </c>
      <c r="M2198">
        <v>3</v>
      </c>
      <c r="N2198" t="s">
        <v>56</v>
      </c>
    </row>
    <row r="2199" spans="1:14" x14ac:dyDescent="0.3">
      <c r="A2199" s="1">
        <v>45622</v>
      </c>
      <c r="B2199" t="s">
        <v>34</v>
      </c>
      <c r="C2199" t="s">
        <v>33</v>
      </c>
      <c r="D2199" t="s">
        <v>12</v>
      </c>
      <c r="E2199">
        <v>6</v>
      </c>
      <c r="F2199">
        <v>888</v>
      </c>
      <c r="G2199">
        <v>210.39</v>
      </c>
      <c r="H2199">
        <v>2024</v>
      </c>
      <c r="I2199" t="s">
        <v>18</v>
      </c>
      <c r="J2199" s="4">
        <v>0.23692567567567599</v>
      </c>
      <c r="K2199" t="s">
        <v>41</v>
      </c>
      <c r="L2199" t="s">
        <v>52</v>
      </c>
      <c r="M2199">
        <v>11</v>
      </c>
      <c r="N2199" t="s">
        <v>58</v>
      </c>
    </row>
    <row r="2200" spans="1:14" x14ac:dyDescent="0.3">
      <c r="A2200" s="1">
        <v>45445</v>
      </c>
      <c r="B2200" t="s">
        <v>34</v>
      </c>
      <c r="C2200" t="s">
        <v>33</v>
      </c>
      <c r="D2200" t="s">
        <v>22</v>
      </c>
      <c r="E2200">
        <v>7</v>
      </c>
      <c r="F2200">
        <v>5761</v>
      </c>
      <c r="G2200">
        <v>362.48</v>
      </c>
      <c r="H2200">
        <v>2024</v>
      </c>
      <c r="I2200" t="s">
        <v>27</v>
      </c>
      <c r="J2200" s="4">
        <v>6.2919632008331894E-2</v>
      </c>
      <c r="K2200" t="s">
        <v>41</v>
      </c>
      <c r="L2200" t="s">
        <v>59</v>
      </c>
      <c r="M2200">
        <v>6</v>
      </c>
      <c r="N2200" t="s">
        <v>66</v>
      </c>
    </row>
    <row r="2201" spans="1:14" x14ac:dyDescent="0.3">
      <c r="A2201" s="1">
        <v>45323</v>
      </c>
      <c r="B2201" t="s">
        <v>34</v>
      </c>
      <c r="C2201" t="s">
        <v>33</v>
      </c>
      <c r="D2201" t="s">
        <v>19</v>
      </c>
      <c r="E2201">
        <v>4</v>
      </c>
      <c r="F2201">
        <v>3404</v>
      </c>
      <c r="G2201">
        <v>392.22</v>
      </c>
      <c r="H2201">
        <v>2024</v>
      </c>
      <c r="I2201" t="s">
        <v>16</v>
      </c>
      <c r="J2201" s="4">
        <v>0.11522326674500601</v>
      </c>
      <c r="K2201" t="s">
        <v>41</v>
      </c>
      <c r="L2201" t="s">
        <v>55</v>
      </c>
      <c r="M2201">
        <v>2</v>
      </c>
      <c r="N2201" t="s">
        <v>57</v>
      </c>
    </row>
    <row r="2202" spans="1:14" x14ac:dyDescent="0.3">
      <c r="A2202" s="1">
        <v>45452</v>
      </c>
      <c r="B2202" t="s">
        <v>34</v>
      </c>
      <c r="C2202" t="s">
        <v>33</v>
      </c>
      <c r="D2202" t="s">
        <v>17</v>
      </c>
      <c r="E2202">
        <v>3</v>
      </c>
      <c r="F2202">
        <v>1335</v>
      </c>
      <c r="G2202">
        <v>176.44</v>
      </c>
      <c r="H2202">
        <v>2024</v>
      </c>
      <c r="I2202" t="s">
        <v>27</v>
      </c>
      <c r="J2202" s="4">
        <v>0.13216479400749101</v>
      </c>
      <c r="K2202" t="s">
        <v>41</v>
      </c>
      <c r="L2202" t="s">
        <v>59</v>
      </c>
      <c r="M2202">
        <v>6</v>
      </c>
      <c r="N2202" t="s">
        <v>66</v>
      </c>
    </row>
    <row r="2203" spans="1:14" x14ac:dyDescent="0.3">
      <c r="A2203" s="1">
        <v>45558</v>
      </c>
      <c r="B2203" t="s">
        <v>34</v>
      </c>
      <c r="C2203" t="s">
        <v>33</v>
      </c>
      <c r="D2203" t="s">
        <v>17</v>
      </c>
      <c r="E2203">
        <v>6</v>
      </c>
      <c r="F2203">
        <v>4920</v>
      </c>
      <c r="G2203">
        <v>929.18</v>
      </c>
      <c r="H2203">
        <v>2024</v>
      </c>
      <c r="I2203" t="s">
        <v>21</v>
      </c>
      <c r="J2203" s="4">
        <v>0.18885772357723599</v>
      </c>
      <c r="K2203" t="s">
        <v>41</v>
      </c>
      <c r="L2203" t="s">
        <v>60</v>
      </c>
      <c r="M2203">
        <v>9</v>
      </c>
      <c r="N2203" t="s">
        <v>61</v>
      </c>
    </row>
    <row r="2204" spans="1:14" x14ac:dyDescent="0.3">
      <c r="A2204" s="1">
        <v>45472</v>
      </c>
      <c r="B2204" t="s">
        <v>34</v>
      </c>
      <c r="C2204" t="s">
        <v>33</v>
      </c>
      <c r="D2204" t="s">
        <v>12</v>
      </c>
      <c r="E2204">
        <v>9</v>
      </c>
      <c r="F2204">
        <v>7506</v>
      </c>
      <c r="G2204">
        <v>594.28</v>
      </c>
      <c r="H2204">
        <v>2024</v>
      </c>
      <c r="I2204" t="s">
        <v>27</v>
      </c>
      <c r="J2204" s="4">
        <v>7.9173994138022896E-2</v>
      </c>
      <c r="K2204" t="s">
        <v>41</v>
      </c>
      <c r="L2204" t="s">
        <v>59</v>
      </c>
      <c r="M2204">
        <v>6</v>
      </c>
      <c r="N2204" t="s">
        <v>66</v>
      </c>
    </row>
    <row r="2205" spans="1:14" x14ac:dyDescent="0.3">
      <c r="A2205" s="1">
        <v>45466</v>
      </c>
      <c r="B2205" t="s">
        <v>34</v>
      </c>
      <c r="C2205" t="s">
        <v>33</v>
      </c>
      <c r="D2205" t="s">
        <v>22</v>
      </c>
      <c r="E2205">
        <v>5</v>
      </c>
      <c r="F2205">
        <v>4915</v>
      </c>
      <c r="G2205">
        <v>1196.5999999999999</v>
      </c>
      <c r="H2205">
        <v>2024</v>
      </c>
      <c r="I2205" t="s">
        <v>27</v>
      </c>
      <c r="J2205" s="4">
        <v>0.243458799593082</v>
      </c>
      <c r="K2205" t="s">
        <v>41</v>
      </c>
      <c r="L2205" t="s">
        <v>59</v>
      </c>
      <c r="M2205">
        <v>6</v>
      </c>
      <c r="N2205" t="s">
        <v>66</v>
      </c>
    </row>
    <row r="2206" spans="1:14" x14ac:dyDescent="0.3">
      <c r="A2206" s="1">
        <v>45292</v>
      </c>
      <c r="B2206" t="s">
        <v>34</v>
      </c>
      <c r="C2206" t="s">
        <v>33</v>
      </c>
      <c r="D2206" t="s">
        <v>12</v>
      </c>
      <c r="E2206">
        <v>6</v>
      </c>
      <c r="F2206">
        <v>5790</v>
      </c>
      <c r="G2206">
        <v>1285.21</v>
      </c>
      <c r="H2206">
        <v>2024</v>
      </c>
      <c r="I2206" t="s">
        <v>26</v>
      </c>
      <c r="J2206" s="4">
        <v>0.221970639032815</v>
      </c>
      <c r="K2206" t="s">
        <v>41</v>
      </c>
      <c r="L2206" t="s">
        <v>55</v>
      </c>
      <c r="M2206">
        <v>1</v>
      </c>
      <c r="N2206" t="s">
        <v>65</v>
      </c>
    </row>
    <row r="2207" spans="1:14" x14ac:dyDescent="0.3">
      <c r="A2207" s="1">
        <v>45493</v>
      </c>
      <c r="B2207" t="s">
        <v>34</v>
      </c>
      <c r="C2207" t="s">
        <v>33</v>
      </c>
      <c r="D2207" t="s">
        <v>22</v>
      </c>
      <c r="E2207">
        <v>2</v>
      </c>
      <c r="F2207">
        <v>1254</v>
      </c>
      <c r="G2207">
        <v>250.09</v>
      </c>
      <c r="H2207">
        <v>2024</v>
      </c>
      <c r="I2207" t="s">
        <v>25</v>
      </c>
      <c r="J2207" s="4">
        <v>0.19943381180223299</v>
      </c>
      <c r="K2207" t="s">
        <v>41</v>
      </c>
      <c r="L2207" t="s">
        <v>60</v>
      </c>
      <c r="M2207">
        <v>7</v>
      </c>
      <c r="N2207" t="s">
        <v>64</v>
      </c>
    </row>
    <row r="2208" spans="1:14" x14ac:dyDescent="0.3">
      <c r="A2208" s="1">
        <v>45597</v>
      </c>
      <c r="B2208" t="s">
        <v>34</v>
      </c>
      <c r="C2208" t="s">
        <v>33</v>
      </c>
      <c r="D2208" t="s">
        <v>22</v>
      </c>
      <c r="E2208">
        <v>1</v>
      </c>
      <c r="F2208">
        <v>1058</v>
      </c>
      <c r="G2208">
        <v>207.55</v>
      </c>
      <c r="H2208">
        <v>2024</v>
      </c>
      <c r="I2208" t="s">
        <v>18</v>
      </c>
      <c r="J2208" s="4">
        <v>0.19617202268431</v>
      </c>
      <c r="K2208" t="s">
        <v>41</v>
      </c>
      <c r="L2208" t="s">
        <v>52</v>
      </c>
      <c r="M2208">
        <v>11</v>
      </c>
      <c r="N2208" t="s">
        <v>58</v>
      </c>
    </row>
    <row r="2209" spans="1:14" x14ac:dyDescent="0.3">
      <c r="A2209" s="1">
        <v>45571</v>
      </c>
      <c r="B2209" t="s">
        <v>34</v>
      </c>
      <c r="C2209" t="s">
        <v>33</v>
      </c>
      <c r="D2209" t="s">
        <v>12</v>
      </c>
      <c r="E2209">
        <v>5</v>
      </c>
      <c r="F2209">
        <v>2050</v>
      </c>
      <c r="G2209">
        <v>157.13</v>
      </c>
      <c r="H2209">
        <v>2024</v>
      </c>
      <c r="I2209" t="s">
        <v>14</v>
      </c>
      <c r="J2209" s="4">
        <v>7.6648780487804893E-2</v>
      </c>
      <c r="K2209" t="s">
        <v>41</v>
      </c>
      <c r="L2209" t="s">
        <v>52</v>
      </c>
      <c r="M2209">
        <v>10</v>
      </c>
      <c r="N2209" t="s">
        <v>54</v>
      </c>
    </row>
    <row r="2210" spans="1:14" x14ac:dyDescent="0.3">
      <c r="A2210" s="1">
        <v>45553</v>
      </c>
      <c r="B2210" t="s">
        <v>34</v>
      </c>
      <c r="C2210" t="s">
        <v>33</v>
      </c>
      <c r="D2210" t="s">
        <v>12</v>
      </c>
      <c r="E2210">
        <v>6</v>
      </c>
      <c r="F2210">
        <v>3414</v>
      </c>
      <c r="G2210">
        <v>396.92</v>
      </c>
      <c r="H2210">
        <v>2024</v>
      </c>
      <c r="I2210" t="s">
        <v>21</v>
      </c>
      <c r="J2210" s="4">
        <v>0.11626244874048</v>
      </c>
      <c r="K2210" t="s">
        <v>41</v>
      </c>
      <c r="L2210" t="s">
        <v>60</v>
      </c>
      <c r="M2210">
        <v>9</v>
      </c>
      <c r="N2210" t="s">
        <v>61</v>
      </c>
    </row>
    <row r="2211" spans="1:14" x14ac:dyDescent="0.3">
      <c r="A2211" s="1">
        <v>45435</v>
      </c>
      <c r="B2211" t="s">
        <v>34</v>
      </c>
      <c r="C2211" t="s">
        <v>33</v>
      </c>
      <c r="D2211" t="s">
        <v>22</v>
      </c>
      <c r="E2211">
        <v>3</v>
      </c>
      <c r="F2211">
        <v>1494</v>
      </c>
      <c r="G2211">
        <v>178.5</v>
      </c>
      <c r="H2211">
        <v>2024</v>
      </c>
      <c r="I2211" t="s">
        <v>20</v>
      </c>
      <c r="J2211" s="4">
        <v>0.119477911646586</v>
      </c>
      <c r="K2211" t="s">
        <v>41</v>
      </c>
      <c r="L2211" t="s">
        <v>59</v>
      </c>
      <c r="M2211">
        <v>5</v>
      </c>
      <c r="N2211" t="s">
        <v>20</v>
      </c>
    </row>
    <row r="2212" spans="1:14" x14ac:dyDescent="0.3">
      <c r="A2212" s="1">
        <v>45655</v>
      </c>
      <c r="B2212" t="s">
        <v>34</v>
      </c>
      <c r="C2212" t="s">
        <v>33</v>
      </c>
      <c r="D2212" t="s">
        <v>19</v>
      </c>
      <c r="E2212">
        <v>4</v>
      </c>
      <c r="F2212">
        <v>2956</v>
      </c>
      <c r="G2212">
        <v>451.6</v>
      </c>
      <c r="H2212">
        <v>2024</v>
      </c>
      <c r="I2212" t="s">
        <v>13</v>
      </c>
      <c r="J2212" s="4">
        <v>0.15277401894452</v>
      </c>
      <c r="K2212" t="s">
        <v>41</v>
      </c>
      <c r="L2212" t="s">
        <v>52</v>
      </c>
      <c r="M2212">
        <v>12</v>
      </c>
      <c r="N2212" t="s">
        <v>53</v>
      </c>
    </row>
    <row r="2213" spans="1:14" x14ac:dyDescent="0.3">
      <c r="A2213" s="1">
        <v>45562</v>
      </c>
      <c r="B2213" t="s">
        <v>34</v>
      </c>
      <c r="C2213" t="s">
        <v>33</v>
      </c>
      <c r="D2213" t="s">
        <v>12</v>
      </c>
      <c r="E2213">
        <v>6</v>
      </c>
      <c r="F2213">
        <v>4062</v>
      </c>
      <c r="G2213">
        <v>1087.17</v>
      </c>
      <c r="H2213">
        <v>2024</v>
      </c>
      <c r="I2213" t="s">
        <v>21</v>
      </c>
      <c r="J2213" s="4">
        <v>0.26764401772525898</v>
      </c>
      <c r="K2213" t="s">
        <v>41</v>
      </c>
      <c r="L2213" t="s">
        <v>60</v>
      </c>
      <c r="M2213">
        <v>9</v>
      </c>
      <c r="N2213" t="s">
        <v>61</v>
      </c>
    </row>
    <row r="2214" spans="1:14" x14ac:dyDescent="0.3">
      <c r="A2214" s="1">
        <v>45491</v>
      </c>
      <c r="B2214" t="s">
        <v>34</v>
      </c>
      <c r="C2214" t="s">
        <v>33</v>
      </c>
      <c r="D2214" t="s">
        <v>22</v>
      </c>
      <c r="E2214">
        <v>9</v>
      </c>
      <c r="F2214">
        <v>1620</v>
      </c>
      <c r="G2214">
        <v>294.60000000000002</v>
      </c>
      <c r="H2214">
        <v>2024</v>
      </c>
      <c r="I2214" t="s">
        <v>25</v>
      </c>
      <c r="J2214" s="4">
        <v>0.18185185185185199</v>
      </c>
      <c r="K2214" t="s">
        <v>41</v>
      </c>
      <c r="L2214" t="s">
        <v>60</v>
      </c>
      <c r="M2214">
        <v>7</v>
      </c>
      <c r="N2214" t="s">
        <v>64</v>
      </c>
    </row>
    <row r="2215" spans="1:14" x14ac:dyDescent="0.3">
      <c r="A2215" s="1">
        <v>45504</v>
      </c>
      <c r="B2215" t="s">
        <v>34</v>
      </c>
      <c r="C2215" t="s">
        <v>33</v>
      </c>
      <c r="D2215" t="s">
        <v>22</v>
      </c>
      <c r="E2215">
        <v>3</v>
      </c>
      <c r="F2215">
        <v>1785</v>
      </c>
      <c r="G2215">
        <v>244.52</v>
      </c>
      <c r="H2215">
        <v>2024</v>
      </c>
      <c r="I2215" t="s">
        <v>25</v>
      </c>
      <c r="J2215" s="4">
        <v>0.13698599439775899</v>
      </c>
      <c r="K2215" t="s">
        <v>41</v>
      </c>
      <c r="L2215" t="s">
        <v>60</v>
      </c>
      <c r="M2215">
        <v>7</v>
      </c>
      <c r="N2215" t="s">
        <v>64</v>
      </c>
    </row>
    <row r="2216" spans="1:14" x14ac:dyDescent="0.3">
      <c r="A2216" s="1">
        <v>45347</v>
      </c>
      <c r="B2216" t="s">
        <v>34</v>
      </c>
      <c r="C2216" t="s">
        <v>33</v>
      </c>
      <c r="D2216" t="s">
        <v>12</v>
      </c>
      <c r="E2216">
        <v>3</v>
      </c>
      <c r="F2216">
        <v>3480</v>
      </c>
      <c r="G2216">
        <v>560.39</v>
      </c>
      <c r="H2216">
        <v>2024</v>
      </c>
      <c r="I2216" t="s">
        <v>16</v>
      </c>
      <c r="J2216" s="4">
        <v>0.16103160919540199</v>
      </c>
      <c r="K2216" t="s">
        <v>41</v>
      </c>
      <c r="L2216" t="s">
        <v>55</v>
      </c>
      <c r="M2216">
        <v>2</v>
      </c>
      <c r="N2216" t="s">
        <v>57</v>
      </c>
    </row>
    <row r="2217" spans="1:14" x14ac:dyDescent="0.3">
      <c r="A2217" s="1">
        <v>45323</v>
      </c>
      <c r="B2217" t="s">
        <v>34</v>
      </c>
      <c r="C2217" t="s">
        <v>33</v>
      </c>
      <c r="D2217" t="s">
        <v>17</v>
      </c>
      <c r="E2217">
        <v>7</v>
      </c>
      <c r="F2217">
        <v>6972</v>
      </c>
      <c r="G2217">
        <v>969.43</v>
      </c>
      <c r="H2217">
        <v>2024</v>
      </c>
      <c r="I2217" t="s">
        <v>16</v>
      </c>
      <c r="J2217" s="4">
        <v>0.139046184738956</v>
      </c>
      <c r="K2217" t="s">
        <v>41</v>
      </c>
      <c r="L2217" t="s">
        <v>55</v>
      </c>
      <c r="M2217">
        <v>2</v>
      </c>
      <c r="N2217" t="s">
        <v>57</v>
      </c>
    </row>
    <row r="2218" spans="1:14" x14ac:dyDescent="0.3">
      <c r="A2218" s="1">
        <v>45397</v>
      </c>
      <c r="B2218" t="s">
        <v>34</v>
      </c>
      <c r="C2218" t="s">
        <v>33</v>
      </c>
      <c r="D2218" t="s">
        <v>19</v>
      </c>
      <c r="E2218">
        <v>5</v>
      </c>
      <c r="F2218">
        <v>1745</v>
      </c>
      <c r="G2218">
        <v>449.64</v>
      </c>
      <c r="H2218">
        <v>2024</v>
      </c>
      <c r="I2218" t="s">
        <v>23</v>
      </c>
      <c r="J2218" s="4">
        <v>0.25767335243553002</v>
      </c>
      <c r="K2218" t="s">
        <v>41</v>
      </c>
      <c r="L2218" t="s">
        <v>59</v>
      </c>
      <c r="M2218">
        <v>4</v>
      </c>
      <c r="N2218" t="s">
        <v>62</v>
      </c>
    </row>
    <row r="2219" spans="1:14" x14ac:dyDescent="0.3">
      <c r="A2219" s="1">
        <v>45429</v>
      </c>
      <c r="B2219" t="s">
        <v>34</v>
      </c>
      <c r="C2219" t="s">
        <v>33</v>
      </c>
      <c r="D2219" t="s">
        <v>22</v>
      </c>
      <c r="E2219">
        <v>5</v>
      </c>
      <c r="F2219">
        <v>5875</v>
      </c>
      <c r="G2219">
        <v>789.23</v>
      </c>
      <c r="H2219">
        <v>2024</v>
      </c>
      <c r="I2219" t="s">
        <v>20</v>
      </c>
      <c r="J2219" s="4">
        <v>0.134337021276596</v>
      </c>
      <c r="K2219" t="s">
        <v>41</v>
      </c>
      <c r="L2219" t="s">
        <v>59</v>
      </c>
      <c r="M2219">
        <v>5</v>
      </c>
      <c r="N2219" t="s">
        <v>20</v>
      </c>
    </row>
    <row r="2220" spans="1:14" x14ac:dyDescent="0.3">
      <c r="A2220" s="1">
        <v>45632</v>
      </c>
      <c r="B2220" t="s">
        <v>34</v>
      </c>
      <c r="C2220" t="s">
        <v>33</v>
      </c>
      <c r="D2220" t="s">
        <v>12</v>
      </c>
      <c r="E2220">
        <v>7</v>
      </c>
      <c r="F2220">
        <v>8288</v>
      </c>
      <c r="G2220">
        <v>1945.03</v>
      </c>
      <c r="H2220">
        <v>2024</v>
      </c>
      <c r="I2220" t="s">
        <v>13</v>
      </c>
      <c r="J2220" s="4">
        <v>0.23468026061776101</v>
      </c>
      <c r="K2220" t="s">
        <v>41</v>
      </c>
      <c r="L2220" t="s">
        <v>52</v>
      </c>
      <c r="M2220">
        <v>12</v>
      </c>
      <c r="N2220" t="s">
        <v>53</v>
      </c>
    </row>
    <row r="2221" spans="1:14" x14ac:dyDescent="0.3">
      <c r="A2221" s="1">
        <v>45560</v>
      </c>
      <c r="B2221" t="s">
        <v>34</v>
      </c>
      <c r="C2221" t="s">
        <v>33</v>
      </c>
      <c r="D2221" t="s">
        <v>17</v>
      </c>
      <c r="E2221">
        <v>4</v>
      </c>
      <c r="F2221">
        <v>3808</v>
      </c>
      <c r="G2221">
        <v>442.33</v>
      </c>
      <c r="H2221">
        <v>2024</v>
      </c>
      <c r="I2221" t="s">
        <v>21</v>
      </c>
      <c r="J2221" s="4">
        <v>0.116158088235294</v>
      </c>
      <c r="K2221" t="s">
        <v>41</v>
      </c>
      <c r="L2221" t="s">
        <v>60</v>
      </c>
      <c r="M2221">
        <v>9</v>
      </c>
      <c r="N2221" t="s">
        <v>61</v>
      </c>
    </row>
    <row r="2222" spans="1:14" x14ac:dyDescent="0.3">
      <c r="A2222" s="1">
        <v>45599</v>
      </c>
      <c r="B2222" t="s">
        <v>34</v>
      </c>
      <c r="C2222" t="s">
        <v>33</v>
      </c>
      <c r="D2222" t="s">
        <v>19</v>
      </c>
      <c r="E2222">
        <v>2</v>
      </c>
      <c r="F2222">
        <v>2372</v>
      </c>
      <c r="G2222">
        <v>392.07</v>
      </c>
      <c r="H2222">
        <v>2024</v>
      </c>
      <c r="I2222" t="s">
        <v>18</v>
      </c>
      <c r="J2222" s="4">
        <v>0.16529089376053999</v>
      </c>
      <c r="K2222" t="s">
        <v>41</v>
      </c>
      <c r="L2222" t="s">
        <v>52</v>
      </c>
      <c r="M2222">
        <v>11</v>
      </c>
      <c r="N2222" t="s">
        <v>58</v>
      </c>
    </row>
    <row r="2223" spans="1:14" x14ac:dyDescent="0.3">
      <c r="A2223" s="1">
        <v>45562</v>
      </c>
      <c r="B2223" t="s">
        <v>34</v>
      </c>
      <c r="C2223" t="s">
        <v>33</v>
      </c>
      <c r="D2223" t="s">
        <v>22</v>
      </c>
      <c r="E2223">
        <v>5</v>
      </c>
      <c r="F2223">
        <v>3100</v>
      </c>
      <c r="G2223">
        <v>695.28</v>
      </c>
      <c r="H2223">
        <v>2024</v>
      </c>
      <c r="I2223" t="s">
        <v>21</v>
      </c>
      <c r="J2223" s="4">
        <v>0.22428387096774199</v>
      </c>
      <c r="K2223" t="s">
        <v>41</v>
      </c>
      <c r="L2223" t="s">
        <v>60</v>
      </c>
      <c r="M2223">
        <v>9</v>
      </c>
      <c r="N2223" t="s">
        <v>61</v>
      </c>
    </row>
    <row r="2224" spans="1:14" x14ac:dyDescent="0.3">
      <c r="A2224" s="1">
        <v>45323</v>
      </c>
      <c r="B2224" t="s">
        <v>34</v>
      </c>
      <c r="C2224" t="s">
        <v>33</v>
      </c>
      <c r="D2224" t="s">
        <v>12</v>
      </c>
      <c r="E2224">
        <v>4</v>
      </c>
      <c r="F2224">
        <v>1344</v>
      </c>
      <c r="G2224">
        <v>140.52000000000001</v>
      </c>
      <c r="H2224">
        <v>2024</v>
      </c>
      <c r="I2224" t="s">
        <v>16</v>
      </c>
      <c r="J2224" s="4">
        <v>0.104553571428571</v>
      </c>
      <c r="K2224" t="s">
        <v>41</v>
      </c>
      <c r="L2224" t="s">
        <v>55</v>
      </c>
      <c r="M2224">
        <v>2</v>
      </c>
      <c r="N2224" t="s">
        <v>57</v>
      </c>
    </row>
    <row r="2225" spans="1:14" x14ac:dyDescent="0.3">
      <c r="A2225" s="1">
        <v>45432</v>
      </c>
      <c r="B2225" t="s">
        <v>34</v>
      </c>
      <c r="C2225" t="s">
        <v>33</v>
      </c>
      <c r="D2225" t="s">
        <v>12</v>
      </c>
      <c r="E2225">
        <v>3</v>
      </c>
      <c r="F2225">
        <v>3408</v>
      </c>
      <c r="G2225">
        <v>205.76</v>
      </c>
      <c r="H2225">
        <v>2024</v>
      </c>
      <c r="I2225" t="s">
        <v>20</v>
      </c>
      <c r="J2225" s="4">
        <v>6.0375586854460102E-2</v>
      </c>
      <c r="K2225" t="s">
        <v>41</v>
      </c>
      <c r="L2225" t="s">
        <v>59</v>
      </c>
      <c r="M2225">
        <v>5</v>
      </c>
      <c r="N2225" t="s">
        <v>20</v>
      </c>
    </row>
    <row r="2226" spans="1:14" x14ac:dyDescent="0.3">
      <c r="A2226" s="1">
        <v>45293</v>
      </c>
      <c r="B2226" t="s">
        <v>34</v>
      </c>
      <c r="C2226" t="s">
        <v>33</v>
      </c>
      <c r="D2226" t="s">
        <v>12</v>
      </c>
      <c r="E2226">
        <v>4</v>
      </c>
      <c r="F2226">
        <v>3428</v>
      </c>
      <c r="G2226">
        <v>305.79000000000002</v>
      </c>
      <c r="H2226">
        <v>2024</v>
      </c>
      <c r="I2226" t="s">
        <v>26</v>
      </c>
      <c r="J2226" s="4">
        <v>8.9203617269544899E-2</v>
      </c>
      <c r="K2226" t="s">
        <v>41</v>
      </c>
      <c r="L2226" t="s">
        <v>55</v>
      </c>
      <c r="M2226">
        <v>1</v>
      </c>
      <c r="N2226" t="s">
        <v>65</v>
      </c>
    </row>
    <row r="2227" spans="1:14" x14ac:dyDescent="0.3">
      <c r="A2227" s="1">
        <v>45455</v>
      </c>
      <c r="B2227" t="s">
        <v>34</v>
      </c>
      <c r="C2227" t="s">
        <v>33</v>
      </c>
      <c r="D2227" t="s">
        <v>12</v>
      </c>
      <c r="E2227">
        <v>5</v>
      </c>
      <c r="F2227">
        <v>3670</v>
      </c>
      <c r="G2227">
        <v>462.97</v>
      </c>
      <c r="H2227">
        <v>2024</v>
      </c>
      <c r="I2227" t="s">
        <v>27</v>
      </c>
      <c r="J2227" s="4">
        <v>0.126149863760218</v>
      </c>
      <c r="K2227" t="s">
        <v>41</v>
      </c>
      <c r="L2227" t="s">
        <v>59</v>
      </c>
      <c r="M2227">
        <v>6</v>
      </c>
      <c r="N2227" t="s">
        <v>66</v>
      </c>
    </row>
    <row r="2228" spans="1:14" x14ac:dyDescent="0.3">
      <c r="A2228" s="1">
        <v>45423</v>
      </c>
      <c r="B2228" t="s">
        <v>34</v>
      </c>
      <c r="C2228" t="s">
        <v>33</v>
      </c>
      <c r="D2228" t="s">
        <v>19</v>
      </c>
      <c r="E2228">
        <v>9</v>
      </c>
      <c r="F2228">
        <v>738</v>
      </c>
      <c r="G2228">
        <v>64.42</v>
      </c>
      <c r="H2228">
        <v>2024</v>
      </c>
      <c r="I2228" t="s">
        <v>20</v>
      </c>
      <c r="J2228" s="4">
        <v>8.7289972899728993E-2</v>
      </c>
      <c r="K2228" t="s">
        <v>41</v>
      </c>
      <c r="L2228" t="s">
        <v>59</v>
      </c>
      <c r="M2228">
        <v>5</v>
      </c>
      <c r="N2228" t="s">
        <v>20</v>
      </c>
    </row>
    <row r="2229" spans="1:14" x14ac:dyDescent="0.3">
      <c r="A2229" s="1">
        <v>45500</v>
      </c>
      <c r="B2229" t="s">
        <v>34</v>
      </c>
      <c r="C2229" t="s">
        <v>33</v>
      </c>
      <c r="D2229" t="s">
        <v>17</v>
      </c>
      <c r="E2229">
        <v>2</v>
      </c>
      <c r="F2229">
        <v>1366</v>
      </c>
      <c r="G2229">
        <v>298.32</v>
      </c>
      <c r="H2229">
        <v>2024</v>
      </c>
      <c r="I2229" t="s">
        <v>25</v>
      </c>
      <c r="J2229" s="4">
        <v>0.218389458272328</v>
      </c>
      <c r="K2229" t="s">
        <v>41</v>
      </c>
      <c r="L2229" t="s">
        <v>60</v>
      </c>
      <c r="M2229">
        <v>7</v>
      </c>
      <c r="N2229" t="s">
        <v>64</v>
      </c>
    </row>
    <row r="2230" spans="1:14" x14ac:dyDescent="0.3">
      <c r="A2230" s="1">
        <v>45545</v>
      </c>
      <c r="B2230" t="s">
        <v>34</v>
      </c>
      <c r="C2230" t="s">
        <v>33</v>
      </c>
      <c r="D2230" t="s">
        <v>17</v>
      </c>
      <c r="E2230">
        <v>9</v>
      </c>
      <c r="F2230">
        <v>8442</v>
      </c>
      <c r="G2230">
        <v>940.33</v>
      </c>
      <c r="H2230">
        <v>2024</v>
      </c>
      <c r="I2230" t="s">
        <v>21</v>
      </c>
      <c r="J2230" s="4">
        <v>0.111387112058754</v>
      </c>
      <c r="K2230" t="s">
        <v>41</v>
      </c>
      <c r="L2230" t="s">
        <v>60</v>
      </c>
      <c r="M2230">
        <v>9</v>
      </c>
      <c r="N2230" t="s">
        <v>61</v>
      </c>
    </row>
    <row r="2231" spans="1:14" x14ac:dyDescent="0.3">
      <c r="A2231" s="1">
        <v>45558</v>
      </c>
      <c r="B2231" t="s">
        <v>34</v>
      </c>
      <c r="C2231" t="s">
        <v>33</v>
      </c>
      <c r="D2231" t="s">
        <v>19</v>
      </c>
      <c r="E2231">
        <v>6</v>
      </c>
      <c r="F2231">
        <v>6126</v>
      </c>
      <c r="G2231">
        <v>428.38</v>
      </c>
      <c r="H2231">
        <v>2024</v>
      </c>
      <c r="I2231" t="s">
        <v>21</v>
      </c>
      <c r="J2231" s="4">
        <v>6.9928174991838093E-2</v>
      </c>
      <c r="K2231" t="s">
        <v>41</v>
      </c>
      <c r="L2231" t="s">
        <v>60</v>
      </c>
      <c r="M2231">
        <v>9</v>
      </c>
      <c r="N2231" t="s">
        <v>61</v>
      </c>
    </row>
    <row r="2232" spans="1:14" x14ac:dyDescent="0.3">
      <c r="A2232" s="1">
        <v>45469</v>
      </c>
      <c r="B2232" t="s">
        <v>34</v>
      </c>
      <c r="C2232" t="s">
        <v>33</v>
      </c>
      <c r="D2232" t="s">
        <v>19</v>
      </c>
      <c r="E2232">
        <v>2</v>
      </c>
      <c r="F2232">
        <v>1718</v>
      </c>
      <c r="G2232">
        <v>218.82</v>
      </c>
      <c r="H2232">
        <v>2024</v>
      </c>
      <c r="I2232" t="s">
        <v>27</v>
      </c>
      <c r="J2232" s="4">
        <v>0.12736903376018599</v>
      </c>
      <c r="K2232" t="s">
        <v>41</v>
      </c>
      <c r="L2232" t="s">
        <v>59</v>
      </c>
      <c r="M2232">
        <v>6</v>
      </c>
      <c r="N2232" t="s">
        <v>66</v>
      </c>
    </row>
    <row r="2233" spans="1:14" x14ac:dyDescent="0.3">
      <c r="A2233" s="1">
        <v>45637</v>
      </c>
      <c r="B2233" t="s">
        <v>34</v>
      </c>
      <c r="C2233" t="s">
        <v>33</v>
      </c>
      <c r="D2233" t="s">
        <v>22</v>
      </c>
      <c r="E2233">
        <v>7</v>
      </c>
      <c r="F2233">
        <v>2100</v>
      </c>
      <c r="G2233">
        <v>131.66999999999999</v>
      </c>
      <c r="H2233">
        <v>2024</v>
      </c>
      <c r="I2233" t="s">
        <v>13</v>
      </c>
      <c r="J2233" s="4">
        <v>6.2700000000000006E-2</v>
      </c>
      <c r="K2233" t="s">
        <v>41</v>
      </c>
      <c r="L2233" t="s">
        <v>52</v>
      </c>
      <c r="M2233">
        <v>12</v>
      </c>
      <c r="N2233" t="s">
        <v>53</v>
      </c>
    </row>
    <row r="2234" spans="1:14" x14ac:dyDescent="0.3">
      <c r="A2234" s="1">
        <v>45632</v>
      </c>
      <c r="B2234" t="s">
        <v>34</v>
      </c>
      <c r="C2234" t="s">
        <v>33</v>
      </c>
      <c r="D2234" t="s">
        <v>19</v>
      </c>
      <c r="E2234">
        <v>8</v>
      </c>
      <c r="F2234">
        <v>2632</v>
      </c>
      <c r="G2234">
        <v>262.55</v>
      </c>
      <c r="H2234">
        <v>2024</v>
      </c>
      <c r="I2234" t="s">
        <v>13</v>
      </c>
      <c r="J2234" s="4">
        <v>9.9753039513677796E-2</v>
      </c>
      <c r="K2234" t="s">
        <v>41</v>
      </c>
      <c r="L2234" t="s">
        <v>52</v>
      </c>
      <c r="M2234">
        <v>12</v>
      </c>
      <c r="N2234" t="s">
        <v>53</v>
      </c>
    </row>
    <row r="2235" spans="1:14" x14ac:dyDescent="0.3">
      <c r="A2235" s="1">
        <v>45317</v>
      </c>
      <c r="B2235" t="s">
        <v>34</v>
      </c>
      <c r="C2235" t="s">
        <v>33</v>
      </c>
      <c r="D2235" t="s">
        <v>22</v>
      </c>
      <c r="E2235">
        <v>2</v>
      </c>
      <c r="F2235">
        <v>290</v>
      </c>
      <c r="G2235">
        <v>50.23</v>
      </c>
      <c r="H2235">
        <v>2024</v>
      </c>
      <c r="I2235" t="s">
        <v>26</v>
      </c>
      <c r="J2235" s="4">
        <v>0.173206896551724</v>
      </c>
      <c r="K2235" t="s">
        <v>41</v>
      </c>
      <c r="L2235" t="s">
        <v>55</v>
      </c>
      <c r="M2235">
        <v>1</v>
      </c>
      <c r="N2235" t="s">
        <v>65</v>
      </c>
    </row>
    <row r="2236" spans="1:14" x14ac:dyDescent="0.3">
      <c r="A2236" s="1">
        <v>45550</v>
      </c>
      <c r="B2236" t="s">
        <v>34</v>
      </c>
      <c r="C2236" t="s">
        <v>33</v>
      </c>
      <c r="D2236" t="s">
        <v>12</v>
      </c>
      <c r="E2236">
        <v>7</v>
      </c>
      <c r="F2236">
        <v>2751</v>
      </c>
      <c r="G2236">
        <v>675.95</v>
      </c>
      <c r="H2236">
        <v>2024</v>
      </c>
      <c r="I2236" t="s">
        <v>21</v>
      </c>
      <c r="J2236" s="4">
        <v>0.24571065067248299</v>
      </c>
      <c r="K2236" t="s">
        <v>41</v>
      </c>
      <c r="L2236" t="s">
        <v>60</v>
      </c>
      <c r="M2236">
        <v>9</v>
      </c>
      <c r="N2236" t="s">
        <v>61</v>
      </c>
    </row>
    <row r="2237" spans="1:14" x14ac:dyDescent="0.3">
      <c r="A2237" s="1">
        <v>45556</v>
      </c>
      <c r="B2237" t="s">
        <v>34</v>
      </c>
      <c r="C2237" t="s">
        <v>33</v>
      </c>
      <c r="D2237" t="s">
        <v>12</v>
      </c>
      <c r="E2237">
        <v>9</v>
      </c>
      <c r="F2237">
        <v>7200</v>
      </c>
      <c r="G2237">
        <v>1469.23</v>
      </c>
      <c r="H2237">
        <v>2024</v>
      </c>
      <c r="I2237" t="s">
        <v>21</v>
      </c>
      <c r="J2237" s="4">
        <v>0.20405972222222199</v>
      </c>
      <c r="K2237" t="s">
        <v>41</v>
      </c>
      <c r="L2237" t="s">
        <v>60</v>
      </c>
      <c r="M2237">
        <v>9</v>
      </c>
      <c r="N2237" t="s">
        <v>61</v>
      </c>
    </row>
    <row r="2238" spans="1:14" x14ac:dyDescent="0.3">
      <c r="A2238" s="1">
        <v>45637</v>
      </c>
      <c r="B2238" t="s">
        <v>34</v>
      </c>
      <c r="C2238" t="s">
        <v>33</v>
      </c>
      <c r="D2238" t="s">
        <v>17</v>
      </c>
      <c r="E2238">
        <v>9</v>
      </c>
      <c r="F2238">
        <v>558</v>
      </c>
      <c r="G2238">
        <v>38.86</v>
      </c>
      <c r="H2238">
        <v>2024</v>
      </c>
      <c r="I2238" t="s">
        <v>13</v>
      </c>
      <c r="J2238" s="4">
        <v>6.9641577060931895E-2</v>
      </c>
      <c r="K2238" t="s">
        <v>41</v>
      </c>
      <c r="L2238" t="s">
        <v>52</v>
      </c>
      <c r="M2238">
        <v>12</v>
      </c>
      <c r="N2238" t="s">
        <v>53</v>
      </c>
    </row>
    <row r="2239" spans="1:14" x14ac:dyDescent="0.3">
      <c r="A2239" s="1">
        <v>45297</v>
      </c>
      <c r="B2239" t="s">
        <v>34</v>
      </c>
      <c r="C2239" t="s">
        <v>33</v>
      </c>
      <c r="D2239" t="s">
        <v>17</v>
      </c>
      <c r="E2239">
        <v>1</v>
      </c>
      <c r="F2239">
        <v>373</v>
      </c>
      <c r="G2239">
        <v>72.17</v>
      </c>
      <c r="H2239">
        <v>2024</v>
      </c>
      <c r="I2239" t="s">
        <v>26</v>
      </c>
      <c r="J2239" s="4">
        <v>0.19348525469168901</v>
      </c>
      <c r="K2239" t="s">
        <v>41</v>
      </c>
      <c r="L2239" t="s">
        <v>55</v>
      </c>
      <c r="M2239">
        <v>1</v>
      </c>
      <c r="N2239" t="s">
        <v>65</v>
      </c>
    </row>
    <row r="2240" spans="1:14" x14ac:dyDescent="0.3">
      <c r="A2240" s="1">
        <v>45520</v>
      </c>
      <c r="B2240" t="s">
        <v>34</v>
      </c>
      <c r="C2240" t="s">
        <v>33</v>
      </c>
      <c r="D2240" t="s">
        <v>19</v>
      </c>
      <c r="E2240">
        <v>6</v>
      </c>
      <c r="F2240">
        <v>4698</v>
      </c>
      <c r="G2240">
        <v>1020.11</v>
      </c>
      <c r="H2240">
        <v>2024</v>
      </c>
      <c r="I2240" t="s">
        <v>24</v>
      </c>
      <c r="J2240" s="4">
        <v>0.217137079608344</v>
      </c>
      <c r="K2240" t="s">
        <v>41</v>
      </c>
      <c r="L2240" t="s">
        <v>60</v>
      </c>
      <c r="M2240">
        <v>8</v>
      </c>
      <c r="N2240" t="s">
        <v>63</v>
      </c>
    </row>
    <row r="2241" spans="1:14" x14ac:dyDescent="0.3">
      <c r="A2241" s="1">
        <v>45483</v>
      </c>
      <c r="B2241" t="s">
        <v>34</v>
      </c>
      <c r="C2241" t="s">
        <v>33</v>
      </c>
      <c r="D2241" t="s">
        <v>17</v>
      </c>
      <c r="E2241">
        <v>1</v>
      </c>
      <c r="F2241">
        <v>693</v>
      </c>
      <c r="G2241">
        <v>62.75</v>
      </c>
      <c r="H2241">
        <v>2024</v>
      </c>
      <c r="I2241" t="s">
        <v>25</v>
      </c>
      <c r="J2241" s="4">
        <v>9.05483405483406E-2</v>
      </c>
      <c r="K2241" t="s">
        <v>41</v>
      </c>
      <c r="L2241" t="s">
        <v>60</v>
      </c>
      <c r="M2241">
        <v>7</v>
      </c>
      <c r="N2241" t="s">
        <v>64</v>
      </c>
    </row>
    <row r="2242" spans="1:14" x14ac:dyDescent="0.3">
      <c r="A2242" s="1">
        <v>45333</v>
      </c>
      <c r="B2242" t="s">
        <v>34</v>
      </c>
      <c r="C2242" t="s">
        <v>33</v>
      </c>
      <c r="D2242" t="s">
        <v>19</v>
      </c>
      <c r="E2242">
        <v>6</v>
      </c>
      <c r="F2242">
        <v>4098</v>
      </c>
      <c r="G2242">
        <v>1174.46</v>
      </c>
      <c r="H2242">
        <v>2024</v>
      </c>
      <c r="I2242" t="s">
        <v>16</v>
      </c>
      <c r="J2242" s="4">
        <v>0.2865934602245</v>
      </c>
      <c r="K2242" t="s">
        <v>41</v>
      </c>
      <c r="L2242" t="s">
        <v>55</v>
      </c>
      <c r="M2242">
        <v>2</v>
      </c>
      <c r="N2242" t="s">
        <v>57</v>
      </c>
    </row>
    <row r="2243" spans="1:14" x14ac:dyDescent="0.3">
      <c r="A2243" s="1">
        <v>45371</v>
      </c>
      <c r="B2243" t="s">
        <v>34</v>
      </c>
      <c r="C2243" t="s">
        <v>33</v>
      </c>
      <c r="D2243" t="s">
        <v>17</v>
      </c>
      <c r="E2243">
        <v>7</v>
      </c>
      <c r="F2243">
        <v>3031</v>
      </c>
      <c r="G2243">
        <v>417.5</v>
      </c>
      <c r="H2243">
        <v>2024</v>
      </c>
      <c r="I2243" t="s">
        <v>15</v>
      </c>
      <c r="J2243" s="4">
        <v>0.13774331903662199</v>
      </c>
      <c r="K2243" t="s">
        <v>41</v>
      </c>
      <c r="L2243" t="s">
        <v>55</v>
      </c>
      <c r="M2243">
        <v>3</v>
      </c>
      <c r="N2243" t="s">
        <v>56</v>
      </c>
    </row>
    <row r="2244" spans="1:14" x14ac:dyDescent="0.3">
      <c r="A2244" s="1">
        <v>45459</v>
      </c>
      <c r="B2244" t="s">
        <v>34</v>
      </c>
      <c r="C2244" t="s">
        <v>33</v>
      </c>
      <c r="D2244" t="s">
        <v>12</v>
      </c>
      <c r="E2244">
        <v>6</v>
      </c>
      <c r="F2244">
        <v>2214</v>
      </c>
      <c r="G2244">
        <v>322.73</v>
      </c>
      <c r="H2244">
        <v>2024</v>
      </c>
      <c r="I2244" t="s">
        <v>27</v>
      </c>
      <c r="J2244" s="4">
        <v>0.145767841011743</v>
      </c>
      <c r="K2244" t="s">
        <v>41</v>
      </c>
      <c r="L2244" t="s">
        <v>59</v>
      </c>
      <c r="M2244">
        <v>6</v>
      </c>
      <c r="N2244" t="s">
        <v>66</v>
      </c>
    </row>
    <row r="2245" spans="1:14" x14ac:dyDescent="0.3">
      <c r="A2245" s="1">
        <v>45385</v>
      </c>
      <c r="B2245" t="s">
        <v>34</v>
      </c>
      <c r="C2245" t="s">
        <v>33</v>
      </c>
      <c r="D2245" t="s">
        <v>12</v>
      </c>
      <c r="E2245">
        <v>8</v>
      </c>
      <c r="F2245">
        <v>2384</v>
      </c>
      <c r="G2245">
        <v>120.28</v>
      </c>
      <c r="H2245">
        <v>2024</v>
      </c>
      <c r="I2245" t="s">
        <v>23</v>
      </c>
      <c r="J2245" s="4">
        <v>5.0453020134228199E-2</v>
      </c>
      <c r="K2245" t="s">
        <v>41</v>
      </c>
      <c r="L2245" t="s">
        <v>59</v>
      </c>
      <c r="M2245">
        <v>4</v>
      </c>
      <c r="N2245" t="s">
        <v>62</v>
      </c>
    </row>
    <row r="2246" spans="1:14" x14ac:dyDescent="0.3">
      <c r="A2246" s="1">
        <v>45402</v>
      </c>
      <c r="B2246" t="s">
        <v>34</v>
      </c>
      <c r="C2246" t="s">
        <v>33</v>
      </c>
      <c r="D2246" t="s">
        <v>12</v>
      </c>
      <c r="E2246">
        <v>9</v>
      </c>
      <c r="F2246">
        <v>9918</v>
      </c>
      <c r="G2246">
        <v>1956.17</v>
      </c>
      <c r="H2246">
        <v>2024</v>
      </c>
      <c r="I2246" t="s">
        <v>23</v>
      </c>
      <c r="J2246" s="4">
        <v>0.19723432143577299</v>
      </c>
      <c r="K2246" t="s">
        <v>41</v>
      </c>
      <c r="L2246" t="s">
        <v>59</v>
      </c>
      <c r="M2246">
        <v>4</v>
      </c>
      <c r="N2246" t="s">
        <v>62</v>
      </c>
    </row>
    <row r="2247" spans="1:14" x14ac:dyDescent="0.3">
      <c r="A2247" s="1">
        <v>45629</v>
      </c>
      <c r="B2247" t="s">
        <v>34</v>
      </c>
      <c r="C2247" t="s">
        <v>33</v>
      </c>
      <c r="D2247" t="s">
        <v>22</v>
      </c>
      <c r="E2247">
        <v>9</v>
      </c>
      <c r="F2247">
        <v>3573</v>
      </c>
      <c r="G2247">
        <v>550.44000000000005</v>
      </c>
      <c r="H2247">
        <v>2024</v>
      </c>
      <c r="I2247" t="s">
        <v>13</v>
      </c>
      <c r="J2247" s="4">
        <v>0.15405541561712799</v>
      </c>
      <c r="K2247" t="s">
        <v>41</v>
      </c>
      <c r="L2247" t="s">
        <v>52</v>
      </c>
      <c r="M2247">
        <v>12</v>
      </c>
      <c r="N2247" t="s">
        <v>53</v>
      </c>
    </row>
    <row r="2248" spans="1:14" x14ac:dyDescent="0.3">
      <c r="A2248" s="1">
        <v>45615</v>
      </c>
      <c r="B2248" t="s">
        <v>34</v>
      </c>
      <c r="C2248" t="s">
        <v>33</v>
      </c>
      <c r="D2248" t="s">
        <v>22</v>
      </c>
      <c r="E2248">
        <v>1</v>
      </c>
      <c r="F2248">
        <v>1138</v>
      </c>
      <c r="G2248">
        <v>243.36</v>
      </c>
      <c r="H2248">
        <v>2024</v>
      </c>
      <c r="I2248" t="s">
        <v>18</v>
      </c>
      <c r="J2248" s="4">
        <v>0.21384885764499101</v>
      </c>
      <c r="K2248" t="s">
        <v>41</v>
      </c>
      <c r="L2248" t="s">
        <v>52</v>
      </c>
      <c r="M2248">
        <v>11</v>
      </c>
      <c r="N2248" t="s">
        <v>58</v>
      </c>
    </row>
    <row r="2249" spans="1:14" x14ac:dyDescent="0.3">
      <c r="A2249" s="1">
        <v>45332</v>
      </c>
      <c r="B2249" t="s">
        <v>34</v>
      </c>
      <c r="C2249" t="s">
        <v>33</v>
      </c>
      <c r="D2249" t="s">
        <v>19</v>
      </c>
      <c r="E2249">
        <v>1</v>
      </c>
      <c r="F2249">
        <v>109</v>
      </c>
      <c r="G2249">
        <v>10.35</v>
      </c>
      <c r="H2249">
        <v>2024</v>
      </c>
      <c r="I2249" t="s">
        <v>16</v>
      </c>
      <c r="J2249" s="4">
        <v>9.4954128440367006E-2</v>
      </c>
      <c r="K2249" t="s">
        <v>41</v>
      </c>
      <c r="L2249" t="s">
        <v>55</v>
      </c>
      <c r="M2249">
        <v>2</v>
      </c>
      <c r="N2249" t="s">
        <v>57</v>
      </c>
    </row>
    <row r="2250" spans="1:14" x14ac:dyDescent="0.3">
      <c r="A2250" s="1">
        <v>45459</v>
      </c>
      <c r="B2250" t="s">
        <v>34</v>
      </c>
      <c r="C2250" t="s">
        <v>33</v>
      </c>
      <c r="D2250" t="s">
        <v>19</v>
      </c>
      <c r="E2250">
        <v>9</v>
      </c>
      <c r="F2250">
        <v>8082</v>
      </c>
      <c r="G2250">
        <v>1783.55</v>
      </c>
      <c r="H2250">
        <v>2024</v>
      </c>
      <c r="I2250" t="s">
        <v>27</v>
      </c>
      <c r="J2250" s="4">
        <v>0.22068176194011399</v>
      </c>
      <c r="K2250" t="s">
        <v>41</v>
      </c>
      <c r="L2250" t="s">
        <v>59</v>
      </c>
      <c r="M2250">
        <v>6</v>
      </c>
      <c r="N2250" t="s">
        <v>66</v>
      </c>
    </row>
    <row r="2251" spans="1:14" x14ac:dyDescent="0.3">
      <c r="A2251" s="1">
        <v>45579</v>
      </c>
      <c r="B2251" t="s">
        <v>34</v>
      </c>
      <c r="C2251" t="s">
        <v>33</v>
      </c>
      <c r="D2251" t="s">
        <v>12</v>
      </c>
      <c r="E2251">
        <v>2</v>
      </c>
      <c r="F2251">
        <v>1226</v>
      </c>
      <c r="G2251">
        <v>124.25</v>
      </c>
      <c r="H2251">
        <v>2024</v>
      </c>
      <c r="I2251" t="s">
        <v>14</v>
      </c>
      <c r="J2251" s="4">
        <v>0.101345840130506</v>
      </c>
      <c r="K2251" t="s">
        <v>41</v>
      </c>
      <c r="L2251" t="s">
        <v>52</v>
      </c>
      <c r="M2251">
        <v>10</v>
      </c>
      <c r="N2251" t="s">
        <v>54</v>
      </c>
    </row>
    <row r="2252" spans="1:14" x14ac:dyDescent="0.3">
      <c r="A2252" s="1">
        <v>45328</v>
      </c>
      <c r="B2252" t="s">
        <v>34</v>
      </c>
      <c r="C2252" t="s">
        <v>33</v>
      </c>
      <c r="D2252" t="s">
        <v>12</v>
      </c>
      <c r="E2252">
        <v>9</v>
      </c>
      <c r="F2252">
        <v>2736</v>
      </c>
      <c r="G2252">
        <v>407.22</v>
      </c>
      <c r="H2252">
        <v>2024</v>
      </c>
      <c r="I2252" t="s">
        <v>16</v>
      </c>
      <c r="J2252" s="4">
        <v>0.14883771929824599</v>
      </c>
      <c r="K2252" t="s">
        <v>41</v>
      </c>
      <c r="L2252" t="s">
        <v>55</v>
      </c>
      <c r="M2252">
        <v>2</v>
      </c>
      <c r="N2252" t="s">
        <v>57</v>
      </c>
    </row>
    <row r="2253" spans="1:14" x14ac:dyDescent="0.3">
      <c r="A2253" s="1">
        <v>45656</v>
      </c>
      <c r="B2253" t="s">
        <v>34</v>
      </c>
      <c r="C2253" t="s">
        <v>33</v>
      </c>
      <c r="D2253" t="s">
        <v>17</v>
      </c>
      <c r="E2253">
        <v>1</v>
      </c>
      <c r="F2253">
        <v>746</v>
      </c>
      <c r="G2253">
        <v>131.25</v>
      </c>
      <c r="H2253">
        <v>2024</v>
      </c>
      <c r="I2253" t="s">
        <v>13</v>
      </c>
      <c r="J2253" s="4">
        <v>0.175938337801609</v>
      </c>
      <c r="K2253" t="s">
        <v>41</v>
      </c>
      <c r="L2253" t="s">
        <v>52</v>
      </c>
      <c r="M2253">
        <v>12</v>
      </c>
      <c r="N2253" t="s">
        <v>53</v>
      </c>
    </row>
    <row r="2254" spans="1:14" x14ac:dyDescent="0.3">
      <c r="A2254" s="1">
        <v>45421</v>
      </c>
      <c r="B2254" t="s">
        <v>34</v>
      </c>
      <c r="C2254" t="s">
        <v>33</v>
      </c>
      <c r="D2254" t="s">
        <v>22</v>
      </c>
      <c r="E2254">
        <v>8</v>
      </c>
      <c r="F2254">
        <v>3568</v>
      </c>
      <c r="G2254">
        <v>334.13</v>
      </c>
      <c r="H2254">
        <v>2024</v>
      </c>
      <c r="I2254" t="s">
        <v>20</v>
      </c>
      <c r="J2254" s="4">
        <v>9.3646300448430503E-2</v>
      </c>
      <c r="K2254" t="s">
        <v>41</v>
      </c>
      <c r="L2254" t="s">
        <v>59</v>
      </c>
      <c r="M2254">
        <v>5</v>
      </c>
      <c r="N2254" t="s">
        <v>20</v>
      </c>
    </row>
    <row r="2255" spans="1:14" x14ac:dyDescent="0.3">
      <c r="A2255" s="1">
        <v>45607</v>
      </c>
      <c r="B2255" t="s">
        <v>34</v>
      </c>
      <c r="C2255" t="s">
        <v>33</v>
      </c>
      <c r="D2255" t="s">
        <v>12</v>
      </c>
      <c r="E2255">
        <v>3</v>
      </c>
      <c r="F2255">
        <v>1989</v>
      </c>
      <c r="G2255">
        <v>419.61</v>
      </c>
      <c r="H2255">
        <v>2024</v>
      </c>
      <c r="I2255" t="s">
        <v>18</v>
      </c>
      <c r="J2255" s="4">
        <v>0.210965309200603</v>
      </c>
      <c r="K2255" t="s">
        <v>41</v>
      </c>
      <c r="L2255" t="s">
        <v>52</v>
      </c>
      <c r="M2255">
        <v>11</v>
      </c>
      <c r="N2255" t="s">
        <v>58</v>
      </c>
    </row>
    <row r="2256" spans="1:14" x14ac:dyDescent="0.3">
      <c r="A2256" s="1">
        <v>45412</v>
      </c>
      <c r="B2256" t="s">
        <v>34</v>
      </c>
      <c r="C2256" t="s">
        <v>33</v>
      </c>
      <c r="D2256" t="s">
        <v>17</v>
      </c>
      <c r="E2256">
        <v>9</v>
      </c>
      <c r="F2256">
        <v>4005</v>
      </c>
      <c r="G2256">
        <v>652.15</v>
      </c>
      <c r="H2256">
        <v>2024</v>
      </c>
      <c r="I2256" t="s">
        <v>23</v>
      </c>
      <c r="J2256" s="4">
        <v>0.16283395755305899</v>
      </c>
      <c r="K2256" t="s">
        <v>41</v>
      </c>
      <c r="L2256" t="s">
        <v>59</v>
      </c>
      <c r="M2256">
        <v>4</v>
      </c>
      <c r="N2256" t="s">
        <v>62</v>
      </c>
    </row>
    <row r="2257" spans="1:14" x14ac:dyDescent="0.3">
      <c r="A2257" s="1">
        <v>45506</v>
      </c>
      <c r="B2257" t="s">
        <v>34</v>
      </c>
      <c r="C2257" t="s">
        <v>33</v>
      </c>
      <c r="D2257" t="s">
        <v>12</v>
      </c>
      <c r="E2257">
        <v>3</v>
      </c>
      <c r="F2257">
        <v>1245</v>
      </c>
      <c r="G2257">
        <v>229.73</v>
      </c>
      <c r="H2257">
        <v>2024</v>
      </c>
      <c r="I2257" t="s">
        <v>24</v>
      </c>
      <c r="J2257" s="4">
        <v>0.18452208835341399</v>
      </c>
      <c r="K2257" t="s">
        <v>41</v>
      </c>
      <c r="L2257" t="s">
        <v>60</v>
      </c>
      <c r="M2257">
        <v>8</v>
      </c>
      <c r="N2257" t="s">
        <v>63</v>
      </c>
    </row>
    <row r="2258" spans="1:14" x14ac:dyDescent="0.3">
      <c r="A2258" s="1">
        <v>45433</v>
      </c>
      <c r="B2258" t="s">
        <v>34</v>
      </c>
      <c r="C2258" t="s">
        <v>33</v>
      </c>
      <c r="D2258" t="s">
        <v>17</v>
      </c>
      <c r="E2258">
        <v>3</v>
      </c>
      <c r="F2258">
        <v>1842</v>
      </c>
      <c r="G2258">
        <v>112.85</v>
      </c>
      <c r="H2258">
        <v>2024</v>
      </c>
      <c r="I2258" t="s">
        <v>20</v>
      </c>
      <c r="J2258" s="4">
        <v>6.1264929424538497E-2</v>
      </c>
      <c r="K2258" t="s">
        <v>41</v>
      </c>
      <c r="L2258" t="s">
        <v>59</v>
      </c>
      <c r="M2258">
        <v>5</v>
      </c>
      <c r="N2258" t="s">
        <v>20</v>
      </c>
    </row>
    <row r="2259" spans="1:14" x14ac:dyDescent="0.3">
      <c r="A2259" s="1">
        <v>45426</v>
      </c>
      <c r="B2259" t="s">
        <v>34</v>
      </c>
      <c r="C2259" t="s">
        <v>33</v>
      </c>
      <c r="D2259" t="s">
        <v>22</v>
      </c>
      <c r="E2259">
        <v>1</v>
      </c>
      <c r="F2259">
        <v>384</v>
      </c>
      <c r="G2259">
        <v>35.36</v>
      </c>
      <c r="H2259">
        <v>2024</v>
      </c>
      <c r="I2259" t="s">
        <v>20</v>
      </c>
      <c r="J2259" s="4">
        <v>9.2083333333333406E-2</v>
      </c>
      <c r="K2259" t="s">
        <v>41</v>
      </c>
      <c r="L2259" t="s">
        <v>59</v>
      </c>
      <c r="M2259">
        <v>5</v>
      </c>
      <c r="N2259" t="s">
        <v>20</v>
      </c>
    </row>
    <row r="2260" spans="1:14" x14ac:dyDescent="0.3">
      <c r="A2260" s="1">
        <v>45347</v>
      </c>
      <c r="B2260" t="s">
        <v>34</v>
      </c>
      <c r="C2260" t="s">
        <v>33</v>
      </c>
      <c r="D2260" t="s">
        <v>12</v>
      </c>
      <c r="E2260">
        <v>5</v>
      </c>
      <c r="F2260">
        <v>3695</v>
      </c>
      <c r="G2260">
        <v>463.57</v>
      </c>
      <c r="H2260">
        <v>2024</v>
      </c>
      <c r="I2260" t="s">
        <v>16</v>
      </c>
      <c r="J2260" s="4">
        <v>0.125458728010825</v>
      </c>
      <c r="K2260" t="s">
        <v>41</v>
      </c>
      <c r="L2260" t="s">
        <v>55</v>
      </c>
      <c r="M2260">
        <v>2</v>
      </c>
      <c r="N2260" t="s">
        <v>57</v>
      </c>
    </row>
    <row r="2261" spans="1:14" x14ac:dyDescent="0.3">
      <c r="A2261" s="1">
        <v>45512</v>
      </c>
      <c r="B2261" t="s">
        <v>34</v>
      </c>
      <c r="C2261" t="s">
        <v>33</v>
      </c>
      <c r="D2261" t="s">
        <v>19</v>
      </c>
      <c r="E2261">
        <v>9</v>
      </c>
      <c r="F2261">
        <v>2538</v>
      </c>
      <c r="G2261">
        <v>575.41</v>
      </c>
      <c r="H2261">
        <v>2024</v>
      </c>
      <c r="I2261" t="s">
        <v>24</v>
      </c>
      <c r="J2261" s="4">
        <v>0.22671788810086699</v>
      </c>
      <c r="K2261" t="s">
        <v>41</v>
      </c>
      <c r="L2261" t="s">
        <v>60</v>
      </c>
      <c r="M2261">
        <v>8</v>
      </c>
      <c r="N2261" t="s">
        <v>63</v>
      </c>
    </row>
    <row r="2262" spans="1:14" x14ac:dyDescent="0.3">
      <c r="A2262" s="1">
        <v>45358</v>
      </c>
      <c r="B2262" t="s">
        <v>34</v>
      </c>
      <c r="C2262" t="s">
        <v>33</v>
      </c>
      <c r="D2262" t="s">
        <v>19</v>
      </c>
      <c r="E2262">
        <v>1</v>
      </c>
      <c r="F2262">
        <v>357</v>
      </c>
      <c r="G2262">
        <v>79.86</v>
      </c>
      <c r="H2262">
        <v>2024</v>
      </c>
      <c r="I2262" t="s">
        <v>15</v>
      </c>
      <c r="J2262" s="4">
        <v>0.223697478991597</v>
      </c>
      <c r="K2262" t="s">
        <v>41</v>
      </c>
      <c r="L2262" t="s">
        <v>55</v>
      </c>
      <c r="M2262">
        <v>3</v>
      </c>
      <c r="N2262" t="s">
        <v>56</v>
      </c>
    </row>
    <row r="2263" spans="1:14" x14ac:dyDescent="0.3">
      <c r="A2263" s="1">
        <v>45409</v>
      </c>
      <c r="B2263" t="s">
        <v>34</v>
      </c>
      <c r="C2263" t="s">
        <v>33</v>
      </c>
      <c r="D2263" t="s">
        <v>22</v>
      </c>
      <c r="E2263">
        <v>1</v>
      </c>
      <c r="F2263">
        <v>504</v>
      </c>
      <c r="G2263">
        <v>143.12</v>
      </c>
      <c r="H2263">
        <v>2024</v>
      </c>
      <c r="I2263" t="s">
        <v>23</v>
      </c>
      <c r="J2263" s="4">
        <v>0.28396825396825398</v>
      </c>
      <c r="K2263" t="s">
        <v>41</v>
      </c>
      <c r="L2263" t="s">
        <v>59</v>
      </c>
      <c r="M2263">
        <v>4</v>
      </c>
      <c r="N2263" t="s">
        <v>62</v>
      </c>
    </row>
    <row r="2264" spans="1:14" x14ac:dyDescent="0.3">
      <c r="A2264" s="1">
        <v>45466</v>
      </c>
      <c r="B2264" t="s">
        <v>34</v>
      </c>
      <c r="C2264" t="s">
        <v>33</v>
      </c>
      <c r="D2264" t="s">
        <v>17</v>
      </c>
      <c r="E2264">
        <v>6</v>
      </c>
      <c r="F2264">
        <v>6576</v>
      </c>
      <c r="G2264">
        <v>815.56</v>
      </c>
      <c r="H2264">
        <v>2024</v>
      </c>
      <c r="I2264" t="s">
        <v>27</v>
      </c>
      <c r="J2264" s="4">
        <v>0.124020681265207</v>
      </c>
      <c r="K2264" t="s">
        <v>41</v>
      </c>
      <c r="L2264" t="s">
        <v>59</v>
      </c>
      <c r="M2264">
        <v>6</v>
      </c>
      <c r="N2264" t="s">
        <v>66</v>
      </c>
    </row>
    <row r="2265" spans="1:14" x14ac:dyDescent="0.3">
      <c r="A2265" s="1">
        <v>45561</v>
      </c>
      <c r="B2265" t="s">
        <v>34</v>
      </c>
      <c r="C2265" t="s">
        <v>33</v>
      </c>
      <c r="D2265" t="s">
        <v>12</v>
      </c>
      <c r="E2265">
        <v>1</v>
      </c>
      <c r="F2265">
        <v>95</v>
      </c>
      <c r="G2265">
        <v>6.97</v>
      </c>
      <c r="H2265">
        <v>2024</v>
      </c>
      <c r="I2265" t="s">
        <v>21</v>
      </c>
      <c r="J2265" s="4">
        <v>7.3368421052631597E-2</v>
      </c>
      <c r="K2265" t="s">
        <v>41</v>
      </c>
      <c r="L2265" t="s">
        <v>60</v>
      </c>
      <c r="M2265">
        <v>9</v>
      </c>
      <c r="N2265" t="s">
        <v>61</v>
      </c>
    </row>
    <row r="2266" spans="1:14" x14ac:dyDescent="0.3">
      <c r="A2266" s="1">
        <v>45543</v>
      </c>
      <c r="B2266" t="s">
        <v>34</v>
      </c>
      <c r="C2266" t="s">
        <v>33</v>
      </c>
      <c r="D2266" t="s">
        <v>12</v>
      </c>
      <c r="E2266">
        <v>4</v>
      </c>
      <c r="F2266">
        <v>556</v>
      </c>
      <c r="G2266">
        <v>85.63</v>
      </c>
      <c r="H2266">
        <v>2024</v>
      </c>
      <c r="I2266" t="s">
        <v>21</v>
      </c>
      <c r="J2266" s="4">
        <v>0.15401079136690601</v>
      </c>
      <c r="K2266" t="s">
        <v>41</v>
      </c>
      <c r="L2266" t="s">
        <v>60</v>
      </c>
      <c r="M2266">
        <v>9</v>
      </c>
      <c r="N2266" t="s">
        <v>61</v>
      </c>
    </row>
    <row r="2267" spans="1:14" x14ac:dyDescent="0.3">
      <c r="A2267" s="1">
        <v>45336</v>
      </c>
      <c r="B2267" t="s">
        <v>34</v>
      </c>
      <c r="C2267" t="s">
        <v>33</v>
      </c>
      <c r="D2267" t="s">
        <v>12</v>
      </c>
      <c r="E2267">
        <v>2</v>
      </c>
      <c r="F2267">
        <v>1148</v>
      </c>
      <c r="G2267">
        <v>173.89</v>
      </c>
      <c r="H2267">
        <v>2024</v>
      </c>
      <c r="I2267" t="s">
        <v>16</v>
      </c>
      <c r="J2267" s="4">
        <v>0.15147212543554001</v>
      </c>
      <c r="K2267" t="s">
        <v>41</v>
      </c>
      <c r="L2267" t="s">
        <v>55</v>
      </c>
      <c r="M2267">
        <v>2</v>
      </c>
      <c r="N2267" t="s">
        <v>57</v>
      </c>
    </row>
    <row r="2268" spans="1:14" x14ac:dyDescent="0.3">
      <c r="A2268" s="1">
        <v>45597</v>
      </c>
      <c r="B2268" t="s">
        <v>34</v>
      </c>
      <c r="C2268" t="s">
        <v>33</v>
      </c>
      <c r="D2268" t="s">
        <v>19</v>
      </c>
      <c r="E2268">
        <v>6</v>
      </c>
      <c r="F2268">
        <v>2886</v>
      </c>
      <c r="G2268">
        <v>355.32</v>
      </c>
      <c r="H2268">
        <v>2024</v>
      </c>
      <c r="I2268" t="s">
        <v>18</v>
      </c>
      <c r="J2268" s="4">
        <v>0.123118503118503</v>
      </c>
      <c r="K2268" t="s">
        <v>41</v>
      </c>
      <c r="L2268" t="s">
        <v>52</v>
      </c>
      <c r="M2268">
        <v>11</v>
      </c>
      <c r="N2268" t="s">
        <v>58</v>
      </c>
    </row>
    <row r="2269" spans="1:14" x14ac:dyDescent="0.3">
      <c r="A2269" s="1">
        <v>45607</v>
      </c>
      <c r="B2269" t="s">
        <v>34</v>
      </c>
      <c r="C2269" t="s">
        <v>33</v>
      </c>
      <c r="D2269" t="s">
        <v>12</v>
      </c>
      <c r="E2269">
        <v>3</v>
      </c>
      <c r="F2269">
        <v>315</v>
      </c>
      <c r="G2269">
        <v>78.41</v>
      </c>
      <c r="H2269">
        <v>2024</v>
      </c>
      <c r="I2269" t="s">
        <v>18</v>
      </c>
      <c r="J2269" s="4">
        <v>0.24892063492063499</v>
      </c>
      <c r="K2269" t="s">
        <v>41</v>
      </c>
      <c r="L2269" t="s">
        <v>52</v>
      </c>
      <c r="M2269">
        <v>11</v>
      </c>
      <c r="N2269" t="s">
        <v>58</v>
      </c>
    </row>
    <row r="2270" spans="1:14" x14ac:dyDescent="0.3">
      <c r="A2270" s="1">
        <v>45409</v>
      </c>
      <c r="B2270" t="s">
        <v>34</v>
      </c>
      <c r="C2270" t="s">
        <v>33</v>
      </c>
      <c r="D2270" t="s">
        <v>17</v>
      </c>
      <c r="E2270">
        <v>5</v>
      </c>
      <c r="F2270">
        <v>2505</v>
      </c>
      <c r="G2270">
        <v>303.61</v>
      </c>
      <c r="H2270">
        <v>2024</v>
      </c>
      <c r="I2270" t="s">
        <v>23</v>
      </c>
      <c r="J2270" s="4">
        <v>0.12120159680638699</v>
      </c>
      <c r="K2270" t="s">
        <v>41</v>
      </c>
      <c r="L2270" t="s">
        <v>59</v>
      </c>
      <c r="M2270">
        <v>4</v>
      </c>
      <c r="N2270" t="s">
        <v>62</v>
      </c>
    </row>
    <row r="2271" spans="1:14" x14ac:dyDescent="0.3">
      <c r="A2271" s="1">
        <v>45621</v>
      </c>
      <c r="B2271" t="s">
        <v>34</v>
      </c>
      <c r="C2271" t="s">
        <v>33</v>
      </c>
      <c r="D2271" t="s">
        <v>19</v>
      </c>
      <c r="E2271">
        <v>7</v>
      </c>
      <c r="F2271">
        <v>3423</v>
      </c>
      <c r="G2271">
        <v>435.06</v>
      </c>
      <c r="H2271">
        <v>2024</v>
      </c>
      <c r="I2271" t="s">
        <v>18</v>
      </c>
      <c r="J2271" s="4">
        <v>0.127099035933392</v>
      </c>
      <c r="K2271" t="s">
        <v>41</v>
      </c>
      <c r="L2271" t="s">
        <v>52</v>
      </c>
      <c r="M2271">
        <v>11</v>
      </c>
      <c r="N2271" t="s">
        <v>58</v>
      </c>
    </row>
    <row r="2272" spans="1:14" x14ac:dyDescent="0.3">
      <c r="A2272" s="1">
        <v>45511</v>
      </c>
      <c r="B2272" t="s">
        <v>34</v>
      </c>
      <c r="C2272" t="s">
        <v>33</v>
      </c>
      <c r="D2272" t="s">
        <v>12</v>
      </c>
      <c r="E2272">
        <v>7</v>
      </c>
      <c r="F2272">
        <v>1771</v>
      </c>
      <c r="G2272">
        <v>171.26</v>
      </c>
      <c r="H2272">
        <v>2024</v>
      </c>
      <c r="I2272" t="s">
        <v>24</v>
      </c>
      <c r="J2272" s="4">
        <v>9.6702428006775795E-2</v>
      </c>
      <c r="K2272" t="s">
        <v>41</v>
      </c>
      <c r="L2272" t="s">
        <v>60</v>
      </c>
      <c r="M2272">
        <v>8</v>
      </c>
      <c r="N2272" t="s">
        <v>63</v>
      </c>
    </row>
    <row r="2273" spans="1:14" x14ac:dyDescent="0.3">
      <c r="A2273" s="1">
        <v>45560</v>
      </c>
      <c r="B2273" t="s">
        <v>34</v>
      </c>
      <c r="C2273" t="s">
        <v>33</v>
      </c>
      <c r="D2273" t="s">
        <v>19</v>
      </c>
      <c r="E2273">
        <v>9</v>
      </c>
      <c r="F2273">
        <v>8460</v>
      </c>
      <c r="G2273">
        <v>1515.06</v>
      </c>
      <c r="H2273">
        <v>2024</v>
      </c>
      <c r="I2273" t="s">
        <v>21</v>
      </c>
      <c r="J2273" s="4">
        <v>0.179085106382979</v>
      </c>
      <c r="K2273" t="s">
        <v>41</v>
      </c>
      <c r="L2273" t="s">
        <v>60</v>
      </c>
      <c r="M2273">
        <v>9</v>
      </c>
      <c r="N2273" t="s">
        <v>61</v>
      </c>
    </row>
    <row r="2274" spans="1:14" x14ac:dyDescent="0.3">
      <c r="A2274" s="1">
        <v>45436</v>
      </c>
      <c r="B2274" t="s">
        <v>34</v>
      </c>
      <c r="C2274" t="s">
        <v>33</v>
      </c>
      <c r="D2274" t="s">
        <v>12</v>
      </c>
      <c r="E2274">
        <v>6</v>
      </c>
      <c r="F2274">
        <v>4632</v>
      </c>
      <c r="G2274">
        <v>799.16</v>
      </c>
      <c r="H2274">
        <v>2024</v>
      </c>
      <c r="I2274" t="s">
        <v>20</v>
      </c>
      <c r="J2274" s="4">
        <v>0.17253022452504299</v>
      </c>
      <c r="K2274" t="s">
        <v>41</v>
      </c>
      <c r="L2274" t="s">
        <v>59</v>
      </c>
      <c r="M2274">
        <v>5</v>
      </c>
      <c r="N2274" t="s">
        <v>20</v>
      </c>
    </row>
    <row r="2275" spans="1:14" x14ac:dyDescent="0.3">
      <c r="A2275" s="1">
        <v>45416</v>
      </c>
      <c r="B2275" t="s">
        <v>34</v>
      </c>
      <c r="C2275" t="s">
        <v>33</v>
      </c>
      <c r="D2275" t="s">
        <v>22</v>
      </c>
      <c r="E2275">
        <v>2</v>
      </c>
      <c r="F2275">
        <v>906</v>
      </c>
      <c r="G2275">
        <v>59.06</v>
      </c>
      <c r="H2275">
        <v>2024</v>
      </c>
      <c r="I2275" t="s">
        <v>20</v>
      </c>
      <c r="J2275" s="4">
        <v>6.5187637969094894E-2</v>
      </c>
      <c r="K2275" t="s">
        <v>41</v>
      </c>
      <c r="L2275" t="s">
        <v>59</v>
      </c>
      <c r="M2275">
        <v>5</v>
      </c>
      <c r="N2275" t="s">
        <v>20</v>
      </c>
    </row>
    <row r="2276" spans="1:14" x14ac:dyDescent="0.3">
      <c r="A2276" s="1">
        <v>45322</v>
      </c>
      <c r="B2276" t="s">
        <v>34</v>
      </c>
      <c r="C2276" t="s">
        <v>33</v>
      </c>
      <c r="D2276" t="s">
        <v>12</v>
      </c>
      <c r="E2276">
        <v>6</v>
      </c>
      <c r="F2276">
        <v>3306</v>
      </c>
      <c r="G2276">
        <v>216.91</v>
      </c>
      <c r="H2276">
        <v>2024</v>
      </c>
      <c r="I2276" t="s">
        <v>26</v>
      </c>
      <c r="J2276" s="4">
        <v>6.56110102843315E-2</v>
      </c>
      <c r="K2276" t="s">
        <v>41</v>
      </c>
      <c r="L2276" t="s">
        <v>55</v>
      </c>
      <c r="M2276">
        <v>1</v>
      </c>
      <c r="N2276" t="s">
        <v>65</v>
      </c>
    </row>
    <row r="2277" spans="1:14" x14ac:dyDescent="0.3">
      <c r="A2277" s="1">
        <v>45304</v>
      </c>
      <c r="B2277" t="s">
        <v>34</v>
      </c>
      <c r="C2277" t="s">
        <v>33</v>
      </c>
      <c r="D2277" t="s">
        <v>12</v>
      </c>
      <c r="E2277">
        <v>9</v>
      </c>
      <c r="F2277">
        <v>6138</v>
      </c>
      <c r="G2277">
        <v>1478.57</v>
      </c>
      <c r="H2277">
        <v>2024</v>
      </c>
      <c r="I2277" t="s">
        <v>26</v>
      </c>
      <c r="J2277" s="4">
        <v>0.240887911371782</v>
      </c>
      <c r="K2277" t="s">
        <v>41</v>
      </c>
      <c r="L2277" t="s">
        <v>55</v>
      </c>
      <c r="M2277">
        <v>1</v>
      </c>
      <c r="N2277" t="s">
        <v>65</v>
      </c>
    </row>
    <row r="2278" spans="1:14" x14ac:dyDescent="0.3">
      <c r="A2278" s="1">
        <v>45618</v>
      </c>
      <c r="B2278" t="s">
        <v>34</v>
      </c>
      <c r="C2278" t="s">
        <v>33</v>
      </c>
      <c r="D2278" t="s">
        <v>12</v>
      </c>
      <c r="E2278">
        <v>4</v>
      </c>
      <c r="F2278">
        <v>780</v>
      </c>
      <c r="G2278">
        <v>162.72</v>
      </c>
      <c r="H2278">
        <v>2024</v>
      </c>
      <c r="I2278" t="s">
        <v>18</v>
      </c>
      <c r="J2278" s="4">
        <v>0.20861538461538501</v>
      </c>
      <c r="K2278" t="s">
        <v>41</v>
      </c>
      <c r="L2278" t="s">
        <v>52</v>
      </c>
      <c r="M2278">
        <v>11</v>
      </c>
      <c r="N2278" t="s">
        <v>58</v>
      </c>
    </row>
    <row r="2279" spans="1:14" x14ac:dyDescent="0.3">
      <c r="A2279" s="1">
        <v>45467</v>
      </c>
      <c r="B2279" t="s">
        <v>34</v>
      </c>
      <c r="C2279" t="s">
        <v>33</v>
      </c>
      <c r="D2279" t="s">
        <v>17</v>
      </c>
      <c r="E2279">
        <v>8</v>
      </c>
      <c r="F2279">
        <v>8664</v>
      </c>
      <c r="G2279">
        <v>2131.16</v>
      </c>
      <c r="H2279">
        <v>2024</v>
      </c>
      <c r="I2279" t="s">
        <v>27</v>
      </c>
      <c r="J2279" s="4">
        <v>0.24597876269621399</v>
      </c>
      <c r="K2279" t="s">
        <v>41</v>
      </c>
      <c r="L2279" t="s">
        <v>59</v>
      </c>
      <c r="M2279">
        <v>6</v>
      </c>
      <c r="N2279" t="s">
        <v>66</v>
      </c>
    </row>
    <row r="2280" spans="1:14" x14ac:dyDescent="0.3">
      <c r="A2280" s="1">
        <v>45510</v>
      </c>
      <c r="B2280" t="s">
        <v>34</v>
      </c>
      <c r="C2280" t="s">
        <v>33</v>
      </c>
      <c r="D2280" t="s">
        <v>12</v>
      </c>
      <c r="E2280">
        <v>2</v>
      </c>
      <c r="F2280">
        <v>384</v>
      </c>
      <c r="G2280">
        <v>99.02</v>
      </c>
      <c r="H2280">
        <v>2024</v>
      </c>
      <c r="I2280" t="s">
        <v>24</v>
      </c>
      <c r="J2280" s="4">
        <v>0.25786458333333301</v>
      </c>
      <c r="K2280" t="s">
        <v>41</v>
      </c>
      <c r="L2280" t="s">
        <v>60</v>
      </c>
      <c r="M2280">
        <v>8</v>
      </c>
      <c r="N2280" t="s">
        <v>63</v>
      </c>
    </row>
    <row r="2281" spans="1:14" x14ac:dyDescent="0.3">
      <c r="A2281" s="1">
        <v>45645</v>
      </c>
      <c r="B2281" t="s">
        <v>34</v>
      </c>
      <c r="C2281" t="s">
        <v>33</v>
      </c>
      <c r="D2281" t="s">
        <v>12</v>
      </c>
      <c r="E2281">
        <v>6</v>
      </c>
      <c r="F2281">
        <v>5190</v>
      </c>
      <c r="G2281">
        <v>898.86</v>
      </c>
      <c r="H2281">
        <v>2024</v>
      </c>
      <c r="I2281" t="s">
        <v>13</v>
      </c>
      <c r="J2281" s="4">
        <v>0.173190751445087</v>
      </c>
      <c r="K2281" t="s">
        <v>41</v>
      </c>
      <c r="L2281" t="s">
        <v>52</v>
      </c>
      <c r="M2281">
        <v>12</v>
      </c>
      <c r="N2281" t="s">
        <v>53</v>
      </c>
    </row>
    <row r="2282" spans="1:14" x14ac:dyDescent="0.3">
      <c r="A2282" s="1">
        <v>45375</v>
      </c>
      <c r="B2282" t="s">
        <v>34</v>
      </c>
      <c r="C2282" t="s">
        <v>33</v>
      </c>
      <c r="D2282" t="s">
        <v>19</v>
      </c>
      <c r="E2282">
        <v>9</v>
      </c>
      <c r="F2282">
        <v>1233</v>
      </c>
      <c r="G2282">
        <v>346.9</v>
      </c>
      <c r="H2282">
        <v>2024</v>
      </c>
      <c r="I2282" t="s">
        <v>15</v>
      </c>
      <c r="J2282" s="4">
        <v>0.28134630981346298</v>
      </c>
      <c r="K2282" t="s">
        <v>41</v>
      </c>
      <c r="L2282" t="s">
        <v>55</v>
      </c>
      <c r="M2282">
        <v>3</v>
      </c>
      <c r="N2282" t="s">
        <v>56</v>
      </c>
    </row>
    <row r="2283" spans="1:14" x14ac:dyDescent="0.3">
      <c r="A2283" s="1">
        <v>45477</v>
      </c>
      <c r="B2283" t="s">
        <v>34</v>
      </c>
      <c r="C2283" t="s">
        <v>33</v>
      </c>
      <c r="D2283" t="s">
        <v>17</v>
      </c>
      <c r="E2283">
        <v>7</v>
      </c>
      <c r="F2283">
        <v>3892</v>
      </c>
      <c r="G2283">
        <v>350.57</v>
      </c>
      <c r="H2283">
        <v>2024</v>
      </c>
      <c r="I2283" t="s">
        <v>25</v>
      </c>
      <c r="J2283" s="4">
        <v>9.0074511819116104E-2</v>
      </c>
      <c r="K2283" t="s">
        <v>41</v>
      </c>
      <c r="L2283" t="s">
        <v>60</v>
      </c>
      <c r="M2283">
        <v>7</v>
      </c>
      <c r="N2283" t="s">
        <v>64</v>
      </c>
    </row>
    <row r="2284" spans="1:14" x14ac:dyDescent="0.3">
      <c r="A2284" s="1">
        <v>45334</v>
      </c>
      <c r="B2284" t="s">
        <v>34</v>
      </c>
      <c r="C2284" t="s">
        <v>33</v>
      </c>
      <c r="D2284" t="s">
        <v>22</v>
      </c>
      <c r="E2284">
        <v>8</v>
      </c>
      <c r="F2284">
        <v>8664</v>
      </c>
      <c r="G2284">
        <v>2349.6799999999998</v>
      </c>
      <c r="H2284">
        <v>2024</v>
      </c>
      <c r="I2284" t="s">
        <v>16</v>
      </c>
      <c r="J2284" s="4">
        <v>0.27120036934441399</v>
      </c>
      <c r="K2284" t="s">
        <v>41</v>
      </c>
      <c r="L2284" t="s">
        <v>55</v>
      </c>
      <c r="M2284">
        <v>2</v>
      </c>
      <c r="N2284" t="s">
        <v>57</v>
      </c>
    </row>
    <row r="2285" spans="1:14" x14ac:dyDescent="0.3">
      <c r="A2285" s="1">
        <v>45313</v>
      </c>
      <c r="B2285" t="s">
        <v>34</v>
      </c>
      <c r="C2285" t="s">
        <v>33</v>
      </c>
      <c r="D2285" t="s">
        <v>22</v>
      </c>
      <c r="E2285">
        <v>5</v>
      </c>
      <c r="F2285">
        <v>510</v>
      </c>
      <c r="G2285">
        <v>82.47</v>
      </c>
      <c r="H2285">
        <v>2024</v>
      </c>
      <c r="I2285" t="s">
        <v>26</v>
      </c>
      <c r="J2285" s="4">
        <v>0.161705882352941</v>
      </c>
      <c r="K2285" t="s">
        <v>41</v>
      </c>
      <c r="L2285" t="s">
        <v>55</v>
      </c>
      <c r="M2285">
        <v>1</v>
      </c>
      <c r="N2285" t="s">
        <v>65</v>
      </c>
    </row>
    <row r="2286" spans="1:14" x14ac:dyDescent="0.3">
      <c r="A2286" s="1">
        <v>45477</v>
      </c>
      <c r="B2286" t="s">
        <v>34</v>
      </c>
      <c r="C2286" t="s">
        <v>33</v>
      </c>
      <c r="D2286" t="s">
        <v>22</v>
      </c>
      <c r="E2286">
        <v>4</v>
      </c>
      <c r="F2286">
        <v>460</v>
      </c>
      <c r="G2286">
        <v>92.24</v>
      </c>
      <c r="H2286">
        <v>2024</v>
      </c>
      <c r="I2286" t="s">
        <v>25</v>
      </c>
      <c r="J2286" s="4">
        <v>0.200521739130435</v>
      </c>
      <c r="K2286" t="s">
        <v>41</v>
      </c>
      <c r="L2286" t="s">
        <v>60</v>
      </c>
      <c r="M2286">
        <v>7</v>
      </c>
      <c r="N2286" t="s">
        <v>64</v>
      </c>
    </row>
    <row r="2287" spans="1:14" x14ac:dyDescent="0.3">
      <c r="A2287" s="1">
        <v>45440</v>
      </c>
      <c r="B2287" t="s">
        <v>34</v>
      </c>
      <c r="C2287" t="s">
        <v>33</v>
      </c>
      <c r="D2287" t="s">
        <v>12</v>
      </c>
      <c r="E2287">
        <v>1</v>
      </c>
      <c r="F2287">
        <v>1043</v>
      </c>
      <c r="G2287">
        <v>151.13</v>
      </c>
      <c r="H2287">
        <v>2024</v>
      </c>
      <c r="I2287" t="s">
        <v>20</v>
      </c>
      <c r="J2287" s="4">
        <v>0.14489932885906001</v>
      </c>
      <c r="K2287" t="s">
        <v>41</v>
      </c>
      <c r="L2287" t="s">
        <v>59</v>
      </c>
      <c r="M2287">
        <v>5</v>
      </c>
      <c r="N2287" t="s">
        <v>20</v>
      </c>
    </row>
    <row r="2288" spans="1:14" x14ac:dyDescent="0.3">
      <c r="A2288" s="1">
        <v>45393</v>
      </c>
      <c r="B2288" t="s">
        <v>34</v>
      </c>
      <c r="C2288" t="s">
        <v>33</v>
      </c>
      <c r="D2288" t="s">
        <v>22</v>
      </c>
      <c r="E2288">
        <v>3</v>
      </c>
      <c r="F2288">
        <v>1056</v>
      </c>
      <c r="G2288">
        <v>70.540000000000006</v>
      </c>
      <c r="H2288">
        <v>2024</v>
      </c>
      <c r="I2288" t="s">
        <v>23</v>
      </c>
      <c r="J2288" s="4">
        <v>6.67992424242424E-2</v>
      </c>
      <c r="K2288" t="s">
        <v>41</v>
      </c>
      <c r="L2288" t="s">
        <v>59</v>
      </c>
      <c r="M2288">
        <v>4</v>
      </c>
      <c r="N2288" t="s">
        <v>62</v>
      </c>
    </row>
    <row r="2289" spans="1:14" x14ac:dyDescent="0.3">
      <c r="A2289" s="1">
        <v>45593</v>
      </c>
      <c r="B2289" t="s">
        <v>34</v>
      </c>
      <c r="C2289" t="s">
        <v>33</v>
      </c>
      <c r="D2289" t="s">
        <v>12</v>
      </c>
      <c r="E2289">
        <v>9</v>
      </c>
      <c r="F2289">
        <v>7344</v>
      </c>
      <c r="G2289">
        <v>1417.84</v>
      </c>
      <c r="H2289">
        <v>2024</v>
      </c>
      <c r="I2289" t="s">
        <v>14</v>
      </c>
      <c r="J2289" s="4">
        <v>0.19306100217864899</v>
      </c>
      <c r="K2289" t="s">
        <v>41</v>
      </c>
      <c r="L2289" t="s">
        <v>52</v>
      </c>
      <c r="M2289">
        <v>10</v>
      </c>
      <c r="N2289" t="s">
        <v>54</v>
      </c>
    </row>
    <row r="2290" spans="1:14" x14ac:dyDescent="0.3">
      <c r="A2290" s="1">
        <v>45326</v>
      </c>
      <c r="B2290" t="s">
        <v>34</v>
      </c>
      <c r="C2290" t="s">
        <v>33</v>
      </c>
      <c r="D2290" t="s">
        <v>22</v>
      </c>
      <c r="E2290">
        <v>6</v>
      </c>
      <c r="F2290">
        <v>1308</v>
      </c>
      <c r="G2290">
        <v>343.61</v>
      </c>
      <c r="H2290">
        <v>2024</v>
      </c>
      <c r="I2290" t="s">
        <v>16</v>
      </c>
      <c r="J2290" s="4">
        <v>0.26269877675841002</v>
      </c>
      <c r="K2290" t="s">
        <v>41</v>
      </c>
      <c r="L2290" t="s">
        <v>55</v>
      </c>
      <c r="M2290">
        <v>2</v>
      </c>
      <c r="N2290" t="s">
        <v>57</v>
      </c>
    </row>
    <row r="2291" spans="1:14" x14ac:dyDescent="0.3">
      <c r="A2291" s="1">
        <v>45652</v>
      </c>
      <c r="B2291" t="s">
        <v>34</v>
      </c>
      <c r="C2291" t="s">
        <v>33</v>
      </c>
      <c r="D2291" t="s">
        <v>22</v>
      </c>
      <c r="E2291">
        <v>1</v>
      </c>
      <c r="F2291">
        <v>106</v>
      </c>
      <c r="G2291">
        <v>7.24</v>
      </c>
      <c r="H2291">
        <v>2024</v>
      </c>
      <c r="I2291" t="s">
        <v>13</v>
      </c>
      <c r="J2291" s="4">
        <v>6.8301886792452804E-2</v>
      </c>
      <c r="K2291" t="s">
        <v>41</v>
      </c>
      <c r="L2291" t="s">
        <v>52</v>
      </c>
      <c r="M2291">
        <v>12</v>
      </c>
      <c r="N2291" t="s">
        <v>53</v>
      </c>
    </row>
    <row r="2292" spans="1:14" x14ac:dyDescent="0.3">
      <c r="A2292" s="1">
        <v>45443</v>
      </c>
      <c r="B2292" t="s">
        <v>34</v>
      </c>
      <c r="C2292" t="s">
        <v>33</v>
      </c>
      <c r="D2292" t="s">
        <v>19</v>
      </c>
      <c r="E2292">
        <v>5</v>
      </c>
      <c r="F2292">
        <v>5990</v>
      </c>
      <c r="G2292">
        <v>1403.53</v>
      </c>
      <c r="H2292">
        <v>2024</v>
      </c>
      <c r="I2292" t="s">
        <v>20</v>
      </c>
      <c r="J2292" s="4">
        <v>0.234312186978297</v>
      </c>
      <c r="K2292" t="s">
        <v>41</v>
      </c>
      <c r="L2292" t="s">
        <v>59</v>
      </c>
      <c r="M2292">
        <v>5</v>
      </c>
      <c r="N2292" t="s">
        <v>20</v>
      </c>
    </row>
    <row r="2293" spans="1:14" x14ac:dyDescent="0.3">
      <c r="A2293" s="1">
        <v>45617</v>
      </c>
      <c r="B2293" t="s">
        <v>34</v>
      </c>
      <c r="C2293" t="s">
        <v>33</v>
      </c>
      <c r="D2293" t="s">
        <v>17</v>
      </c>
      <c r="E2293">
        <v>4</v>
      </c>
      <c r="F2293">
        <v>796</v>
      </c>
      <c r="G2293">
        <v>75.150000000000006</v>
      </c>
      <c r="H2293">
        <v>2024</v>
      </c>
      <c r="I2293" t="s">
        <v>18</v>
      </c>
      <c r="J2293" s="4">
        <v>9.4409547738693506E-2</v>
      </c>
      <c r="K2293" t="s">
        <v>41</v>
      </c>
      <c r="L2293" t="s">
        <v>52</v>
      </c>
      <c r="M2293">
        <v>11</v>
      </c>
      <c r="N2293" t="s">
        <v>58</v>
      </c>
    </row>
    <row r="2294" spans="1:14" x14ac:dyDescent="0.3">
      <c r="A2294" s="1">
        <v>45308</v>
      </c>
      <c r="B2294" t="s">
        <v>34</v>
      </c>
      <c r="C2294" t="s">
        <v>33</v>
      </c>
      <c r="D2294" t="s">
        <v>22</v>
      </c>
      <c r="E2294">
        <v>5</v>
      </c>
      <c r="F2294">
        <v>1200</v>
      </c>
      <c r="G2294">
        <v>201.8</v>
      </c>
      <c r="H2294">
        <v>2024</v>
      </c>
      <c r="I2294" t="s">
        <v>26</v>
      </c>
      <c r="J2294" s="4">
        <v>0.16816666666666699</v>
      </c>
      <c r="K2294" t="s">
        <v>41</v>
      </c>
      <c r="L2294" t="s">
        <v>55</v>
      </c>
      <c r="M2294">
        <v>1</v>
      </c>
      <c r="N2294" t="s">
        <v>65</v>
      </c>
    </row>
    <row r="2295" spans="1:14" x14ac:dyDescent="0.3">
      <c r="A2295" s="1">
        <v>45398</v>
      </c>
      <c r="B2295" t="s">
        <v>34</v>
      </c>
      <c r="C2295" t="s">
        <v>33</v>
      </c>
      <c r="D2295" t="s">
        <v>19</v>
      </c>
      <c r="E2295">
        <v>2</v>
      </c>
      <c r="F2295">
        <v>1428</v>
      </c>
      <c r="G2295">
        <v>234.49</v>
      </c>
      <c r="H2295">
        <v>2024</v>
      </c>
      <c r="I2295" t="s">
        <v>23</v>
      </c>
      <c r="J2295" s="4">
        <v>0.16420868347338899</v>
      </c>
      <c r="K2295" t="s">
        <v>41</v>
      </c>
      <c r="L2295" t="s">
        <v>59</v>
      </c>
      <c r="M2295">
        <v>4</v>
      </c>
      <c r="N2295" t="s">
        <v>62</v>
      </c>
    </row>
    <row r="2296" spans="1:14" x14ac:dyDescent="0.3">
      <c r="A2296" s="1">
        <v>45430</v>
      </c>
      <c r="B2296" t="s">
        <v>34</v>
      </c>
      <c r="C2296" t="s">
        <v>33</v>
      </c>
      <c r="D2296" t="s">
        <v>12</v>
      </c>
      <c r="E2296">
        <v>3</v>
      </c>
      <c r="F2296">
        <v>1227</v>
      </c>
      <c r="G2296">
        <v>113.38</v>
      </c>
      <c r="H2296">
        <v>2024</v>
      </c>
      <c r="I2296" t="s">
        <v>20</v>
      </c>
      <c r="J2296" s="4">
        <v>9.2404237978810103E-2</v>
      </c>
      <c r="K2296" t="s">
        <v>41</v>
      </c>
      <c r="L2296" t="s">
        <v>59</v>
      </c>
      <c r="M2296">
        <v>5</v>
      </c>
      <c r="N2296" t="s">
        <v>20</v>
      </c>
    </row>
    <row r="2297" spans="1:14" x14ac:dyDescent="0.3">
      <c r="A2297" s="1">
        <v>45461</v>
      </c>
      <c r="B2297" t="s">
        <v>34</v>
      </c>
      <c r="C2297" t="s">
        <v>33</v>
      </c>
      <c r="D2297" t="s">
        <v>19</v>
      </c>
      <c r="E2297">
        <v>2</v>
      </c>
      <c r="F2297">
        <v>1590</v>
      </c>
      <c r="G2297">
        <v>147.19999999999999</v>
      </c>
      <c r="H2297">
        <v>2024</v>
      </c>
      <c r="I2297" t="s">
        <v>27</v>
      </c>
      <c r="J2297" s="4">
        <v>9.2578616352201201E-2</v>
      </c>
      <c r="K2297" t="s">
        <v>41</v>
      </c>
      <c r="L2297" t="s">
        <v>59</v>
      </c>
      <c r="M2297">
        <v>6</v>
      </c>
      <c r="N2297" t="s">
        <v>66</v>
      </c>
    </row>
    <row r="2298" spans="1:14" x14ac:dyDescent="0.3">
      <c r="A2298" s="1">
        <v>45566</v>
      </c>
      <c r="B2298" t="s">
        <v>34</v>
      </c>
      <c r="C2298" t="s">
        <v>33</v>
      </c>
      <c r="D2298" t="s">
        <v>22</v>
      </c>
      <c r="E2298">
        <v>4</v>
      </c>
      <c r="F2298">
        <v>3264</v>
      </c>
      <c r="G2298">
        <v>639.79999999999995</v>
      </c>
      <c r="H2298">
        <v>2024</v>
      </c>
      <c r="I2298" t="s">
        <v>14</v>
      </c>
      <c r="J2298" s="4">
        <v>0.19601715686274501</v>
      </c>
      <c r="K2298" t="s">
        <v>41</v>
      </c>
      <c r="L2298" t="s">
        <v>52</v>
      </c>
      <c r="M2298">
        <v>10</v>
      </c>
      <c r="N2298" t="s">
        <v>54</v>
      </c>
    </row>
    <row r="2299" spans="1:14" x14ac:dyDescent="0.3">
      <c r="A2299" s="1">
        <v>45446</v>
      </c>
      <c r="B2299" t="s">
        <v>34</v>
      </c>
      <c r="C2299" t="s">
        <v>33</v>
      </c>
      <c r="D2299" t="s">
        <v>22</v>
      </c>
      <c r="E2299">
        <v>7</v>
      </c>
      <c r="F2299">
        <v>4977</v>
      </c>
      <c r="G2299">
        <v>516.70000000000005</v>
      </c>
      <c r="H2299">
        <v>2024</v>
      </c>
      <c r="I2299" t="s">
        <v>27</v>
      </c>
      <c r="J2299" s="4">
        <v>0.103817560779586</v>
      </c>
      <c r="K2299" t="s">
        <v>41</v>
      </c>
      <c r="L2299" t="s">
        <v>59</v>
      </c>
      <c r="M2299">
        <v>6</v>
      </c>
      <c r="N2299" t="s">
        <v>66</v>
      </c>
    </row>
    <row r="2300" spans="1:14" x14ac:dyDescent="0.3">
      <c r="A2300" s="1">
        <v>45646</v>
      </c>
      <c r="B2300" t="s">
        <v>34</v>
      </c>
      <c r="C2300" t="s">
        <v>33</v>
      </c>
      <c r="D2300" t="s">
        <v>22</v>
      </c>
      <c r="E2300">
        <v>3</v>
      </c>
      <c r="F2300">
        <v>237</v>
      </c>
      <c r="G2300">
        <v>49.94</v>
      </c>
      <c r="H2300">
        <v>2024</v>
      </c>
      <c r="I2300" t="s">
        <v>13</v>
      </c>
      <c r="J2300" s="4">
        <v>0.21071729957805899</v>
      </c>
      <c r="K2300" t="s">
        <v>41</v>
      </c>
      <c r="L2300" t="s">
        <v>52</v>
      </c>
      <c r="M2300">
        <v>12</v>
      </c>
      <c r="N2300" t="s">
        <v>53</v>
      </c>
    </row>
    <row r="2301" spans="1:14" x14ac:dyDescent="0.3">
      <c r="A2301" s="1">
        <v>45583</v>
      </c>
      <c r="B2301" t="s">
        <v>34</v>
      </c>
      <c r="C2301" t="s">
        <v>33</v>
      </c>
      <c r="D2301" t="s">
        <v>22</v>
      </c>
      <c r="E2301">
        <v>3</v>
      </c>
      <c r="F2301">
        <v>2214</v>
      </c>
      <c r="G2301">
        <v>127.34</v>
      </c>
      <c r="H2301">
        <v>2024</v>
      </c>
      <c r="I2301" t="s">
        <v>14</v>
      </c>
      <c r="J2301" s="4">
        <v>5.7515808491418199E-2</v>
      </c>
      <c r="K2301" t="s">
        <v>41</v>
      </c>
      <c r="L2301" t="s">
        <v>52</v>
      </c>
      <c r="M2301">
        <v>10</v>
      </c>
      <c r="N2301" t="s">
        <v>54</v>
      </c>
    </row>
    <row r="2302" spans="1:14" x14ac:dyDescent="0.3">
      <c r="A2302" s="1">
        <v>45373</v>
      </c>
      <c r="B2302" t="s">
        <v>34</v>
      </c>
      <c r="C2302" t="s">
        <v>33</v>
      </c>
      <c r="D2302" t="s">
        <v>12</v>
      </c>
      <c r="E2302">
        <v>1</v>
      </c>
      <c r="F2302">
        <v>829</v>
      </c>
      <c r="G2302">
        <v>165.05</v>
      </c>
      <c r="H2302">
        <v>2024</v>
      </c>
      <c r="I2302" t="s">
        <v>15</v>
      </c>
      <c r="J2302" s="4">
        <v>0.19909529553679101</v>
      </c>
      <c r="K2302" t="s">
        <v>41</v>
      </c>
      <c r="L2302" t="s">
        <v>55</v>
      </c>
      <c r="M2302">
        <v>3</v>
      </c>
      <c r="N2302" t="s">
        <v>56</v>
      </c>
    </row>
    <row r="2303" spans="1:14" x14ac:dyDescent="0.3">
      <c r="A2303" s="1">
        <v>45355</v>
      </c>
      <c r="B2303" t="s">
        <v>34</v>
      </c>
      <c r="C2303" t="s">
        <v>33</v>
      </c>
      <c r="D2303" t="s">
        <v>12</v>
      </c>
      <c r="E2303">
        <v>6</v>
      </c>
      <c r="F2303">
        <v>1254</v>
      </c>
      <c r="G2303">
        <v>205.57</v>
      </c>
      <c r="H2303">
        <v>2024</v>
      </c>
      <c r="I2303" t="s">
        <v>15</v>
      </c>
      <c r="J2303" s="4">
        <v>0.16393141945773501</v>
      </c>
      <c r="K2303" t="s">
        <v>41</v>
      </c>
      <c r="L2303" t="s">
        <v>55</v>
      </c>
      <c r="M2303">
        <v>3</v>
      </c>
      <c r="N2303" t="s">
        <v>56</v>
      </c>
    </row>
    <row r="2304" spans="1:14" x14ac:dyDescent="0.3">
      <c r="A2304" s="1">
        <v>45014</v>
      </c>
      <c r="B2304" t="s">
        <v>34</v>
      </c>
      <c r="C2304" t="s">
        <v>33</v>
      </c>
      <c r="D2304" t="s">
        <v>12</v>
      </c>
      <c r="E2304">
        <v>1</v>
      </c>
      <c r="F2304">
        <v>333</v>
      </c>
      <c r="G2304">
        <v>72.34</v>
      </c>
      <c r="H2304">
        <v>2023</v>
      </c>
      <c r="I2304" t="s">
        <v>15</v>
      </c>
      <c r="J2304" s="4">
        <v>0.21723723723723701</v>
      </c>
      <c r="K2304" t="s">
        <v>40</v>
      </c>
      <c r="L2304" t="s">
        <v>55</v>
      </c>
      <c r="M2304">
        <v>3</v>
      </c>
      <c r="N2304" t="s">
        <v>56</v>
      </c>
    </row>
    <row r="2305" spans="1:14" x14ac:dyDescent="0.3">
      <c r="A2305" s="1">
        <v>45127</v>
      </c>
      <c r="B2305" t="s">
        <v>34</v>
      </c>
      <c r="C2305" t="s">
        <v>33</v>
      </c>
      <c r="D2305" t="s">
        <v>22</v>
      </c>
      <c r="E2305">
        <v>7</v>
      </c>
      <c r="F2305">
        <v>1239</v>
      </c>
      <c r="G2305">
        <v>177.39</v>
      </c>
      <c r="H2305">
        <v>2023</v>
      </c>
      <c r="I2305" t="s">
        <v>25</v>
      </c>
      <c r="J2305" s="4">
        <v>0.14317191283292999</v>
      </c>
      <c r="K2305" t="s">
        <v>40</v>
      </c>
      <c r="L2305" t="s">
        <v>60</v>
      </c>
      <c r="M2305">
        <v>7</v>
      </c>
      <c r="N2305" t="s">
        <v>64</v>
      </c>
    </row>
    <row r="2306" spans="1:14" x14ac:dyDescent="0.3">
      <c r="A2306" s="1">
        <v>45083</v>
      </c>
      <c r="B2306" t="s">
        <v>34</v>
      </c>
      <c r="C2306" t="s">
        <v>33</v>
      </c>
      <c r="D2306" t="s">
        <v>22</v>
      </c>
      <c r="E2306">
        <v>7</v>
      </c>
      <c r="F2306">
        <v>2842</v>
      </c>
      <c r="G2306">
        <v>425.24</v>
      </c>
      <c r="H2306">
        <v>2023</v>
      </c>
      <c r="I2306" t="s">
        <v>27</v>
      </c>
      <c r="J2306" s="4">
        <v>0.149627023223082</v>
      </c>
      <c r="K2306" t="s">
        <v>40</v>
      </c>
      <c r="L2306" t="s">
        <v>59</v>
      </c>
      <c r="M2306">
        <v>6</v>
      </c>
      <c r="N2306" t="s">
        <v>66</v>
      </c>
    </row>
    <row r="2307" spans="1:14" x14ac:dyDescent="0.3">
      <c r="A2307" s="1">
        <v>44958</v>
      </c>
      <c r="B2307" t="s">
        <v>34</v>
      </c>
      <c r="C2307" t="s">
        <v>33</v>
      </c>
      <c r="D2307" t="s">
        <v>12</v>
      </c>
      <c r="E2307">
        <v>3</v>
      </c>
      <c r="F2307">
        <v>3348</v>
      </c>
      <c r="G2307">
        <v>331.28</v>
      </c>
      <c r="H2307">
        <v>2023</v>
      </c>
      <c r="I2307" t="s">
        <v>16</v>
      </c>
      <c r="J2307" s="4">
        <v>9.8948626045400195E-2</v>
      </c>
      <c r="K2307" t="s">
        <v>40</v>
      </c>
      <c r="L2307" t="s">
        <v>55</v>
      </c>
      <c r="M2307">
        <v>2</v>
      </c>
      <c r="N2307" t="s">
        <v>57</v>
      </c>
    </row>
    <row r="2308" spans="1:14" x14ac:dyDescent="0.3">
      <c r="A2308" s="1">
        <v>45063</v>
      </c>
      <c r="B2308" t="s">
        <v>34</v>
      </c>
      <c r="C2308" t="s">
        <v>33</v>
      </c>
      <c r="D2308" t="s">
        <v>19</v>
      </c>
      <c r="E2308">
        <v>9</v>
      </c>
      <c r="F2308">
        <v>7101</v>
      </c>
      <c r="G2308">
        <v>2105.8200000000002</v>
      </c>
      <c r="H2308">
        <v>2023</v>
      </c>
      <c r="I2308" t="s">
        <v>20</v>
      </c>
      <c r="J2308" s="4">
        <v>0.29655259822560198</v>
      </c>
      <c r="K2308" t="s">
        <v>40</v>
      </c>
      <c r="L2308" t="s">
        <v>59</v>
      </c>
      <c r="M2308">
        <v>5</v>
      </c>
      <c r="N2308" t="s">
        <v>20</v>
      </c>
    </row>
    <row r="2309" spans="1:14" x14ac:dyDescent="0.3">
      <c r="A2309" s="1">
        <v>45029</v>
      </c>
      <c r="B2309" t="s">
        <v>34</v>
      </c>
      <c r="C2309" t="s">
        <v>33</v>
      </c>
      <c r="D2309" t="s">
        <v>12</v>
      </c>
      <c r="E2309">
        <v>4</v>
      </c>
      <c r="F2309">
        <v>3876</v>
      </c>
      <c r="G2309">
        <v>302.37</v>
      </c>
      <c r="H2309">
        <v>2023</v>
      </c>
      <c r="I2309" t="s">
        <v>23</v>
      </c>
      <c r="J2309" s="4">
        <v>7.8010835913312704E-2</v>
      </c>
      <c r="K2309" t="s">
        <v>40</v>
      </c>
      <c r="L2309" t="s">
        <v>59</v>
      </c>
      <c r="M2309">
        <v>4</v>
      </c>
      <c r="N2309" t="s">
        <v>62</v>
      </c>
    </row>
    <row r="2310" spans="1:14" x14ac:dyDescent="0.3">
      <c r="A2310" s="1">
        <v>45285</v>
      </c>
      <c r="B2310" t="s">
        <v>34</v>
      </c>
      <c r="C2310" t="s">
        <v>33</v>
      </c>
      <c r="D2310" t="s">
        <v>17</v>
      </c>
      <c r="E2310">
        <v>6</v>
      </c>
      <c r="F2310">
        <v>7146</v>
      </c>
      <c r="G2310">
        <v>1627.42</v>
      </c>
      <c r="H2310">
        <v>2023</v>
      </c>
      <c r="I2310" t="s">
        <v>13</v>
      </c>
      <c r="J2310" s="4">
        <v>0.22773859501819199</v>
      </c>
      <c r="K2310" t="s">
        <v>40</v>
      </c>
      <c r="L2310" t="s">
        <v>52</v>
      </c>
      <c r="M2310">
        <v>12</v>
      </c>
      <c r="N2310" t="s">
        <v>53</v>
      </c>
    </row>
    <row r="2311" spans="1:14" x14ac:dyDescent="0.3">
      <c r="A2311" s="1">
        <v>45128</v>
      </c>
      <c r="B2311" t="s">
        <v>34</v>
      </c>
      <c r="C2311" t="s">
        <v>33</v>
      </c>
      <c r="D2311" t="s">
        <v>19</v>
      </c>
      <c r="E2311">
        <v>4</v>
      </c>
      <c r="F2311">
        <v>4128</v>
      </c>
      <c r="G2311">
        <v>1156.71</v>
      </c>
      <c r="H2311">
        <v>2023</v>
      </c>
      <c r="I2311" t="s">
        <v>25</v>
      </c>
      <c r="J2311" s="4">
        <v>0.28021075581395399</v>
      </c>
      <c r="K2311" t="s">
        <v>40</v>
      </c>
      <c r="L2311" t="s">
        <v>60</v>
      </c>
      <c r="M2311">
        <v>7</v>
      </c>
      <c r="N2311" t="s">
        <v>64</v>
      </c>
    </row>
    <row r="2312" spans="1:14" x14ac:dyDescent="0.3">
      <c r="A2312" s="1">
        <v>45154</v>
      </c>
      <c r="B2312" t="s">
        <v>34</v>
      </c>
      <c r="C2312" t="s">
        <v>33</v>
      </c>
      <c r="D2312" t="s">
        <v>22</v>
      </c>
      <c r="E2312">
        <v>3</v>
      </c>
      <c r="F2312">
        <v>2709</v>
      </c>
      <c r="G2312">
        <v>663.54</v>
      </c>
      <c r="H2312">
        <v>2023</v>
      </c>
      <c r="I2312" t="s">
        <v>24</v>
      </c>
      <c r="J2312" s="4">
        <v>0.24493909191583599</v>
      </c>
      <c r="K2312" t="s">
        <v>40</v>
      </c>
      <c r="L2312" t="s">
        <v>60</v>
      </c>
      <c r="M2312">
        <v>8</v>
      </c>
      <c r="N2312" t="s">
        <v>63</v>
      </c>
    </row>
    <row r="2313" spans="1:14" x14ac:dyDescent="0.3">
      <c r="A2313" s="1">
        <v>45088</v>
      </c>
      <c r="B2313" t="s">
        <v>34</v>
      </c>
      <c r="C2313" t="s">
        <v>33</v>
      </c>
      <c r="D2313" t="s">
        <v>17</v>
      </c>
      <c r="E2313">
        <v>8</v>
      </c>
      <c r="F2313">
        <v>3416</v>
      </c>
      <c r="G2313">
        <v>697.42</v>
      </c>
      <c r="H2313">
        <v>2023</v>
      </c>
      <c r="I2313" t="s">
        <v>27</v>
      </c>
      <c r="J2313" s="4">
        <v>0.20416276346604201</v>
      </c>
      <c r="K2313" t="s">
        <v>40</v>
      </c>
      <c r="L2313" t="s">
        <v>59</v>
      </c>
      <c r="M2313">
        <v>6</v>
      </c>
      <c r="N2313" t="s">
        <v>66</v>
      </c>
    </row>
    <row r="2314" spans="1:14" x14ac:dyDescent="0.3">
      <c r="A2314" s="1">
        <v>45181</v>
      </c>
      <c r="B2314" t="s">
        <v>34</v>
      </c>
      <c r="C2314" t="s">
        <v>33</v>
      </c>
      <c r="D2314" t="s">
        <v>19</v>
      </c>
      <c r="E2314">
        <v>1</v>
      </c>
      <c r="F2314">
        <v>205</v>
      </c>
      <c r="G2314">
        <v>54.54</v>
      </c>
      <c r="H2314">
        <v>2023</v>
      </c>
      <c r="I2314" t="s">
        <v>21</v>
      </c>
      <c r="J2314" s="4">
        <v>0.266048780487805</v>
      </c>
      <c r="K2314" t="s">
        <v>40</v>
      </c>
      <c r="L2314" t="s">
        <v>60</v>
      </c>
      <c r="M2314">
        <v>9</v>
      </c>
      <c r="N2314" t="s">
        <v>61</v>
      </c>
    </row>
    <row r="2315" spans="1:14" x14ac:dyDescent="0.3">
      <c r="A2315" s="1">
        <v>44960</v>
      </c>
      <c r="B2315" t="s">
        <v>34</v>
      </c>
      <c r="C2315" t="s">
        <v>33</v>
      </c>
      <c r="D2315" t="s">
        <v>17</v>
      </c>
      <c r="E2315">
        <v>7</v>
      </c>
      <c r="F2315">
        <v>4676</v>
      </c>
      <c r="G2315">
        <v>242.64</v>
      </c>
      <c r="H2315">
        <v>2023</v>
      </c>
      <c r="I2315" t="s">
        <v>16</v>
      </c>
      <c r="J2315" s="4">
        <v>5.1890504704876002E-2</v>
      </c>
      <c r="K2315" t="s">
        <v>40</v>
      </c>
      <c r="L2315" t="s">
        <v>55</v>
      </c>
      <c r="M2315">
        <v>2</v>
      </c>
      <c r="N2315" t="s">
        <v>57</v>
      </c>
    </row>
    <row r="2316" spans="1:14" x14ac:dyDescent="0.3">
      <c r="A2316" s="1">
        <v>45098</v>
      </c>
      <c r="B2316" t="s">
        <v>34</v>
      </c>
      <c r="C2316" t="s">
        <v>33</v>
      </c>
      <c r="D2316" t="s">
        <v>19</v>
      </c>
      <c r="E2316">
        <v>2</v>
      </c>
      <c r="F2316">
        <v>1932</v>
      </c>
      <c r="G2316">
        <v>109.07</v>
      </c>
      <c r="H2316">
        <v>2023</v>
      </c>
      <c r="I2316" t="s">
        <v>27</v>
      </c>
      <c r="J2316" s="4">
        <v>5.6454451345755698E-2</v>
      </c>
      <c r="K2316" t="s">
        <v>40</v>
      </c>
      <c r="L2316" t="s">
        <v>59</v>
      </c>
      <c r="M2316">
        <v>6</v>
      </c>
      <c r="N2316" t="s">
        <v>66</v>
      </c>
    </row>
    <row r="2317" spans="1:14" x14ac:dyDescent="0.3">
      <c r="A2317" s="1">
        <v>45211</v>
      </c>
      <c r="B2317" t="s">
        <v>34</v>
      </c>
      <c r="C2317" t="s">
        <v>33</v>
      </c>
      <c r="D2317" t="s">
        <v>19</v>
      </c>
      <c r="E2317">
        <v>6</v>
      </c>
      <c r="F2317">
        <v>4746</v>
      </c>
      <c r="G2317">
        <v>545.57000000000005</v>
      </c>
      <c r="H2317">
        <v>2023</v>
      </c>
      <c r="I2317" t="s">
        <v>14</v>
      </c>
      <c r="J2317" s="4">
        <v>0.114953645174884</v>
      </c>
      <c r="K2317" t="s">
        <v>40</v>
      </c>
      <c r="L2317" t="s">
        <v>52</v>
      </c>
      <c r="M2317">
        <v>10</v>
      </c>
      <c r="N2317" t="s">
        <v>54</v>
      </c>
    </row>
    <row r="2318" spans="1:14" x14ac:dyDescent="0.3">
      <c r="A2318" s="1">
        <v>45105</v>
      </c>
      <c r="B2318" t="s">
        <v>34</v>
      </c>
      <c r="C2318" t="s">
        <v>33</v>
      </c>
      <c r="D2318" t="s">
        <v>17</v>
      </c>
      <c r="E2318">
        <v>4</v>
      </c>
      <c r="F2318">
        <v>4156</v>
      </c>
      <c r="G2318">
        <v>847.09</v>
      </c>
      <c r="H2318">
        <v>2023</v>
      </c>
      <c r="I2318" t="s">
        <v>27</v>
      </c>
      <c r="J2318" s="4">
        <v>0.20382338787295501</v>
      </c>
      <c r="K2318" t="s">
        <v>40</v>
      </c>
      <c r="L2318" t="s">
        <v>59</v>
      </c>
      <c r="M2318">
        <v>6</v>
      </c>
      <c r="N2318" t="s">
        <v>66</v>
      </c>
    </row>
    <row r="2319" spans="1:14" x14ac:dyDescent="0.3">
      <c r="A2319" s="1">
        <v>45021</v>
      </c>
      <c r="B2319" t="s">
        <v>34</v>
      </c>
      <c r="C2319" t="s">
        <v>33</v>
      </c>
      <c r="D2319" t="s">
        <v>17</v>
      </c>
      <c r="E2319">
        <v>3</v>
      </c>
      <c r="F2319">
        <v>2994</v>
      </c>
      <c r="G2319">
        <v>638.59</v>
      </c>
      <c r="H2319">
        <v>2023</v>
      </c>
      <c r="I2319" t="s">
        <v>23</v>
      </c>
      <c r="J2319" s="4">
        <v>0.21328991315965301</v>
      </c>
      <c r="K2319" t="s">
        <v>40</v>
      </c>
      <c r="L2319" t="s">
        <v>59</v>
      </c>
      <c r="M2319">
        <v>4</v>
      </c>
      <c r="N2319" t="s">
        <v>62</v>
      </c>
    </row>
    <row r="2320" spans="1:14" x14ac:dyDescent="0.3">
      <c r="A2320" s="1">
        <v>45157</v>
      </c>
      <c r="B2320" t="s">
        <v>34</v>
      </c>
      <c r="C2320" t="s">
        <v>33</v>
      </c>
      <c r="D2320" t="s">
        <v>17</v>
      </c>
      <c r="E2320">
        <v>8</v>
      </c>
      <c r="F2320">
        <v>6008</v>
      </c>
      <c r="G2320">
        <v>871.76</v>
      </c>
      <c r="H2320">
        <v>2023</v>
      </c>
      <c r="I2320" t="s">
        <v>24</v>
      </c>
      <c r="J2320" s="4">
        <v>0.145099866844208</v>
      </c>
      <c r="K2320" t="s">
        <v>40</v>
      </c>
      <c r="L2320" t="s">
        <v>60</v>
      </c>
      <c r="M2320">
        <v>8</v>
      </c>
      <c r="N2320" t="s">
        <v>63</v>
      </c>
    </row>
    <row r="2321" spans="1:14" x14ac:dyDescent="0.3">
      <c r="A2321" s="1">
        <v>45081</v>
      </c>
      <c r="B2321" t="s">
        <v>34</v>
      </c>
      <c r="C2321" t="s">
        <v>33</v>
      </c>
      <c r="D2321" t="s">
        <v>17</v>
      </c>
      <c r="E2321">
        <v>1</v>
      </c>
      <c r="F2321">
        <v>651</v>
      </c>
      <c r="G2321">
        <v>187.99</v>
      </c>
      <c r="H2321">
        <v>2023</v>
      </c>
      <c r="I2321" t="s">
        <v>27</v>
      </c>
      <c r="J2321" s="4">
        <v>0.28877112135176602</v>
      </c>
      <c r="K2321" t="s">
        <v>40</v>
      </c>
      <c r="L2321" t="s">
        <v>59</v>
      </c>
      <c r="M2321">
        <v>6</v>
      </c>
      <c r="N2321" t="s">
        <v>66</v>
      </c>
    </row>
    <row r="2322" spans="1:14" x14ac:dyDescent="0.3">
      <c r="A2322" s="1">
        <v>45287</v>
      </c>
      <c r="B2322" t="s">
        <v>34</v>
      </c>
      <c r="C2322" t="s">
        <v>33</v>
      </c>
      <c r="D2322" t="s">
        <v>19</v>
      </c>
      <c r="E2322">
        <v>3</v>
      </c>
      <c r="F2322">
        <v>3378</v>
      </c>
      <c r="G2322">
        <v>520.30999999999995</v>
      </c>
      <c r="H2322">
        <v>2023</v>
      </c>
      <c r="I2322" t="s">
        <v>13</v>
      </c>
      <c r="J2322" s="4">
        <v>0.15402901124925999</v>
      </c>
      <c r="K2322" t="s">
        <v>40</v>
      </c>
      <c r="L2322" t="s">
        <v>52</v>
      </c>
      <c r="M2322">
        <v>12</v>
      </c>
      <c r="N2322" t="s">
        <v>53</v>
      </c>
    </row>
    <row r="2323" spans="1:14" x14ac:dyDescent="0.3">
      <c r="A2323" s="1">
        <v>45126</v>
      </c>
      <c r="B2323" t="s">
        <v>34</v>
      </c>
      <c r="C2323" t="s">
        <v>33</v>
      </c>
      <c r="D2323" t="s">
        <v>12</v>
      </c>
      <c r="E2323">
        <v>3</v>
      </c>
      <c r="F2323">
        <v>294</v>
      </c>
      <c r="G2323">
        <v>22.9</v>
      </c>
      <c r="H2323">
        <v>2023</v>
      </c>
      <c r="I2323" t="s">
        <v>25</v>
      </c>
      <c r="J2323" s="4">
        <v>7.7891156462585001E-2</v>
      </c>
      <c r="K2323" t="s">
        <v>40</v>
      </c>
      <c r="L2323" t="s">
        <v>60</v>
      </c>
      <c r="M2323">
        <v>7</v>
      </c>
      <c r="N2323" t="s">
        <v>64</v>
      </c>
    </row>
    <row r="2324" spans="1:14" x14ac:dyDescent="0.3">
      <c r="A2324" s="1">
        <v>45184</v>
      </c>
      <c r="B2324" t="s">
        <v>34</v>
      </c>
      <c r="C2324" t="s">
        <v>33</v>
      </c>
      <c r="D2324" t="s">
        <v>19</v>
      </c>
      <c r="E2324">
        <v>4</v>
      </c>
      <c r="F2324">
        <v>4088</v>
      </c>
      <c r="G2324">
        <v>1200.03</v>
      </c>
      <c r="H2324">
        <v>2023</v>
      </c>
      <c r="I2324" t="s">
        <v>21</v>
      </c>
      <c r="J2324" s="4">
        <v>0.29354941291585102</v>
      </c>
      <c r="K2324" t="s">
        <v>40</v>
      </c>
      <c r="L2324" t="s">
        <v>60</v>
      </c>
      <c r="M2324">
        <v>9</v>
      </c>
      <c r="N2324" t="s">
        <v>61</v>
      </c>
    </row>
    <row r="2325" spans="1:14" x14ac:dyDescent="0.3">
      <c r="A2325" s="1">
        <v>45101</v>
      </c>
      <c r="B2325" t="s">
        <v>34</v>
      </c>
      <c r="C2325" t="s">
        <v>33</v>
      </c>
      <c r="D2325" t="s">
        <v>22</v>
      </c>
      <c r="E2325">
        <v>8</v>
      </c>
      <c r="F2325">
        <v>5256</v>
      </c>
      <c r="G2325">
        <v>1118.1600000000001</v>
      </c>
      <c r="H2325">
        <v>2023</v>
      </c>
      <c r="I2325" t="s">
        <v>27</v>
      </c>
      <c r="J2325" s="4">
        <v>0.21273972602739699</v>
      </c>
      <c r="K2325" t="s">
        <v>40</v>
      </c>
      <c r="L2325" t="s">
        <v>59</v>
      </c>
      <c r="M2325">
        <v>6</v>
      </c>
      <c r="N2325" t="s">
        <v>66</v>
      </c>
    </row>
    <row r="2326" spans="1:14" x14ac:dyDescent="0.3">
      <c r="A2326" s="1">
        <v>45052</v>
      </c>
      <c r="B2326" t="s">
        <v>34</v>
      </c>
      <c r="C2326" t="s">
        <v>33</v>
      </c>
      <c r="D2326" t="s">
        <v>17</v>
      </c>
      <c r="E2326">
        <v>8</v>
      </c>
      <c r="F2326">
        <v>9128</v>
      </c>
      <c r="G2326">
        <v>1342.19</v>
      </c>
      <c r="H2326">
        <v>2023</v>
      </c>
      <c r="I2326" t="s">
        <v>20</v>
      </c>
      <c r="J2326" s="4">
        <v>0.14704097283084999</v>
      </c>
      <c r="K2326" t="s">
        <v>40</v>
      </c>
      <c r="L2326" t="s">
        <v>59</v>
      </c>
      <c r="M2326">
        <v>5</v>
      </c>
      <c r="N2326" t="s">
        <v>20</v>
      </c>
    </row>
    <row r="2327" spans="1:14" x14ac:dyDescent="0.3">
      <c r="A2327" s="1">
        <v>45149</v>
      </c>
      <c r="B2327" t="s">
        <v>34</v>
      </c>
      <c r="C2327" t="s">
        <v>33</v>
      </c>
      <c r="D2327" t="s">
        <v>22</v>
      </c>
      <c r="E2327">
        <v>8</v>
      </c>
      <c r="F2327">
        <v>7968</v>
      </c>
      <c r="G2327">
        <v>1249.98</v>
      </c>
      <c r="H2327">
        <v>2023</v>
      </c>
      <c r="I2327" t="s">
        <v>24</v>
      </c>
      <c r="J2327" s="4">
        <v>0.15687499999999999</v>
      </c>
      <c r="K2327" t="s">
        <v>40</v>
      </c>
      <c r="L2327" t="s">
        <v>60</v>
      </c>
      <c r="M2327">
        <v>8</v>
      </c>
      <c r="N2327" t="s">
        <v>63</v>
      </c>
    </row>
    <row r="2328" spans="1:14" x14ac:dyDescent="0.3">
      <c r="A2328" s="1">
        <v>45261</v>
      </c>
      <c r="B2328" t="s">
        <v>34</v>
      </c>
      <c r="C2328" t="s">
        <v>33</v>
      </c>
      <c r="D2328" t="s">
        <v>22</v>
      </c>
      <c r="E2328">
        <v>9</v>
      </c>
      <c r="F2328">
        <v>7866</v>
      </c>
      <c r="G2328">
        <v>1554.38</v>
      </c>
      <c r="H2328">
        <v>2023</v>
      </c>
      <c r="I2328" t="s">
        <v>13</v>
      </c>
      <c r="J2328" s="4">
        <v>0.197607424357996</v>
      </c>
      <c r="K2328" t="s">
        <v>40</v>
      </c>
      <c r="L2328" t="s">
        <v>52</v>
      </c>
      <c r="M2328">
        <v>12</v>
      </c>
      <c r="N2328" t="s">
        <v>53</v>
      </c>
    </row>
    <row r="2329" spans="1:14" x14ac:dyDescent="0.3">
      <c r="A2329" s="1">
        <v>45078</v>
      </c>
      <c r="B2329" t="s">
        <v>34</v>
      </c>
      <c r="C2329" t="s">
        <v>33</v>
      </c>
      <c r="D2329" t="s">
        <v>17</v>
      </c>
      <c r="E2329">
        <v>5</v>
      </c>
      <c r="F2329">
        <v>945</v>
      </c>
      <c r="G2329">
        <v>194.03</v>
      </c>
      <c r="H2329">
        <v>2023</v>
      </c>
      <c r="I2329" t="s">
        <v>27</v>
      </c>
      <c r="J2329" s="4">
        <v>0.20532275132275099</v>
      </c>
      <c r="K2329" t="s">
        <v>40</v>
      </c>
      <c r="L2329" t="s">
        <v>59</v>
      </c>
      <c r="M2329">
        <v>6</v>
      </c>
      <c r="N2329" t="s">
        <v>66</v>
      </c>
    </row>
    <row r="2330" spans="1:14" x14ac:dyDescent="0.3">
      <c r="A2330" s="1">
        <v>45223</v>
      </c>
      <c r="B2330" t="s">
        <v>34</v>
      </c>
      <c r="C2330" t="s">
        <v>33</v>
      </c>
      <c r="D2330" t="s">
        <v>22</v>
      </c>
      <c r="E2330">
        <v>6</v>
      </c>
      <c r="F2330">
        <v>4014</v>
      </c>
      <c r="G2330">
        <v>717.44</v>
      </c>
      <c r="H2330">
        <v>2023</v>
      </c>
      <c r="I2330" t="s">
        <v>14</v>
      </c>
      <c r="J2330" s="4">
        <v>0.17873442949676099</v>
      </c>
      <c r="K2330" t="s">
        <v>40</v>
      </c>
      <c r="L2330" t="s">
        <v>52</v>
      </c>
      <c r="M2330">
        <v>10</v>
      </c>
      <c r="N2330" t="s">
        <v>54</v>
      </c>
    </row>
    <row r="2331" spans="1:14" x14ac:dyDescent="0.3">
      <c r="A2331" s="1">
        <v>45121</v>
      </c>
      <c r="B2331" t="s">
        <v>34</v>
      </c>
      <c r="C2331" t="s">
        <v>33</v>
      </c>
      <c r="D2331" t="s">
        <v>22</v>
      </c>
      <c r="E2331">
        <v>9</v>
      </c>
      <c r="F2331">
        <v>6363</v>
      </c>
      <c r="G2331">
        <v>1752.65</v>
      </c>
      <c r="H2331">
        <v>2023</v>
      </c>
      <c r="I2331" t="s">
        <v>25</v>
      </c>
      <c r="J2331" s="4">
        <v>0.27544397296872503</v>
      </c>
      <c r="K2331" t="s">
        <v>40</v>
      </c>
      <c r="L2331" t="s">
        <v>60</v>
      </c>
      <c r="M2331">
        <v>7</v>
      </c>
      <c r="N2331" t="s">
        <v>64</v>
      </c>
    </row>
    <row r="2332" spans="1:14" x14ac:dyDescent="0.3">
      <c r="A2332" s="1">
        <v>45251</v>
      </c>
      <c r="B2332" t="s">
        <v>34</v>
      </c>
      <c r="C2332" t="s">
        <v>33</v>
      </c>
      <c r="D2332" t="s">
        <v>12</v>
      </c>
      <c r="E2332">
        <v>3</v>
      </c>
      <c r="F2332">
        <v>2631</v>
      </c>
      <c r="G2332">
        <v>157.19</v>
      </c>
      <c r="H2332">
        <v>2023</v>
      </c>
      <c r="I2332" t="s">
        <v>18</v>
      </c>
      <c r="J2332" s="4">
        <v>5.9745343975674603E-2</v>
      </c>
      <c r="K2332" t="s">
        <v>40</v>
      </c>
      <c r="L2332" t="s">
        <v>52</v>
      </c>
      <c r="M2332">
        <v>11</v>
      </c>
      <c r="N2332" t="s">
        <v>58</v>
      </c>
    </row>
    <row r="2333" spans="1:14" x14ac:dyDescent="0.3">
      <c r="A2333" s="1">
        <v>45008</v>
      </c>
      <c r="B2333" t="s">
        <v>34</v>
      </c>
      <c r="C2333" t="s">
        <v>33</v>
      </c>
      <c r="D2333" t="s">
        <v>19</v>
      </c>
      <c r="E2333">
        <v>4</v>
      </c>
      <c r="F2333">
        <v>4316</v>
      </c>
      <c r="G2333">
        <v>566.70000000000005</v>
      </c>
      <c r="H2333">
        <v>2023</v>
      </c>
      <c r="I2333" t="s">
        <v>15</v>
      </c>
      <c r="J2333" s="4">
        <v>0.13130213160333601</v>
      </c>
      <c r="K2333" t="s">
        <v>40</v>
      </c>
      <c r="L2333" t="s">
        <v>55</v>
      </c>
      <c r="M2333">
        <v>3</v>
      </c>
      <c r="N2333" t="s">
        <v>56</v>
      </c>
    </row>
    <row r="2334" spans="1:14" x14ac:dyDescent="0.3">
      <c r="A2334" s="1">
        <v>44929</v>
      </c>
      <c r="B2334" t="s">
        <v>34</v>
      </c>
      <c r="C2334" t="s">
        <v>33</v>
      </c>
      <c r="D2334" t="s">
        <v>19</v>
      </c>
      <c r="E2334">
        <v>4</v>
      </c>
      <c r="F2334">
        <v>316</v>
      </c>
      <c r="G2334">
        <v>77.13</v>
      </c>
      <c r="H2334">
        <v>2023</v>
      </c>
      <c r="I2334" t="s">
        <v>26</v>
      </c>
      <c r="J2334" s="4">
        <v>0.24408227848101299</v>
      </c>
      <c r="K2334" t="s">
        <v>40</v>
      </c>
      <c r="L2334" t="s">
        <v>55</v>
      </c>
      <c r="M2334">
        <v>1</v>
      </c>
      <c r="N2334" t="s">
        <v>65</v>
      </c>
    </row>
    <row r="2335" spans="1:14" x14ac:dyDescent="0.3">
      <c r="A2335" s="1">
        <v>45150</v>
      </c>
      <c r="B2335" t="s">
        <v>34</v>
      </c>
      <c r="C2335" t="s">
        <v>33</v>
      </c>
      <c r="D2335" t="s">
        <v>22</v>
      </c>
      <c r="E2335">
        <v>6</v>
      </c>
      <c r="F2335">
        <v>6228</v>
      </c>
      <c r="G2335">
        <v>1852.45</v>
      </c>
      <c r="H2335">
        <v>2023</v>
      </c>
      <c r="I2335" t="s">
        <v>24</v>
      </c>
      <c r="J2335" s="4">
        <v>0.29743898522800299</v>
      </c>
      <c r="K2335" t="s">
        <v>40</v>
      </c>
      <c r="L2335" t="s">
        <v>60</v>
      </c>
      <c r="M2335">
        <v>8</v>
      </c>
      <c r="N2335" t="s">
        <v>63</v>
      </c>
    </row>
    <row r="2336" spans="1:14" x14ac:dyDescent="0.3">
      <c r="A2336" s="1">
        <v>45271</v>
      </c>
      <c r="B2336" t="s">
        <v>34</v>
      </c>
      <c r="C2336" t="s">
        <v>33</v>
      </c>
      <c r="D2336" t="s">
        <v>12</v>
      </c>
      <c r="E2336">
        <v>4</v>
      </c>
      <c r="F2336">
        <v>2840</v>
      </c>
      <c r="G2336">
        <v>591.94000000000005</v>
      </c>
      <c r="H2336">
        <v>2023</v>
      </c>
      <c r="I2336" t="s">
        <v>13</v>
      </c>
      <c r="J2336" s="4">
        <v>0.20842957746478899</v>
      </c>
      <c r="K2336" t="s">
        <v>40</v>
      </c>
      <c r="L2336" t="s">
        <v>52</v>
      </c>
      <c r="M2336">
        <v>12</v>
      </c>
      <c r="N2336" t="s">
        <v>53</v>
      </c>
    </row>
    <row r="2337" spans="1:14" x14ac:dyDescent="0.3">
      <c r="A2337" s="1">
        <v>45063</v>
      </c>
      <c r="B2337" t="s">
        <v>34</v>
      </c>
      <c r="C2337" t="s">
        <v>33</v>
      </c>
      <c r="D2337" t="s">
        <v>22</v>
      </c>
      <c r="E2337">
        <v>2</v>
      </c>
      <c r="F2337">
        <v>1924</v>
      </c>
      <c r="G2337">
        <v>394.4</v>
      </c>
      <c r="H2337">
        <v>2023</v>
      </c>
      <c r="I2337" t="s">
        <v>20</v>
      </c>
      <c r="J2337" s="4">
        <v>0.204989604989605</v>
      </c>
      <c r="K2337" t="s">
        <v>40</v>
      </c>
      <c r="L2337" t="s">
        <v>59</v>
      </c>
      <c r="M2337">
        <v>5</v>
      </c>
      <c r="N2337" t="s">
        <v>20</v>
      </c>
    </row>
    <row r="2338" spans="1:14" x14ac:dyDescent="0.3">
      <c r="A2338" s="1">
        <v>45041</v>
      </c>
      <c r="B2338" t="s">
        <v>34</v>
      </c>
      <c r="C2338" t="s">
        <v>33</v>
      </c>
      <c r="D2338" t="s">
        <v>19</v>
      </c>
      <c r="E2338">
        <v>7</v>
      </c>
      <c r="F2338">
        <v>1722</v>
      </c>
      <c r="G2338">
        <v>414.87</v>
      </c>
      <c r="H2338">
        <v>2023</v>
      </c>
      <c r="I2338" t="s">
        <v>23</v>
      </c>
      <c r="J2338" s="4">
        <v>0.24092334494773501</v>
      </c>
      <c r="K2338" t="s">
        <v>40</v>
      </c>
      <c r="L2338" t="s">
        <v>59</v>
      </c>
      <c r="M2338">
        <v>4</v>
      </c>
      <c r="N2338" t="s">
        <v>62</v>
      </c>
    </row>
    <row r="2339" spans="1:14" x14ac:dyDescent="0.3">
      <c r="A2339" s="1">
        <v>44928</v>
      </c>
      <c r="B2339" t="s">
        <v>34</v>
      </c>
      <c r="C2339" t="s">
        <v>33</v>
      </c>
      <c r="D2339" t="s">
        <v>22</v>
      </c>
      <c r="E2339">
        <v>9</v>
      </c>
      <c r="F2339">
        <v>1773</v>
      </c>
      <c r="G2339">
        <v>168.01</v>
      </c>
      <c r="H2339">
        <v>2023</v>
      </c>
      <c r="I2339" t="s">
        <v>26</v>
      </c>
      <c r="J2339" s="4">
        <v>9.4760293288212102E-2</v>
      </c>
      <c r="K2339" t="s">
        <v>40</v>
      </c>
      <c r="L2339" t="s">
        <v>55</v>
      </c>
      <c r="M2339">
        <v>1</v>
      </c>
      <c r="N2339" t="s">
        <v>65</v>
      </c>
    </row>
    <row r="2340" spans="1:14" x14ac:dyDescent="0.3">
      <c r="A2340" s="1">
        <v>45086</v>
      </c>
      <c r="B2340" t="s">
        <v>34</v>
      </c>
      <c r="C2340" t="s">
        <v>33</v>
      </c>
      <c r="D2340" t="s">
        <v>12</v>
      </c>
      <c r="E2340">
        <v>4</v>
      </c>
      <c r="F2340">
        <v>512</v>
      </c>
      <c r="G2340">
        <v>110.47</v>
      </c>
      <c r="H2340">
        <v>2023</v>
      </c>
      <c r="I2340" t="s">
        <v>27</v>
      </c>
      <c r="J2340" s="4">
        <v>0.21576171875</v>
      </c>
      <c r="K2340" t="s">
        <v>40</v>
      </c>
      <c r="L2340" t="s">
        <v>59</v>
      </c>
      <c r="M2340">
        <v>6</v>
      </c>
      <c r="N2340" t="s">
        <v>66</v>
      </c>
    </row>
    <row r="2341" spans="1:14" x14ac:dyDescent="0.3">
      <c r="A2341" s="1">
        <v>45133</v>
      </c>
      <c r="B2341" t="s">
        <v>34</v>
      </c>
      <c r="C2341" t="s">
        <v>33</v>
      </c>
      <c r="D2341" t="s">
        <v>19</v>
      </c>
      <c r="E2341">
        <v>8</v>
      </c>
      <c r="F2341">
        <v>976</v>
      </c>
      <c r="G2341">
        <v>234.24</v>
      </c>
      <c r="H2341">
        <v>2023</v>
      </c>
      <c r="I2341" t="s">
        <v>25</v>
      </c>
      <c r="J2341" s="4">
        <v>0.24</v>
      </c>
      <c r="K2341" t="s">
        <v>40</v>
      </c>
      <c r="L2341" t="s">
        <v>60</v>
      </c>
      <c r="M2341">
        <v>7</v>
      </c>
      <c r="N2341" t="s">
        <v>64</v>
      </c>
    </row>
    <row r="2342" spans="1:14" x14ac:dyDescent="0.3">
      <c r="A2342" s="1">
        <v>45147</v>
      </c>
      <c r="B2342" t="s">
        <v>34</v>
      </c>
      <c r="C2342" t="s">
        <v>33</v>
      </c>
      <c r="D2342" t="s">
        <v>17</v>
      </c>
      <c r="E2342">
        <v>5</v>
      </c>
      <c r="F2342">
        <v>3720</v>
      </c>
      <c r="G2342">
        <v>448.6</v>
      </c>
      <c r="H2342">
        <v>2023</v>
      </c>
      <c r="I2342" t="s">
        <v>24</v>
      </c>
      <c r="J2342" s="4">
        <v>0.120591397849462</v>
      </c>
      <c r="K2342" t="s">
        <v>40</v>
      </c>
      <c r="L2342" t="s">
        <v>60</v>
      </c>
      <c r="M2342">
        <v>8</v>
      </c>
      <c r="N2342" t="s">
        <v>63</v>
      </c>
    </row>
    <row r="2343" spans="1:14" x14ac:dyDescent="0.3">
      <c r="A2343" s="1">
        <v>45099</v>
      </c>
      <c r="B2343" t="s">
        <v>34</v>
      </c>
      <c r="C2343" t="s">
        <v>33</v>
      </c>
      <c r="D2343" t="s">
        <v>17</v>
      </c>
      <c r="E2343">
        <v>7</v>
      </c>
      <c r="F2343">
        <v>4060</v>
      </c>
      <c r="G2343">
        <v>291.42</v>
      </c>
      <c r="H2343">
        <v>2023</v>
      </c>
      <c r="I2343" t="s">
        <v>27</v>
      </c>
      <c r="J2343" s="4">
        <v>7.17783251231527E-2</v>
      </c>
      <c r="K2343" t="s">
        <v>40</v>
      </c>
      <c r="L2343" t="s">
        <v>59</v>
      </c>
      <c r="M2343">
        <v>6</v>
      </c>
      <c r="N2343" t="s">
        <v>66</v>
      </c>
    </row>
    <row r="2344" spans="1:14" x14ac:dyDescent="0.3">
      <c r="A2344" s="1">
        <v>44964</v>
      </c>
      <c r="B2344" t="s">
        <v>34</v>
      </c>
      <c r="C2344" t="s">
        <v>33</v>
      </c>
      <c r="D2344" t="s">
        <v>22</v>
      </c>
      <c r="E2344">
        <v>5</v>
      </c>
      <c r="F2344">
        <v>5295</v>
      </c>
      <c r="G2344">
        <v>1375.98</v>
      </c>
      <c r="H2344">
        <v>2023</v>
      </c>
      <c r="I2344" t="s">
        <v>16</v>
      </c>
      <c r="J2344" s="4">
        <v>0.25986402266288999</v>
      </c>
      <c r="K2344" t="s">
        <v>40</v>
      </c>
      <c r="L2344" t="s">
        <v>55</v>
      </c>
      <c r="M2344">
        <v>2</v>
      </c>
      <c r="N2344" t="s">
        <v>57</v>
      </c>
    </row>
    <row r="2345" spans="1:14" x14ac:dyDescent="0.3">
      <c r="A2345" s="1">
        <v>44970</v>
      </c>
      <c r="B2345" t="s">
        <v>34</v>
      </c>
      <c r="C2345" t="s">
        <v>33</v>
      </c>
      <c r="D2345" t="s">
        <v>12</v>
      </c>
      <c r="E2345">
        <v>4</v>
      </c>
      <c r="F2345">
        <v>864</v>
      </c>
      <c r="G2345">
        <v>251.99</v>
      </c>
      <c r="H2345">
        <v>2023</v>
      </c>
      <c r="I2345" t="s">
        <v>16</v>
      </c>
      <c r="J2345" s="4">
        <v>0.29165509259259298</v>
      </c>
      <c r="K2345" t="s">
        <v>40</v>
      </c>
      <c r="L2345" t="s">
        <v>55</v>
      </c>
      <c r="M2345">
        <v>2</v>
      </c>
      <c r="N2345" t="s">
        <v>57</v>
      </c>
    </row>
    <row r="2346" spans="1:14" x14ac:dyDescent="0.3">
      <c r="A2346" s="1">
        <v>45254</v>
      </c>
      <c r="B2346" t="s">
        <v>34</v>
      </c>
      <c r="C2346" t="s">
        <v>33</v>
      </c>
      <c r="D2346" t="s">
        <v>17</v>
      </c>
      <c r="E2346">
        <v>4</v>
      </c>
      <c r="F2346">
        <v>4344</v>
      </c>
      <c r="G2346">
        <v>461.72</v>
      </c>
      <c r="H2346">
        <v>2023</v>
      </c>
      <c r="I2346" t="s">
        <v>18</v>
      </c>
      <c r="J2346" s="4">
        <v>0.106289134438306</v>
      </c>
      <c r="K2346" t="s">
        <v>40</v>
      </c>
      <c r="L2346" t="s">
        <v>52</v>
      </c>
      <c r="M2346">
        <v>11</v>
      </c>
      <c r="N2346" t="s">
        <v>58</v>
      </c>
    </row>
    <row r="2347" spans="1:14" x14ac:dyDescent="0.3">
      <c r="A2347" s="1">
        <v>45221</v>
      </c>
      <c r="B2347" t="s">
        <v>34</v>
      </c>
      <c r="C2347" t="s">
        <v>33</v>
      </c>
      <c r="D2347" t="s">
        <v>12</v>
      </c>
      <c r="E2347">
        <v>7</v>
      </c>
      <c r="F2347">
        <v>8155</v>
      </c>
      <c r="G2347">
        <v>2177.38</v>
      </c>
      <c r="H2347">
        <v>2023</v>
      </c>
      <c r="I2347" t="s">
        <v>14</v>
      </c>
      <c r="J2347" s="4">
        <v>0.26699938687921498</v>
      </c>
      <c r="K2347" t="s">
        <v>40</v>
      </c>
      <c r="L2347" t="s">
        <v>52</v>
      </c>
      <c r="M2347">
        <v>10</v>
      </c>
      <c r="N2347" t="s">
        <v>54</v>
      </c>
    </row>
    <row r="2348" spans="1:14" x14ac:dyDescent="0.3">
      <c r="A2348" s="1">
        <v>45113</v>
      </c>
      <c r="B2348" t="s">
        <v>34</v>
      </c>
      <c r="C2348" t="s">
        <v>33</v>
      </c>
      <c r="D2348" t="s">
        <v>12</v>
      </c>
      <c r="E2348">
        <v>8</v>
      </c>
      <c r="F2348">
        <v>2080</v>
      </c>
      <c r="G2348">
        <v>108.48</v>
      </c>
      <c r="H2348">
        <v>2023</v>
      </c>
      <c r="I2348" t="s">
        <v>25</v>
      </c>
      <c r="J2348" s="4">
        <v>5.2153846153846203E-2</v>
      </c>
      <c r="K2348" t="s">
        <v>40</v>
      </c>
      <c r="L2348" t="s">
        <v>60</v>
      </c>
      <c r="M2348">
        <v>7</v>
      </c>
      <c r="N2348" t="s">
        <v>64</v>
      </c>
    </row>
    <row r="2349" spans="1:14" x14ac:dyDescent="0.3">
      <c r="A2349" s="1">
        <v>44940</v>
      </c>
      <c r="B2349" t="s">
        <v>34</v>
      </c>
      <c r="C2349" t="s">
        <v>33</v>
      </c>
      <c r="D2349" t="s">
        <v>22</v>
      </c>
      <c r="E2349">
        <v>9</v>
      </c>
      <c r="F2349">
        <v>7938</v>
      </c>
      <c r="G2349">
        <v>1191.4100000000001</v>
      </c>
      <c r="H2349">
        <v>2023</v>
      </c>
      <c r="I2349" t="s">
        <v>26</v>
      </c>
      <c r="J2349" s="4">
        <v>0.15008944318468101</v>
      </c>
      <c r="K2349" t="s">
        <v>40</v>
      </c>
      <c r="L2349" t="s">
        <v>55</v>
      </c>
      <c r="M2349">
        <v>1</v>
      </c>
      <c r="N2349" t="s">
        <v>65</v>
      </c>
    </row>
    <row r="2350" spans="1:14" x14ac:dyDescent="0.3">
      <c r="A2350" s="1">
        <v>45178</v>
      </c>
      <c r="B2350" t="s">
        <v>34</v>
      </c>
      <c r="C2350" t="s">
        <v>33</v>
      </c>
      <c r="D2350" t="s">
        <v>19</v>
      </c>
      <c r="E2350">
        <v>3</v>
      </c>
      <c r="F2350">
        <v>807</v>
      </c>
      <c r="G2350">
        <v>148.58000000000001</v>
      </c>
      <c r="H2350">
        <v>2023</v>
      </c>
      <c r="I2350" t="s">
        <v>21</v>
      </c>
      <c r="J2350" s="4">
        <v>0.184114002478315</v>
      </c>
      <c r="K2350" t="s">
        <v>40</v>
      </c>
      <c r="L2350" t="s">
        <v>60</v>
      </c>
      <c r="M2350">
        <v>9</v>
      </c>
      <c r="N2350" t="s">
        <v>61</v>
      </c>
    </row>
    <row r="2351" spans="1:14" x14ac:dyDescent="0.3">
      <c r="A2351" s="1">
        <v>44949</v>
      </c>
      <c r="B2351" t="s">
        <v>34</v>
      </c>
      <c r="C2351" t="s">
        <v>33</v>
      </c>
      <c r="D2351" t="s">
        <v>22</v>
      </c>
      <c r="E2351">
        <v>2</v>
      </c>
      <c r="F2351">
        <v>266</v>
      </c>
      <c r="G2351">
        <v>20.11</v>
      </c>
      <c r="H2351">
        <v>2023</v>
      </c>
      <c r="I2351" t="s">
        <v>26</v>
      </c>
      <c r="J2351" s="4">
        <v>7.5601503759398503E-2</v>
      </c>
      <c r="K2351" t="s">
        <v>40</v>
      </c>
      <c r="L2351" t="s">
        <v>55</v>
      </c>
      <c r="M2351">
        <v>1</v>
      </c>
      <c r="N2351" t="s">
        <v>65</v>
      </c>
    </row>
    <row r="2352" spans="1:14" x14ac:dyDescent="0.3">
      <c r="A2352" s="1">
        <v>45064</v>
      </c>
      <c r="B2352" t="s">
        <v>34</v>
      </c>
      <c r="C2352" t="s">
        <v>33</v>
      </c>
      <c r="D2352" t="s">
        <v>17</v>
      </c>
      <c r="E2352">
        <v>9</v>
      </c>
      <c r="F2352">
        <v>5949</v>
      </c>
      <c r="G2352">
        <v>368.51</v>
      </c>
      <c r="H2352">
        <v>2023</v>
      </c>
      <c r="I2352" t="s">
        <v>20</v>
      </c>
      <c r="J2352" s="4">
        <v>6.1944864683139998E-2</v>
      </c>
      <c r="K2352" t="s">
        <v>40</v>
      </c>
      <c r="L2352" t="s">
        <v>59</v>
      </c>
      <c r="M2352">
        <v>5</v>
      </c>
      <c r="N2352" t="s">
        <v>20</v>
      </c>
    </row>
    <row r="2353" spans="1:14" x14ac:dyDescent="0.3">
      <c r="A2353" s="1">
        <v>45060</v>
      </c>
      <c r="B2353" t="s">
        <v>34</v>
      </c>
      <c r="C2353" t="s">
        <v>33</v>
      </c>
      <c r="D2353" t="s">
        <v>12</v>
      </c>
      <c r="E2353">
        <v>8</v>
      </c>
      <c r="F2353">
        <v>2976</v>
      </c>
      <c r="G2353">
        <v>507.77</v>
      </c>
      <c r="H2353">
        <v>2023</v>
      </c>
      <c r="I2353" t="s">
        <v>20</v>
      </c>
      <c r="J2353" s="4">
        <v>0.17062163978494599</v>
      </c>
      <c r="K2353" t="s">
        <v>40</v>
      </c>
      <c r="L2353" t="s">
        <v>59</v>
      </c>
      <c r="M2353">
        <v>5</v>
      </c>
      <c r="N2353" t="s">
        <v>20</v>
      </c>
    </row>
    <row r="2354" spans="1:14" x14ac:dyDescent="0.3">
      <c r="A2354" s="1">
        <v>45029</v>
      </c>
      <c r="B2354" t="s">
        <v>34</v>
      </c>
      <c r="C2354" t="s">
        <v>33</v>
      </c>
      <c r="D2354" t="s">
        <v>17</v>
      </c>
      <c r="E2354">
        <v>7</v>
      </c>
      <c r="F2354">
        <v>4550</v>
      </c>
      <c r="G2354">
        <v>1077.8</v>
      </c>
      <c r="H2354">
        <v>2023</v>
      </c>
      <c r="I2354" t="s">
        <v>23</v>
      </c>
      <c r="J2354" s="4">
        <v>0.236879120879121</v>
      </c>
      <c r="K2354" t="s">
        <v>40</v>
      </c>
      <c r="L2354" t="s">
        <v>59</v>
      </c>
      <c r="M2354">
        <v>4</v>
      </c>
      <c r="N2354" t="s">
        <v>62</v>
      </c>
    </row>
    <row r="2355" spans="1:14" x14ac:dyDescent="0.3">
      <c r="A2355" s="1">
        <v>45118</v>
      </c>
      <c r="B2355" t="s">
        <v>34</v>
      </c>
      <c r="C2355" t="s">
        <v>33</v>
      </c>
      <c r="D2355" t="s">
        <v>12</v>
      </c>
      <c r="E2355">
        <v>3</v>
      </c>
      <c r="F2355">
        <v>1215</v>
      </c>
      <c r="G2355">
        <v>129.80000000000001</v>
      </c>
      <c r="H2355">
        <v>2023</v>
      </c>
      <c r="I2355" t="s">
        <v>25</v>
      </c>
      <c r="J2355" s="4">
        <v>0.106831275720165</v>
      </c>
      <c r="K2355" t="s">
        <v>40</v>
      </c>
      <c r="L2355" t="s">
        <v>60</v>
      </c>
      <c r="M2355">
        <v>7</v>
      </c>
      <c r="N2355" t="s">
        <v>64</v>
      </c>
    </row>
    <row r="2356" spans="1:14" x14ac:dyDescent="0.3">
      <c r="A2356" s="1">
        <v>44943</v>
      </c>
      <c r="B2356" t="s">
        <v>34</v>
      </c>
      <c r="C2356" t="s">
        <v>33</v>
      </c>
      <c r="D2356" t="s">
        <v>22</v>
      </c>
      <c r="E2356">
        <v>9</v>
      </c>
      <c r="F2356">
        <v>3411</v>
      </c>
      <c r="G2356">
        <v>444.87</v>
      </c>
      <c r="H2356">
        <v>2023</v>
      </c>
      <c r="I2356" t="s">
        <v>26</v>
      </c>
      <c r="J2356" s="4">
        <v>0.13042216358839101</v>
      </c>
      <c r="K2356" t="s">
        <v>40</v>
      </c>
      <c r="L2356" t="s">
        <v>55</v>
      </c>
      <c r="M2356">
        <v>1</v>
      </c>
      <c r="N2356" t="s">
        <v>65</v>
      </c>
    </row>
    <row r="2357" spans="1:14" x14ac:dyDescent="0.3">
      <c r="A2357" s="1">
        <v>45276</v>
      </c>
      <c r="B2357" t="s">
        <v>34</v>
      </c>
      <c r="C2357" t="s">
        <v>33</v>
      </c>
      <c r="D2357" t="s">
        <v>12</v>
      </c>
      <c r="E2357">
        <v>5</v>
      </c>
      <c r="F2357">
        <v>1700</v>
      </c>
      <c r="G2357">
        <v>360.59</v>
      </c>
      <c r="H2357">
        <v>2023</v>
      </c>
      <c r="I2357" t="s">
        <v>13</v>
      </c>
      <c r="J2357" s="4">
        <v>0.212111764705882</v>
      </c>
      <c r="K2357" t="s">
        <v>40</v>
      </c>
      <c r="L2357" t="s">
        <v>52</v>
      </c>
      <c r="M2357">
        <v>12</v>
      </c>
      <c r="N2357" t="s">
        <v>53</v>
      </c>
    </row>
    <row r="2358" spans="1:14" x14ac:dyDescent="0.3">
      <c r="A2358" s="1">
        <v>45212</v>
      </c>
      <c r="B2358" t="s">
        <v>34</v>
      </c>
      <c r="C2358" t="s">
        <v>33</v>
      </c>
      <c r="D2358" t="s">
        <v>17</v>
      </c>
      <c r="E2358">
        <v>4</v>
      </c>
      <c r="F2358">
        <v>3604</v>
      </c>
      <c r="G2358">
        <v>971.14</v>
      </c>
      <c r="H2358">
        <v>2023</v>
      </c>
      <c r="I2358" t="s">
        <v>14</v>
      </c>
      <c r="J2358" s="4">
        <v>0.26946170921198698</v>
      </c>
      <c r="K2358" t="s">
        <v>40</v>
      </c>
      <c r="L2358" t="s">
        <v>52</v>
      </c>
      <c r="M2358">
        <v>10</v>
      </c>
      <c r="N2358" t="s">
        <v>54</v>
      </c>
    </row>
    <row r="2359" spans="1:14" x14ac:dyDescent="0.3">
      <c r="A2359" s="1">
        <v>44973</v>
      </c>
      <c r="B2359" t="s">
        <v>34</v>
      </c>
      <c r="C2359" t="s">
        <v>33</v>
      </c>
      <c r="D2359" t="s">
        <v>19</v>
      </c>
      <c r="E2359">
        <v>1</v>
      </c>
      <c r="F2359">
        <v>849</v>
      </c>
      <c r="G2359">
        <v>205.88</v>
      </c>
      <c r="H2359">
        <v>2023</v>
      </c>
      <c r="I2359" t="s">
        <v>16</v>
      </c>
      <c r="J2359" s="4">
        <v>0.24249705535924601</v>
      </c>
      <c r="K2359" t="s">
        <v>40</v>
      </c>
      <c r="L2359" t="s">
        <v>55</v>
      </c>
      <c r="M2359">
        <v>2</v>
      </c>
      <c r="N2359" t="s">
        <v>57</v>
      </c>
    </row>
    <row r="2360" spans="1:14" x14ac:dyDescent="0.3">
      <c r="A2360" s="1">
        <v>45151</v>
      </c>
      <c r="B2360" t="s">
        <v>34</v>
      </c>
      <c r="C2360" t="s">
        <v>33</v>
      </c>
      <c r="D2360" t="s">
        <v>19</v>
      </c>
      <c r="E2360">
        <v>6</v>
      </c>
      <c r="F2360">
        <v>3186</v>
      </c>
      <c r="G2360">
        <v>374.63</v>
      </c>
      <c r="H2360">
        <v>2023</v>
      </c>
      <c r="I2360" t="s">
        <v>24</v>
      </c>
      <c r="J2360" s="4">
        <v>0.117586315128688</v>
      </c>
      <c r="K2360" t="s">
        <v>40</v>
      </c>
      <c r="L2360" t="s">
        <v>60</v>
      </c>
      <c r="M2360">
        <v>8</v>
      </c>
      <c r="N2360" t="s">
        <v>63</v>
      </c>
    </row>
    <row r="2361" spans="1:14" x14ac:dyDescent="0.3">
      <c r="A2361" s="1">
        <v>45022</v>
      </c>
      <c r="B2361" t="s">
        <v>34</v>
      </c>
      <c r="C2361" t="s">
        <v>33</v>
      </c>
      <c r="D2361" t="s">
        <v>19</v>
      </c>
      <c r="E2361">
        <v>2</v>
      </c>
      <c r="F2361">
        <v>1458</v>
      </c>
      <c r="G2361">
        <v>208.93</v>
      </c>
      <c r="H2361">
        <v>2023</v>
      </c>
      <c r="I2361" t="s">
        <v>23</v>
      </c>
      <c r="J2361" s="4">
        <v>0.143299039780521</v>
      </c>
      <c r="K2361" t="s">
        <v>40</v>
      </c>
      <c r="L2361" t="s">
        <v>59</v>
      </c>
      <c r="M2361">
        <v>4</v>
      </c>
      <c r="N2361" t="s">
        <v>62</v>
      </c>
    </row>
    <row r="2362" spans="1:14" x14ac:dyDescent="0.3">
      <c r="A2362" s="1">
        <v>45140</v>
      </c>
      <c r="B2362" t="s">
        <v>34</v>
      </c>
      <c r="C2362" t="s">
        <v>33</v>
      </c>
      <c r="D2362" t="s">
        <v>19</v>
      </c>
      <c r="E2362">
        <v>1</v>
      </c>
      <c r="F2362">
        <v>1032</v>
      </c>
      <c r="G2362">
        <v>291.41000000000003</v>
      </c>
      <c r="H2362">
        <v>2023</v>
      </c>
      <c r="I2362" t="s">
        <v>24</v>
      </c>
      <c r="J2362" s="4">
        <v>0.28237403100775199</v>
      </c>
      <c r="K2362" t="s">
        <v>40</v>
      </c>
      <c r="L2362" t="s">
        <v>60</v>
      </c>
      <c r="M2362">
        <v>8</v>
      </c>
      <c r="N2362" t="s">
        <v>63</v>
      </c>
    </row>
    <row r="2363" spans="1:14" x14ac:dyDescent="0.3">
      <c r="A2363" s="1">
        <v>45270</v>
      </c>
      <c r="B2363" t="s">
        <v>34</v>
      </c>
      <c r="C2363" t="s">
        <v>33</v>
      </c>
      <c r="D2363" t="s">
        <v>19</v>
      </c>
      <c r="E2363">
        <v>8</v>
      </c>
      <c r="F2363">
        <v>4136</v>
      </c>
      <c r="G2363">
        <v>1056.54</v>
      </c>
      <c r="H2363">
        <v>2023</v>
      </c>
      <c r="I2363" t="s">
        <v>13</v>
      </c>
      <c r="J2363" s="4">
        <v>0.25544970986460303</v>
      </c>
      <c r="K2363" t="s">
        <v>40</v>
      </c>
      <c r="L2363" t="s">
        <v>52</v>
      </c>
      <c r="M2363">
        <v>12</v>
      </c>
      <c r="N2363" t="s">
        <v>53</v>
      </c>
    </row>
    <row r="2364" spans="1:14" x14ac:dyDescent="0.3">
      <c r="A2364" s="1">
        <v>44988</v>
      </c>
      <c r="B2364" t="s">
        <v>34</v>
      </c>
      <c r="C2364" t="s">
        <v>33</v>
      </c>
      <c r="D2364" t="s">
        <v>22</v>
      </c>
      <c r="E2364">
        <v>2</v>
      </c>
      <c r="F2364">
        <v>2134</v>
      </c>
      <c r="G2364">
        <v>269.52999999999997</v>
      </c>
      <c r="H2364">
        <v>2023</v>
      </c>
      <c r="I2364" t="s">
        <v>15</v>
      </c>
      <c r="J2364" s="4">
        <v>0.126302717900656</v>
      </c>
      <c r="K2364" t="s">
        <v>40</v>
      </c>
      <c r="L2364" t="s">
        <v>55</v>
      </c>
      <c r="M2364">
        <v>3</v>
      </c>
      <c r="N2364" t="s">
        <v>56</v>
      </c>
    </row>
    <row r="2365" spans="1:14" x14ac:dyDescent="0.3">
      <c r="A2365" s="1">
        <v>45154</v>
      </c>
      <c r="B2365" t="s">
        <v>34</v>
      </c>
      <c r="C2365" t="s">
        <v>33</v>
      </c>
      <c r="D2365" t="s">
        <v>22</v>
      </c>
      <c r="E2365">
        <v>5</v>
      </c>
      <c r="F2365">
        <v>2185</v>
      </c>
      <c r="G2365">
        <v>136.1</v>
      </c>
      <c r="H2365">
        <v>2023</v>
      </c>
      <c r="I2365" t="s">
        <v>24</v>
      </c>
      <c r="J2365" s="4">
        <v>6.2288329519450798E-2</v>
      </c>
      <c r="K2365" t="s">
        <v>40</v>
      </c>
      <c r="L2365" t="s">
        <v>60</v>
      </c>
      <c r="M2365">
        <v>8</v>
      </c>
      <c r="N2365" t="s">
        <v>63</v>
      </c>
    </row>
    <row r="2366" spans="1:14" x14ac:dyDescent="0.3">
      <c r="A2366" s="1">
        <v>45225</v>
      </c>
      <c r="B2366" t="s">
        <v>34</v>
      </c>
      <c r="C2366" t="s">
        <v>33</v>
      </c>
      <c r="D2366" t="s">
        <v>12</v>
      </c>
      <c r="E2366">
        <v>5</v>
      </c>
      <c r="F2366">
        <v>1940</v>
      </c>
      <c r="G2366">
        <v>423.17</v>
      </c>
      <c r="H2366">
        <v>2023</v>
      </c>
      <c r="I2366" t="s">
        <v>14</v>
      </c>
      <c r="J2366" s="4">
        <v>0.218128865979381</v>
      </c>
      <c r="K2366" t="s">
        <v>40</v>
      </c>
      <c r="L2366" t="s">
        <v>52</v>
      </c>
      <c r="M2366">
        <v>10</v>
      </c>
      <c r="N2366" t="s">
        <v>54</v>
      </c>
    </row>
    <row r="2367" spans="1:14" x14ac:dyDescent="0.3">
      <c r="A2367" s="1">
        <v>45135</v>
      </c>
      <c r="B2367" t="s">
        <v>34</v>
      </c>
      <c r="C2367" t="s">
        <v>33</v>
      </c>
      <c r="D2367" t="s">
        <v>22</v>
      </c>
      <c r="E2367">
        <v>4</v>
      </c>
      <c r="F2367">
        <v>356</v>
      </c>
      <c r="G2367">
        <v>59.15</v>
      </c>
      <c r="H2367">
        <v>2023</v>
      </c>
      <c r="I2367" t="s">
        <v>25</v>
      </c>
      <c r="J2367" s="4">
        <v>0.166151685393258</v>
      </c>
      <c r="K2367" t="s">
        <v>40</v>
      </c>
      <c r="L2367" t="s">
        <v>60</v>
      </c>
      <c r="M2367">
        <v>7</v>
      </c>
      <c r="N2367" t="s">
        <v>64</v>
      </c>
    </row>
    <row r="2368" spans="1:14" x14ac:dyDescent="0.3">
      <c r="A2368" s="1">
        <v>45196</v>
      </c>
      <c r="B2368" t="s">
        <v>34</v>
      </c>
      <c r="C2368" t="s">
        <v>33</v>
      </c>
      <c r="D2368" t="s">
        <v>22</v>
      </c>
      <c r="E2368">
        <v>4</v>
      </c>
      <c r="F2368">
        <v>2628</v>
      </c>
      <c r="G2368">
        <v>727.87</v>
      </c>
      <c r="H2368">
        <v>2023</v>
      </c>
      <c r="I2368" t="s">
        <v>21</v>
      </c>
      <c r="J2368" s="4">
        <v>0.27696727549467298</v>
      </c>
      <c r="K2368" t="s">
        <v>40</v>
      </c>
      <c r="L2368" t="s">
        <v>60</v>
      </c>
      <c r="M2368">
        <v>9</v>
      </c>
      <c r="N2368" t="s">
        <v>61</v>
      </c>
    </row>
    <row r="2369" spans="1:14" x14ac:dyDescent="0.3">
      <c r="A2369" s="1">
        <v>44939</v>
      </c>
      <c r="B2369" t="s">
        <v>34</v>
      </c>
      <c r="C2369" t="s">
        <v>33</v>
      </c>
      <c r="D2369" t="s">
        <v>12</v>
      </c>
      <c r="E2369">
        <v>7</v>
      </c>
      <c r="F2369">
        <v>5327</v>
      </c>
      <c r="G2369">
        <v>950.7</v>
      </c>
      <c r="H2369">
        <v>2023</v>
      </c>
      <c r="I2369" t="s">
        <v>26</v>
      </c>
      <c r="J2369" s="4">
        <v>0.178468180964896</v>
      </c>
      <c r="K2369" t="s">
        <v>40</v>
      </c>
      <c r="L2369" t="s">
        <v>55</v>
      </c>
      <c r="M2369">
        <v>1</v>
      </c>
      <c r="N2369" t="s">
        <v>65</v>
      </c>
    </row>
    <row r="2370" spans="1:14" x14ac:dyDescent="0.3">
      <c r="A2370" s="1">
        <v>45155</v>
      </c>
      <c r="B2370" t="s">
        <v>34</v>
      </c>
      <c r="C2370" t="s">
        <v>33</v>
      </c>
      <c r="D2370" t="s">
        <v>19</v>
      </c>
      <c r="E2370">
        <v>9</v>
      </c>
      <c r="F2370">
        <v>2349</v>
      </c>
      <c r="G2370">
        <v>244.18</v>
      </c>
      <c r="H2370">
        <v>2023</v>
      </c>
      <c r="I2370" t="s">
        <v>24</v>
      </c>
      <c r="J2370" s="4">
        <v>0.103950617283951</v>
      </c>
      <c r="K2370" t="s">
        <v>40</v>
      </c>
      <c r="L2370" t="s">
        <v>60</v>
      </c>
      <c r="M2370">
        <v>8</v>
      </c>
      <c r="N2370" t="s">
        <v>63</v>
      </c>
    </row>
    <row r="2371" spans="1:14" x14ac:dyDescent="0.3">
      <c r="A2371" s="1">
        <v>45083</v>
      </c>
      <c r="B2371" t="s">
        <v>34</v>
      </c>
      <c r="C2371" t="s">
        <v>33</v>
      </c>
      <c r="D2371" t="s">
        <v>19</v>
      </c>
      <c r="E2371">
        <v>4</v>
      </c>
      <c r="F2371">
        <v>1168</v>
      </c>
      <c r="G2371">
        <v>220.22</v>
      </c>
      <c r="H2371">
        <v>2023</v>
      </c>
      <c r="I2371" t="s">
        <v>27</v>
      </c>
      <c r="J2371" s="4">
        <v>0.18854452054794499</v>
      </c>
      <c r="K2371" t="s">
        <v>40</v>
      </c>
      <c r="L2371" t="s">
        <v>59</v>
      </c>
      <c r="M2371">
        <v>6</v>
      </c>
      <c r="N2371" t="s">
        <v>66</v>
      </c>
    </row>
    <row r="2372" spans="1:14" x14ac:dyDescent="0.3">
      <c r="A2372" s="1">
        <v>45267</v>
      </c>
      <c r="B2372" t="s">
        <v>34</v>
      </c>
      <c r="C2372" t="s">
        <v>33</v>
      </c>
      <c r="D2372" t="s">
        <v>12</v>
      </c>
      <c r="E2372">
        <v>1</v>
      </c>
      <c r="F2372">
        <v>527</v>
      </c>
      <c r="G2372">
        <v>27.45</v>
      </c>
      <c r="H2372">
        <v>2023</v>
      </c>
      <c r="I2372" t="s">
        <v>13</v>
      </c>
      <c r="J2372" s="4">
        <v>5.2087286527514202E-2</v>
      </c>
      <c r="K2372" t="s">
        <v>40</v>
      </c>
      <c r="L2372" t="s">
        <v>52</v>
      </c>
      <c r="M2372">
        <v>12</v>
      </c>
      <c r="N2372" t="s">
        <v>53</v>
      </c>
    </row>
    <row r="2373" spans="1:14" x14ac:dyDescent="0.3">
      <c r="A2373" s="1">
        <v>44958</v>
      </c>
      <c r="B2373" t="s">
        <v>34</v>
      </c>
      <c r="C2373" t="s">
        <v>33</v>
      </c>
      <c r="D2373" t="s">
        <v>12</v>
      </c>
      <c r="E2373">
        <v>5</v>
      </c>
      <c r="F2373">
        <v>3350</v>
      </c>
      <c r="G2373">
        <v>986.33</v>
      </c>
      <c r="H2373">
        <v>2023</v>
      </c>
      <c r="I2373" t="s">
        <v>16</v>
      </c>
      <c r="J2373" s="4">
        <v>0.294426865671642</v>
      </c>
      <c r="K2373" t="s">
        <v>40</v>
      </c>
      <c r="L2373" t="s">
        <v>55</v>
      </c>
      <c r="M2373">
        <v>2</v>
      </c>
      <c r="N2373" t="s">
        <v>57</v>
      </c>
    </row>
    <row r="2374" spans="1:14" x14ac:dyDescent="0.3">
      <c r="A2374" s="1">
        <v>45279</v>
      </c>
      <c r="B2374" t="s">
        <v>34</v>
      </c>
      <c r="C2374" t="s">
        <v>33</v>
      </c>
      <c r="D2374" t="s">
        <v>17</v>
      </c>
      <c r="E2374">
        <v>7</v>
      </c>
      <c r="F2374">
        <v>1470</v>
      </c>
      <c r="G2374">
        <v>178.85</v>
      </c>
      <c r="H2374">
        <v>2023</v>
      </c>
      <c r="I2374" t="s">
        <v>13</v>
      </c>
      <c r="J2374" s="4">
        <v>0.12166666666666701</v>
      </c>
      <c r="K2374" t="s">
        <v>40</v>
      </c>
      <c r="L2374" t="s">
        <v>52</v>
      </c>
      <c r="M2374">
        <v>12</v>
      </c>
      <c r="N2374" t="s">
        <v>53</v>
      </c>
    </row>
    <row r="2375" spans="1:14" x14ac:dyDescent="0.3">
      <c r="A2375" s="1">
        <v>45120</v>
      </c>
      <c r="B2375" t="s">
        <v>34</v>
      </c>
      <c r="C2375" t="s">
        <v>33</v>
      </c>
      <c r="D2375" t="s">
        <v>22</v>
      </c>
      <c r="E2375">
        <v>2</v>
      </c>
      <c r="F2375">
        <v>124</v>
      </c>
      <c r="G2375">
        <v>32.270000000000003</v>
      </c>
      <c r="H2375">
        <v>2023</v>
      </c>
      <c r="I2375" t="s">
        <v>25</v>
      </c>
      <c r="J2375" s="4">
        <v>0.26024193548387098</v>
      </c>
      <c r="K2375" t="s">
        <v>40</v>
      </c>
      <c r="L2375" t="s">
        <v>60</v>
      </c>
      <c r="M2375">
        <v>7</v>
      </c>
      <c r="N2375" t="s">
        <v>64</v>
      </c>
    </row>
    <row r="2376" spans="1:14" x14ac:dyDescent="0.3">
      <c r="A2376" s="1">
        <v>45110</v>
      </c>
      <c r="B2376" t="s">
        <v>34</v>
      </c>
      <c r="C2376" t="s">
        <v>33</v>
      </c>
      <c r="D2376" t="s">
        <v>17</v>
      </c>
      <c r="E2376">
        <v>2</v>
      </c>
      <c r="F2376">
        <v>416</v>
      </c>
      <c r="G2376">
        <v>71.680000000000007</v>
      </c>
      <c r="H2376">
        <v>2023</v>
      </c>
      <c r="I2376" t="s">
        <v>25</v>
      </c>
      <c r="J2376" s="4">
        <v>0.172307692307692</v>
      </c>
      <c r="K2376" t="s">
        <v>40</v>
      </c>
      <c r="L2376" t="s">
        <v>60</v>
      </c>
      <c r="M2376">
        <v>7</v>
      </c>
      <c r="N2376" t="s">
        <v>64</v>
      </c>
    </row>
    <row r="2377" spans="1:14" x14ac:dyDescent="0.3">
      <c r="A2377" s="1">
        <v>44939</v>
      </c>
      <c r="B2377" t="s">
        <v>34</v>
      </c>
      <c r="C2377" t="s">
        <v>33</v>
      </c>
      <c r="D2377" t="s">
        <v>19</v>
      </c>
      <c r="E2377">
        <v>7</v>
      </c>
      <c r="F2377">
        <v>7966</v>
      </c>
      <c r="G2377">
        <v>955.8</v>
      </c>
      <c r="H2377">
        <v>2023</v>
      </c>
      <c r="I2377" t="s">
        <v>26</v>
      </c>
      <c r="J2377" s="4">
        <v>0.11998493597790599</v>
      </c>
      <c r="K2377" t="s">
        <v>40</v>
      </c>
      <c r="L2377" t="s">
        <v>55</v>
      </c>
      <c r="M2377">
        <v>1</v>
      </c>
      <c r="N2377" t="s">
        <v>65</v>
      </c>
    </row>
    <row r="2378" spans="1:14" x14ac:dyDescent="0.3">
      <c r="A2378" s="1">
        <v>45180</v>
      </c>
      <c r="B2378" t="s">
        <v>34</v>
      </c>
      <c r="C2378" t="s">
        <v>33</v>
      </c>
      <c r="D2378" t="s">
        <v>19</v>
      </c>
      <c r="E2378">
        <v>1</v>
      </c>
      <c r="F2378">
        <v>856</v>
      </c>
      <c r="G2378">
        <v>87.69</v>
      </c>
      <c r="H2378">
        <v>2023</v>
      </c>
      <c r="I2378" t="s">
        <v>21</v>
      </c>
      <c r="J2378" s="4">
        <v>0.102441588785047</v>
      </c>
      <c r="K2378" t="s">
        <v>40</v>
      </c>
      <c r="L2378" t="s">
        <v>60</v>
      </c>
      <c r="M2378">
        <v>9</v>
      </c>
      <c r="N2378" t="s">
        <v>61</v>
      </c>
    </row>
    <row r="2379" spans="1:14" x14ac:dyDescent="0.3">
      <c r="A2379" s="1">
        <v>45241</v>
      </c>
      <c r="B2379" t="s">
        <v>34</v>
      </c>
      <c r="C2379" t="s">
        <v>33</v>
      </c>
      <c r="D2379" t="s">
        <v>17</v>
      </c>
      <c r="E2379">
        <v>1</v>
      </c>
      <c r="F2379">
        <v>459</v>
      </c>
      <c r="G2379">
        <v>125.19</v>
      </c>
      <c r="H2379">
        <v>2023</v>
      </c>
      <c r="I2379" t="s">
        <v>18</v>
      </c>
      <c r="J2379" s="4">
        <v>0.27274509803921598</v>
      </c>
      <c r="K2379" t="s">
        <v>40</v>
      </c>
      <c r="L2379" t="s">
        <v>52</v>
      </c>
      <c r="M2379">
        <v>11</v>
      </c>
      <c r="N2379" t="s">
        <v>58</v>
      </c>
    </row>
    <row r="2380" spans="1:14" x14ac:dyDescent="0.3">
      <c r="A2380" s="1">
        <v>44956</v>
      </c>
      <c r="B2380" t="s">
        <v>34</v>
      </c>
      <c r="C2380" t="s">
        <v>33</v>
      </c>
      <c r="D2380" t="s">
        <v>12</v>
      </c>
      <c r="E2380">
        <v>3</v>
      </c>
      <c r="F2380">
        <v>1791</v>
      </c>
      <c r="G2380">
        <v>122.5</v>
      </c>
      <c r="H2380">
        <v>2023</v>
      </c>
      <c r="I2380" t="s">
        <v>26</v>
      </c>
      <c r="J2380" s="4">
        <v>6.8397543271915107E-2</v>
      </c>
      <c r="K2380" t="s">
        <v>40</v>
      </c>
      <c r="L2380" t="s">
        <v>55</v>
      </c>
      <c r="M2380">
        <v>1</v>
      </c>
      <c r="N2380" t="s">
        <v>65</v>
      </c>
    </row>
    <row r="2381" spans="1:14" x14ac:dyDescent="0.3">
      <c r="A2381" s="1">
        <v>45186</v>
      </c>
      <c r="B2381" t="s">
        <v>34</v>
      </c>
      <c r="C2381" t="s">
        <v>33</v>
      </c>
      <c r="D2381" t="s">
        <v>19</v>
      </c>
      <c r="E2381">
        <v>4</v>
      </c>
      <c r="F2381">
        <v>3936</v>
      </c>
      <c r="G2381">
        <v>374.34</v>
      </c>
      <c r="H2381">
        <v>2023</v>
      </c>
      <c r="I2381" t="s">
        <v>21</v>
      </c>
      <c r="J2381" s="4">
        <v>9.51067073170732E-2</v>
      </c>
      <c r="K2381" t="s">
        <v>40</v>
      </c>
      <c r="L2381" t="s">
        <v>60</v>
      </c>
      <c r="M2381">
        <v>9</v>
      </c>
      <c r="N2381" t="s">
        <v>61</v>
      </c>
    </row>
    <row r="2382" spans="1:14" x14ac:dyDescent="0.3">
      <c r="A2382" s="1">
        <v>45187</v>
      </c>
      <c r="B2382" t="s">
        <v>34</v>
      </c>
      <c r="C2382" t="s">
        <v>33</v>
      </c>
      <c r="D2382" t="s">
        <v>22</v>
      </c>
      <c r="E2382">
        <v>3</v>
      </c>
      <c r="F2382">
        <v>813</v>
      </c>
      <c r="G2382">
        <v>238.1</v>
      </c>
      <c r="H2382">
        <v>2023</v>
      </c>
      <c r="I2382" t="s">
        <v>21</v>
      </c>
      <c r="J2382" s="4">
        <v>0.29286592865928701</v>
      </c>
      <c r="K2382" t="s">
        <v>40</v>
      </c>
      <c r="L2382" t="s">
        <v>60</v>
      </c>
      <c r="M2382">
        <v>9</v>
      </c>
      <c r="N2382" t="s">
        <v>61</v>
      </c>
    </row>
    <row r="2383" spans="1:14" x14ac:dyDescent="0.3">
      <c r="A2383" s="1">
        <v>44947</v>
      </c>
      <c r="B2383" t="s">
        <v>34</v>
      </c>
      <c r="C2383" t="s">
        <v>33</v>
      </c>
      <c r="D2383" t="s">
        <v>17</v>
      </c>
      <c r="E2383">
        <v>4</v>
      </c>
      <c r="F2383">
        <v>2972</v>
      </c>
      <c r="G2383">
        <v>827.46</v>
      </c>
      <c r="H2383">
        <v>2023</v>
      </c>
      <c r="I2383" t="s">
        <v>26</v>
      </c>
      <c r="J2383" s="4">
        <v>0.27841857335127901</v>
      </c>
      <c r="K2383" t="s">
        <v>40</v>
      </c>
      <c r="L2383" t="s">
        <v>55</v>
      </c>
      <c r="M2383">
        <v>1</v>
      </c>
      <c r="N2383" t="s">
        <v>65</v>
      </c>
    </row>
    <row r="2384" spans="1:14" x14ac:dyDescent="0.3">
      <c r="A2384" s="1">
        <v>45109</v>
      </c>
      <c r="B2384" t="s">
        <v>34</v>
      </c>
      <c r="C2384" t="s">
        <v>33</v>
      </c>
      <c r="D2384" t="s">
        <v>22</v>
      </c>
      <c r="E2384">
        <v>8</v>
      </c>
      <c r="F2384">
        <v>2752</v>
      </c>
      <c r="G2384">
        <v>394.66</v>
      </c>
      <c r="H2384">
        <v>2023</v>
      </c>
      <c r="I2384" t="s">
        <v>25</v>
      </c>
      <c r="J2384" s="4">
        <v>0.143408430232558</v>
      </c>
      <c r="K2384" t="s">
        <v>40</v>
      </c>
      <c r="L2384" t="s">
        <v>60</v>
      </c>
      <c r="M2384">
        <v>7</v>
      </c>
      <c r="N2384" t="s">
        <v>64</v>
      </c>
    </row>
    <row r="2385" spans="1:14" x14ac:dyDescent="0.3">
      <c r="A2385" s="1">
        <v>45279</v>
      </c>
      <c r="B2385" t="s">
        <v>34</v>
      </c>
      <c r="C2385" t="s">
        <v>33</v>
      </c>
      <c r="D2385" t="s">
        <v>22</v>
      </c>
      <c r="E2385">
        <v>6</v>
      </c>
      <c r="F2385">
        <v>6576</v>
      </c>
      <c r="G2385">
        <v>1899.67</v>
      </c>
      <c r="H2385">
        <v>2023</v>
      </c>
      <c r="I2385" t="s">
        <v>13</v>
      </c>
      <c r="J2385" s="4">
        <v>0.28887925790754299</v>
      </c>
      <c r="K2385" t="s">
        <v>40</v>
      </c>
      <c r="L2385" t="s">
        <v>52</v>
      </c>
      <c r="M2385">
        <v>12</v>
      </c>
      <c r="N2385" t="s">
        <v>53</v>
      </c>
    </row>
    <row r="2386" spans="1:14" x14ac:dyDescent="0.3">
      <c r="A2386" s="1">
        <v>45266</v>
      </c>
      <c r="B2386" t="s">
        <v>34</v>
      </c>
      <c r="C2386" t="s">
        <v>33</v>
      </c>
      <c r="D2386" t="s">
        <v>17</v>
      </c>
      <c r="E2386">
        <v>9</v>
      </c>
      <c r="F2386">
        <v>10593</v>
      </c>
      <c r="G2386">
        <v>2488.69</v>
      </c>
      <c r="H2386">
        <v>2023</v>
      </c>
      <c r="I2386" t="s">
        <v>13</v>
      </c>
      <c r="J2386" s="4">
        <v>0.23493722269423201</v>
      </c>
      <c r="K2386" t="s">
        <v>40</v>
      </c>
      <c r="L2386" t="s">
        <v>52</v>
      </c>
      <c r="M2386">
        <v>12</v>
      </c>
      <c r="N2386" t="s">
        <v>53</v>
      </c>
    </row>
    <row r="2387" spans="1:14" x14ac:dyDescent="0.3">
      <c r="A2387" s="1">
        <v>45249</v>
      </c>
      <c r="B2387" t="s">
        <v>34</v>
      </c>
      <c r="C2387" t="s">
        <v>33</v>
      </c>
      <c r="D2387" t="s">
        <v>22</v>
      </c>
      <c r="E2387">
        <v>5</v>
      </c>
      <c r="F2387">
        <v>4240</v>
      </c>
      <c r="G2387">
        <v>426.41</v>
      </c>
      <c r="H2387">
        <v>2023</v>
      </c>
      <c r="I2387" t="s">
        <v>18</v>
      </c>
      <c r="J2387" s="4">
        <v>0.100568396226415</v>
      </c>
      <c r="K2387" t="s">
        <v>40</v>
      </c>
      <c r="L2387" t="s">
        <v>52</v>
      </c>
      <c r="M2387">
        <v>11</v>
      </c>
      <c r="N2387" t="s">
        <v>58</v>
      </c>
    </row>
    <row r="2388" spans="1:14" x14ac:dyDescent="0.3">
      <c r="A2388" s="1">
        <v>45137</v>
      </c>
      <c r="B2388" t="s">
        <v>34</v>
      </c>
      <c r="C2388" t="s">
        <v>33</v>
      </c>
      <c r="D2388" t="s">
        <v>17</v>
      </c>
      <c r="E2388">
        <v>6</v>
      </c>
      <c r="F2388">
        <v>1236</v>
      </c>
      <c r="G2388">
        <v>304.88</v>
      </c>
      <c r="H2388">
        <v>2023</v>
      </c>
      <c r="I2388" t="s">
        <v>25</v>
      </c>
      <c r="J2388" s="4">
        <v>0.24666666666666701</v>
      </c>
      <c r="K2388" t="s">
        <v>40</v>
      </c>
      <c r="L2388" t="s">
        <v>60</v>
      </c>
      <c r="M2388">
        <v>7</v>
      </c>
      <c r="N2388" t="s">
        <v>64</v>
      </c>
    </row>
    <row r="2389" spans="1:14" x14ac:dyDescent="0.3">
      <c r="A2389" s="1">
        <v>44959</v>
      </c>
      <c r="B2389" t="s">
        <v>34</v>
      </c>
      <c r="C2389" t="s">
        <v>33</v>
      </c>
      <c r="D2389" t="s">
        <v>17</v>
      </c>
      <c r="E2389">
        <v>5</v>
      </c>
      <c r="F2389">
        <v>2735</v>
      </c>
      <c r="G2389">
        <v>483.2</v>
      </c>
      <c r="H2389">
        <v>2023</v>
      </c>
      <c r="I2389" t="s">
        <v>16</v>
      </c>
      <c r="J2389" s="4">
        <v>0.17667276051188299</v>
      </c>
      <c r="K2389" t="s">
        <v>40</v>
      </c>
      <c r="L2389" t="s">
        <v>55</v>
      </c>
      <c r="M2389">
        <v>2</v>
      </c>
      <c r="N2389" t="s">
        <v>57</v>
      </c>
    </row>
    <row r="2390" spans="1:14" x14ac:dyDescent="0.3">
      <c r="A2390" s="1">
        <v>45235</v>
      </c>
      <c r="B2390" t="s">
        <v>34</v>
      </c>
      <c r="C2390" t="s">
        <v>33</v>
      </c>
      <c r="D2390" t="s">
        <v>12</v>
      </c>
      <c r="E2390">
        <v>1</v>
      </c>
      <c r="F2390">
        <v>913</v>
      </c>
      <c r="G2390">
        <v>162.24</v>
      </c>
      <c r="H2390">
        <v>2023</v>
      </c>
      <c r="I2390" t="s">
        <v>18</v>
      </c>
      <c r="J2390" s="4">
        <v>0.17769989047097501</v>
      </c>
      <c r="K2390" t="s">
        <v>40</v>
      </c>
      <c r="L2390" t="s">
        <v>52</v>
      </c>
      <c r="M2390">
        <v>11</v>
      </c>
      <c r="N2390" t="s">
        <v>58</v>
      </c>
    </row>
    <row r="2391" spans="1:14" x14ac:dyDescent="0.3">
      <c r="A2391" s="1">
        <v>45083</v>
      </c>
      <c r="B2391" t="s">
        <v>34</v>
      </c>
      <c r="C2391" t="s">
        <v>33</v>
      </c>
      <c r="D2391" t="s">
        <v>19</v>
      </c>
      <c r="E2391">
        <v>5</v>
      </c>
      <c r="F2391">
        <v>5030</v>
      </c>
      <c r="G2391">
        <v>540.73</v>
      </c>
      <c r="H2391">
        <v>2023</v>
      </c>
      <c r="I2391" t="s">
        <v>27</v>
      </c>
      <c r="J2391" s="4">
        <v>0.107500994035785</v>
      </c>
      <c r="K2391" t="s">
        <v>40</v>
      </c>
      <c r="L2391" t="s">
        <v>59</v>
      </c>
      <c r="M2391">
        <v>6</v>
      </c>
      <c r="N2391" t="s">
        <v>66</v>
      </c>
    </row>
    <row r="2392" spans="1:14" x14ac:dyDescent="0.3">
      <c r="A2392" s="1">
        <v>45051</v>
      </c>
      <c r="B2392" t="s">
        <v>34</v>
      </c>
      <c r="C2392" t="s">
        <v>33</v>
      </c>
      <c r="D2392" t="s">
        <v>19</v>
      </c>
      <c r="E2392">
        <v>3</v>
      </c>
      <c r="F2392">
        <v>780</v>
      </c>
      <c r="G2392">
        <v>217.92</v>
      </c>
      <c r="H2392">
        <v>2023</v>
      </c>
      <c r="I2392" t="s">
        <v>20</v>
      </c>
      <c r="J2392" s="4">
        <v>0.27938461538461501</v>
      </c>
      <c r="K2392" t="s">
        <v>40</v>
      </c>
      <c r="L2392" t="s">
        <v>59</v>
      </c>
      <c r="M2392">
        <v>5</v>
      </c>
      <c r="N2392" t="s">
        <v>20</v>
      </c>
    </row>
    <row r="2393" spans="1:14" x14ac:dyDescent="0.3">
      <c r="A2393" s="1">
        <v>45259</v>
      </c>
      <c r="B2393" t="s">
        <v>34</v>
      </c>
      <c r="C2393" t="s">
        <v>33</v>
      </c>
      <c r="D2393" t="s">
        <v>22</v>
      </c>
      <c r="E2393">
        <v>6</v>
      </c>
      <c r="F2393">
        <v>6876</v>
      </c>
      <c r="G2393">
        <v>1029.92</v>
      </c>
      <c r="H2393">
        <v>2023</v>
      </c>
      <c r="I2393" t="s">
        <v>18</v>
      </c>
      <c r="J2393" s="4">
        <v>0.14978475858057</v>
      </c>
      <c r="K2393" t="s">
        <v>40</v>
      </c>
      <c r="L2393" t="s">
        <v>52</v>
      </c>
      <c r="M2393">
        <v>11</v>
      </c>
      <c r="N2393" t="s">
        <v>58</v>
      </c>
    </row>
    <row r="2394" spans="1:14" x14ac:dyDescent="0.3">
      <c r="A2394" s="1">
        <v>45070</v>
      </c>
      <c r="B2394" t="s">
        <v>34</v>
      </c>
      <c r="C2394" t="s">
        <v>33</v>
      </c>
      <c r="D2394" t="s">
        <v>12</v>
      </c>
      <c r="E2394">
        <v>3</v>
      </c>
      <c r="F2394">
        <v>3375</v>
      </c>
      <c r="G2394">
        <v>451.5</v>
      </c>
      <c r="H2394">
        <v>2023</v>
      </c>
      <c r="I2394" t="s">
        <v>20</v>
      </c>
      <c r="J2394" s="4">
        <v>0.133777777777778</v>
      </c>
      <c r="K2394" t="s">
        <v>40</v>
      </c>
      <c r="L2394" t="s">
        <v>59</v>
      </c>
      <c r="M2394">
        <v>5</v>
      </c>
      <c r="N2394" t="s">
        <v>20</v>
      </c>
    </row>
    <row r="2395" spans="1:14" x14ac:dyDescent="0.3">
      <c r="A2395" s="1">
        <v>45232</v>
      </c>
      <c r="B2395" t="s">
        <v>34</v>
      </c>
      <c r="C2395" t="s">
        <v>33</v>
      </c>
      <c r="D2395" t="s">
        <v>17</v>
      </c>
      <c r="E2395">
        <v>9</v>
      </c>
      <c r="F2395">
        <v>8640</v>
      </c>
      <c r="G2395">
        <v>1254.3</v>
      </c>
      <c r="H2395">
        <v>2023</v>
      </c>
      <c r="I2395" t="s">
        <v>18</v>
      </c>
      <c r="J2395" s="4">
        <v>0.14517361111111099</v>
      </c>
      <c r="K2395" t="s">
        <v>40</v>
      </c>
      <c r="L2395" t="s">
        <v>52</v>
      </c>
      <c r="M2395">
        <v>11</v>
      </c>
      <c r="N2395" t="s">
        <v>58</v>
      </c>
    </row>
    <row r="2396" spans="1:14" x14ac:dyDescent="0.3">
      <c r="A2396" s="1">
        <v>45027</v>
      </c>
      <c r="B2396" t="s">
        <v>34</v>
      </c>
      <c r="C2396" t="s">
        <v>33</v>
      </c>
      <c r="D2396" t="s">
        <v>12</v>
      </c>
      <c r="E2396">
        <v>2</v>
      </c>
      <c r="F2396">
        <v>140</v>
      </c>
      <c r="G2396">
        <v>35.18</v>
      </c>
      <c r="H2396">
        <v>2023</v>
      </c>
      <c r="I2396" t="s">
        <v>23</v>
      </c>
      <c r="J2396" s="4">
        <v>0.251285714285714</v>
      </c>
      <c r="K2396" t="s">
        <v>40</v>
      </c>
      <c r="L2396" t="s">
        <v>59</v>
      </c>
      <c r="M2396">
        <v>4</v>
      </c>
      <c r="N2396" t="s">
        <v>62</v>
      </c>
    </row>
    <row r="2397" spans="1:14" x14ac:dyDescent="0.3">
      <c r="A2397" s="1">
        <v>45275</v>
      </c>
      <c r="B2397" t="s">
        <v>34</v>
      </c>
      <c r="C2397" t="s">
        <v>33</v>
      </c>
      <c r="D2397" t="s">
        <v>17</v>
      </c>
      <c r="E2397">
        <v>7</v>
      </c>
      <c r="F2397">
        <v>1722</v>
      </c>
      <c r="G2397">
        <v>162.38999999999999</v>
      </c>
      <c r="H2397">
        <v>2023</v>
      </c>
      <c r="I2397" t="s">
        <v>13</v>
      </c>
      <c r="J2397" s="4">
        <v>9.4303135888501699E-2</v>
      </c>
      <c r="K2397" t="s">
        <v>40</v>
      </c>
      <c r="L2397" t="s">
        <v>52</v>
      </c>
      <c r="M2397">
        <v>12</v>
      </c>
      <c r="N2397" t="s">
        <v>53</v>
      </c>
    </row>
    <row r="2398" spans="1:14" x14ac:dyDescent="0.3">
      <c r="A2398" s="1">
        <v>45054</v>
      </c>
      <c r="B2398" t="s">
        <v>34</v>
      </c>
      <c r="C2398" t="s">
        <v>33</v>
      </c>
      <c r="D2398" t="s">
        <v>17</v>
      </c>
      <c r="E2398">
        <v>8</v>
      </c>
      <c r="F2398">
        <v>9232</v>
      </c>
      <c r="G2398">
        <v>490.66</v>
      </c>
      <c r="H2398">
        <v>2023</v>
      </c>
      <c r="I2398" t="s">
        <v>20</v>
      </c>
      <c r="J2398" s="4">
        <v>5.3147746967071099E-2</v>
      </c>
      <c r="K2398" t="s">
        <v>40</v>
      </c>
      <c r="L2398" t="s">
        <v>59</v>
      </c>
      <c r="M2398">
        <v>5</v>
      </c>
      <c r="N2398" t="s">
        <v>20</v>
      </c>
    </row>
    <row r="2399" spans="1:14" x14ac:dyDescent="0.3">
      <c r="A2399" s="1">
        <v>45053</v>
      </c>
      <c r="B2399" t="s">
        <v>34</v>
      </c>
      <c r="C2399" t="s">
        <v>33</v>
      </c>
      <c r="D2399" t="s">
        <v>17</v>
      </c>
      <c r="E2399">
        <v>8</v>
      </c>
      <c r="F2399">
        <v>7960</v>
      </c>
      <c r="G2399">
        <v>804.11</v>
      </c>
      <c r="H2399">
        <v>2023</v>
      </c>
      <c r="I2399" t="s">
        <v>20</v>
      </c>
      <c r="J2399" s="4">
        <v>0.10101884422110601</v>
      </c>
      <c r="K2399" t="s">
        <v>40</v>
      </c>
      <c r="L2399" t="s">
        <v>59</v>
      </c>
      <c r="M2399">
        <v>5</v>
      </c>
      <c r="N2399" t="s">
        <v>20</v>
      </c>
    </row>
    <row r="2400" spans="1:14" x14ac:dyDescent="0.3">
      <c r="A2400" s="1">
        <v>44966</v>
      </c>
      <c r="B2400" t="s">
        <v>34</v>
      </c>
      <c r="C2400" t="s">
        <v>33</v>
      </c>
      <c r="D2400" t="s">
        <v>12</v>
      </c>
      <c r="E2400">
        <v>8</v>
      </c>
      <c r="F2400">
        <v>6232</v>
      </c>
      <c r="G2400">
        <v>499.63</v>
      </c>
      <c r="H2400">
        <v>2023</v>
      </c>
      <c r="I2400" t="s">
        <v>16</v>
      </c>
      <c r="J2400" s="4">
        <v>8.0171694480102695E-2</v>
      </c>
      <c r="K2400" t="s">
        <v>40</v>
      </c>
      <c r="L2400" t="s">
        <v>55</v>
      </c>
      <c r="M2400">
        <v>2</v>
      </c>
      <c r="N2400" t="s">
        <v>57</v>
      </c>
    </row>
    <row r="2401" spans="1:14" x14ac:dyDescent="0.3">
      <c r="A2401" s="1">
        <v>44958</v>
      </c>
      <c r="B2401" t="s">
        <v>34</v>
      </c>
      <c r="C2401" t="s">
        <v>33</v>
      </c>
      <c r="D2401" t="s">
        <v>19</v>
      </c>
      <c r="E2401">
        <v>6</v>
      </c>
      <c r="F2401">
        <v>4944</v>
      </c>
      <c r="G2401">
        <v>758.46</v>
      </c>
      <c r="H2401">
        <v>2023</v>
      </c>
      <c r="I2401" t="s">
        <v>16</v>
      </c>
      <c r="J2401" s="4">
        <v>0.15341019417475699</v>
      </c>
      <c r="K2401" t="s">
        <v>40</v>
      </c>
      <c r="L2401" t="s">
        <v>55</v>
      </c>
      <c r="M2401">
        <v>2</v>
      </c>
      <c r="N2401" t="s">
        <v>57</v>
      </c>
    </row>
    <row r="2402" spans="1:14" x14ac:dyDescent="0.3">
      <c r="A2402" s="1">
        <v>44967</v>
      </c>
      <c r="B2402" t="s">
        <v>34</v>
      </c>
      <c r="C2402" t="s">
        <v>33</v>
      </c>
      <c r="D2402" t="s">
        <v>22</v>
      </c>
      <c r="E2402">
        <v>8</v>
      </c>
      <c r="F2402">
        <v>7520</v>
      </c>
      <c r="G2402">
        <v>995.03</v>
      </c>
      <c r="H2402">
        <v>2023</v>
      </c>
      <c r="I2402" t="s">
        <v>16</v>
      </c>
      <c r="J2402" s="4">
        <v>0.13231781914893601</v>
      </c>
      <c r="K2402" t="s">
        <v>40</v>
      </c>
      <c r="L2402" t="s">
        <v>55</v>
      </c>
      <c r="M2402">
        <v>2</v>
      </c>
      <c r="N2402" t="s">
        <v>57</v>
      </c>
    </row>
    <row r="2403" spans="1:14" x14ac:dyDescent="0.3">
      <c r="A2403" s="1">
        <v>45213</v>
      </c>
      <c r="B2403" t="s">
        <v>34</v>
      </c>
      <c r="C2403" t="s">
        <v>33</v>
      </c>
      <c r="D2403" t="s">
        <v>12</v>
      </c>
      <c r="E2403">
        <v>8</v>
      </c>
      <c r="F2403">
        <v>528</v>
      </c>
      <c r="G2403">
        <v>53.91</v>
      </c>
      <c r="H2403">
        <v>2023</v>
      </c>
      <c r="I2403" t="s">
        <v>14</v>
      </c>
      <c r="J2403" s="4">
        <v>0.102102272727273</v>
      </c>
      <c r="K2403" t="s">
        <v>40</v>
      </c>
      <c r="L2403" t="s">
        <v>52</v>
      </c>
      <c r="M2403">
        <v>10</v>
      </c>
      <c r="N2403" t="s">
        <v>54</v>
      </c>
    </row>
    <row r="2404" spans="1:14" x14ac:dyDescent="0.3">
      <c r="A2404" s="1">
        <v>45080</v>
      </c>
      <c r="B2404" t="s">
        <v>34</v>
      </c>
      <c r="C2404" t="s">
        <v>33</v>
      </c>
      <c r="D2404" t="s">
        <v>17</v>
      </c>
      <c r="E2404">
        <v>2</v>
      </c>
      <c r="F2404">
        <v>2272</v>
      </c>
      <c r="G2404">
        <v>504.72</v>
      </c>
      <c r="H2404">
        <v>2023</v>
      </c>
      <c r="I2404" t="s">
        <v>27</v>
      </c>
      <c r="J2404" s="4">
        <v>0.222147887323944</v>
      </c>
      <c r="K2404" t="s">
        <v>40</v>
      </c>
      <c r="L2404" t="s">
        <v>59</v>
      </c>
      <c r="M2404">
        <v>6</v>
      </c>
      <c r="N2404" t="s">
        <v>66</v>
      </c>
    </row>
    <row r="2405" spans="1:14" x14ac:dyDescent="0.3">
      <c r="A2405" s="1">
        <v>45221</v>
      </c>
      <c r="B2405" t="s">
        <v>34</v>
      </c>
      <c r="C2405" t="s">
        <v>33</v>
      </c>
      <c r="D2405" t="s">
        <v>22</v>
      </c>
      <c r="E2405">
        <v>7</v>
      </c>
      <c r="F2405">
        <v>3605</v>
      </c>
      <c r="G2405">
        <v>387.82</v>
      </c>
      <c r="H2405">
        <v>2023</v>
      </c>
      <c r="I2405" t="s">
        <v>14</v>
      </c>
      <c r="J2405" s="4">
        <v>0.107578363384189</v>
      </c>
      <c r="K2405" t="s">
        <v>40</v>
      </c>
      <c r="L2405" t="s">
        <v>52</v>
      </c>
      <c r="M2405">
        <v>10</v>
      </c>
      <c r="N2405" t="s">
        <v>54</v>
      </c>
    </row>
    <row r="2406" spans="1:14" x14ac:dyDescent="0.3">
      <c r="A2406" s="1">
        <v>45004</v>
      </c>
      <c r="B2406" t="s">
        <v>34</v>
      </c>
      <c r="C2406" t="s">
        <v>33</v>
      </c>
      <c r="D2406" t="s">
        <v>12</v>
      </c>
      <c r="E2406">
        <v>3</v>
      </c>
      <c r="F2406">
        <v>1497</v>
      </c>
      <c r="G2406">
        <v>190.59</v>
      </c>
      <c r="H2406">
        <v>2023</v>
      </c>
      <c r="I2406" t="s">
        <v>15</v>
      </c>
      <c r="J2406" s="4">
        <v>0.127314629258517</v>
      </c>
      <c r="K2406" t="s">
        <v>40</v>
      </c>
      <c r="L2406" t="s">
        <v>55</v>
      </c>
      <c r="M2406">
        <v>3</v>
      </c>
      <c r="N2406" t="s">
        <v>56</v>
      </c>
    </row>
    <row r="2407" spans="1:14" x14ac:dyDescent="0.3">
      <c r="A2407" s="1">
        <v>45224</v>
      </c>
      <c r="B2407" t="s">
        <v>34</v>
      </c>
      <c r="C2407" t="s">
        <v>33</v>
      </c>
      <c r="D2407" t="s">
        <v>12</v>
      </c>
      <c r="E2407">
        <v>1</v>
      </c>
      <c r="F2407">
        <v>956</v>
      </c>
      <c r="G2407">
        <v>167.16</v>
      </c>
      <c r="H2407">
        <v>2023</v>
      </c>
      <c r="I2407" t="s">
        <v>14</v>
      </c>
      <c r="J2407" s="4">
        <v>0.174853556485356</v>
      </c>
      <c r="K2407" t="s">
        <v>40</v>
      </c>
      <c r="L2407" t="s">
        <v>52</v>
      </c>
      <c r="M2407">
        <v>10</v>
      </c>
      <c r="N2407" t="s">
        <v>54</v>
      </c>
    </row>
    <row r="2408" spans="1:14" x14ac:dyDescent="0.3">
      <c r="A2408" s="1">
        <v>44989</v>
      </c>
      <c r="B2408" t="s">
        <v>34</v>
      </c>
      <c r="C2408" t="s">
        <v>33</v>
      </c>
      <c r="D2408" t="s">
        <v>12</v>
      </c>
      <c r="E2408">
        <v>1</v>
      </c>
      <c r="F2408">
        <v>312</v>
      </c>
      <c r="G2408">
        <v>40.47</v>
      </c>
      <c r="H2408">
        <v>2023</v>
      </c>
      <c r="I2408" t="s">
        <v>15</v>
      </c>
      <c r="J2408" s="4">
        <v>0.12971153846153799</v>
      </c>
      <c r="K2408" t="s">
        <v>40</v>
      </c>
      <c r="L2408" t="s">
        <v>55</v>
      </c>
      <c r="M2408">
        <v>3</v>
      </c>
      <c r="N2408" t="s">
        <v>56</v>
      </c>
    </row>
    <row r="2409" spans="1:14" x14ac:dyDescent="0.3">
      <c r="A2409" s="1">
        <v>45195</v>
      </c>
      <c r="B2409" t="s">
        <v>34</v>
      </c>
      <c r="C2409" t="s">
        <v>33</v>
      </c>
      <c r="D2409" t="s">
        <v>19</v>
      </c>
      <c r="E2409">
        <v>5</v>
      </c>
      <c r="F2409">
        <v>3600</v>
      </c>
      <c r="G2409">
        <v>712.3</v>
      </c>
      <c r="H2409">
        <v>2023</v>
      </c>
      <c r="I2409" t="s">
        <v>21</v>
      </c>
      <c r="J2409" s="4">
        <v>0.19786111111111099</v>
      </c>
      <c r="K2409" t="s">
        <v>40</v>
      </c>
      <c r="L2409" t="s">
        <v>60</v>
      </c>
      <c r="M2409">
        <v>9</v>
      </c>
      <c r="N2409" t="s">
        <v>61</v>
      </c>
    </row>
    <row r="2410" spans="1:14" x14ac:dyDescent="0.3">
      <c r="A2410" s="1">
        <v>45144</v>
      </c>
      <c r="B2410" t="s">
        <v>34</v>
      </c>
      <c r="C2410" t="s">
        <v>33</v>
      </c>
      <c r="D2410" t="s">
        <v>12</v>
      </c>
      <c r="E2410">
        <v>2</v>
      </c>
      <c r="F2410">
        <v>646</v>
      </c>
      <c r="G2410">
        <v>180.5</v>
      </c>
      <c r="H2410">
        <v>2023</v>
      </c>
      <c r="I2410" t="s">
        <v>24</v>
      </c>
      <c r="J2410" s="4">
        <v>0.27941176470588203</v>
      </c>
      <c r="K2410" t="s">
        <v>40</v>
      </c>
      <c r="L2410" t="s">
        <v>60</v>
      </c>
      <c r="M2410">
        <v>8</v>
      </c>
      <c r="N2410" t="s">
        <v>63</v>
      </c>
    </row>
    <row r="2411" spans="1:14" x14ac:dyDescent="0.3">
      <c r="A2411" s="1">
        <v>45134</v>
      </c>
      <c r="B2411" t="s">
        <v>34</v>
      </c>
      <c r="C2411" t="s">
        <v>33</v>
      </c>
      <c r="D2411" t="s">
        <v>22</v>
      </c>
      <c r="E2411">
        <v>5</v>
      </c>
      <c r="F2411">
        <v>1190</v>
      </c>
      <c r="G2411">
        <v>235.64</v>
      </c>
      <c r="H2411">
        <v>2023</v>
      </c>
      <c r="I2411" t="s">
        <v>25</v>
      </c>
      <c r="J2411" s="4">
        <v>0.19801680672268901</v>
      </c>
      <c r="K2411" t="s">
        <v>40</v>
      </c>
      <c r="L2411" t="s">
        <v>60</v>
      </c>
      <c r="M2411">
        <v>7</v>
      </c>
      <c r="N2411" t="s">
        <v>64</v>
      </c>
    </row>
    <row r="2412" spans="1:14" x14ac:dyDescent="0.3">
      <c r="A2412" s="1">
        <v>45259</v>
      </c>
      <c r="B2412" t="s">
        <v>34</v>
      </c>
      <c r="C2412" t="s">
        <v>33</v>
      </c>
      <c r="D2412" t="s">
        <v>17</v>
      </c>
      <c r="E2412">
        <v>9</v>
      </c>
      <c r="F2412">
        <v>8100</v>
      </c>
      <c r="G2412">
        <v>2203.56</v>
      </c>
      <c r="H2412">
        <v>2023</v>
      </c>
      <c r="I2412" t="s">
        <v>18</v>
      </c>
      <c r="J2412" s="4">
        <v>0.27204444444444398</v>
      </c>
      <c r="K2412" t="s">
        <v>40</v>
      </c>
      <c r="L2412" t="s">
        <v>52</v>
      </c>
      <c r="M2412">
        <v>11</v>
      </c>
      <c r="N2412" t="s">
        <v>58</v>
      </c>
    </row>
    <row r="2413" spans="1:14" x14ac:dyDescent="0.3">
      <c r="A2413" s="1">
        <v>45208</v>
      </c>
      <c r="B2413" t="s">
        <v>34</v>
      </c>
      <c r="C2413" t="s">
        <v>33</v>
      </c>
      <c r="D2413" t="s">
        <v>22</v>
      </c>
      <c r="E2413">
        <v>9</v>
      </c>
      <c r="F2413">
        <v>594</v>
      </c>
      <c r="G2413">
        <v>51.49</v>
      </c>
      <c r="H2413">
        <v>2023</v>
      </c>
      <c r="I2413" t="s">
        <v>14</v>
      </c>
      <c r="J2413" s="4">
        <v>8.6683501683501696E-2</v>
      </c>
      <c r="K2413" t="s">
        <v>40</v>
      </c>
      <c r="L2413" t="s">
        <v>52</v>
      </c>
      <c r="M2413">
        <v>10</v>
      </c>
      <c r="N2413" t="s">
        <v>54</v>
      </c>
    </row>
    <row r="2414" spans="1:14" x14ac:dyDescent="0.3">
      <c r="A2414" s="1">
        <v>45092</v>
      </c>
      <c r="B2414" t="s">
        <v>34</v>
      </c>
      <c r="C2414" t="s">
        <v>33</v>
      </c>
      <c r="D2414" t="s">
        <v>17</v>
      </c>
      <c r="E2414">
        <v>8</v>
      </c>
      <c r="F2414">
        <v>6032</v>
      </c>
      <c r="G2414">
        <v>1636.61</v>
      </c>
      <c r="H2414">
        <v>2023</v>
      </c>
      <c r="I2414" t="s">
        <v>27</v>
      </c>
      <c r="J2414" s="4">
        <v>0.27132128647214898</v>
      </c>
      <c r="K2414" t="s">
        <v>40</v>
      </c>
      <c r="L2414" t="s">
        <v>59</v>
      </c>
      <c r="M2414">
        <v>6</v>
      </c>
      <c r="N2414" t="s">
        <v>66</v>
      </c>
    </row>
    <row r="2415" spans="1:14" x14ac:dyDescent="0.3">
      <c r="A2415" s="1">
        <v>44959</v>
      </c>
      <c r="B2415" t="s">
        <v>34</v>
      </c>
      <c r="C2415" t="s">
        <v>33</v>
      </c>
      <c r="D2415" t="s">
        <v>19</v>
      </c>
      <c r="E2415">
        <v>4</v>
      </c>
      <c r="F2415">
        <v>1560</v>
      </c>
      <c r="G2415">
        <v>461.15</v>
      </c>
      <c r="H2415">
        <v>2023</v>
      </c>
      <c r="I2415" t="s">
        <v>16</v>
      </c>
      <c r="J2415" s="4">
        <v>0.29560897435897399</v>
      </c>
      <c r="K2415" t="s">
        <v>40</v>
      </c>
      <c r="L2415" t="s">
        <v>55</v>
      </c>
      <c r="M2415">
        <v>2</v>
      </c>
      <c r="N2415" t="s">
        <v>57</v>
      </c>
    </row>
    <row r="2416" spans="1:14" x14ac:dyDescent="0.3">
      <c r="A2416" s="1">
        <v>45207</v>
      </c>
      <c r="B2416" t="s">
        <v>34</v>
      </c>
      <c r="C2416" t="s">
        <v>33</v>
      </c>
      <c r="D2416" t="s">
        <v>22</v>
      </c>
      <c r="E2416">
        <v>7</v>
      </c>
      <c r="F2416">
        <v>4921</v>
      </c>
      <c r="G2416">
        <v>827.87</v>
      </c>
      <c r="H2416">
        <v>2023</v>
      </c>
      <c r="I2416" t="s">
        <v>14</v>
      </c>
      <c r="J2416" s="4">
        <v>0.16823206665311899</v>
      </c>
      <c r="K2416" t="s">
        <v>40</v>
      </c>
      <c r="L2416" t="s">
        <v>52</v>
      </c>
      <c r="M2416">
        <v>10</v>
      </c>
      <c r="N2416" t="s">
        <v>54</v>
      </c>
    </row>
    <row r="2417" spans="1:14" x14ac:dyDescent="0.3">
      <c r="A2417" s="1">
        <v>44950</v>
      </c>
      <c r="B2417" t="s">
        <v>34</v>
      </c>
      <c r="C2417" t="s">
        <v>33</v>
      </c>
      <c r="D2417" t="s">
        <v>12</v>
      </c>
      <c r="E2417">
        <v>7</v>
      </c>
      <c r="F2417">
        <v>4487</v>
      </c>
      <c r="G2417">
        <v>688.76</v>
      </c>
      <c r="H2417">
        <v>2023</v>
      </c>
      <c r="I2417" t="s">
        <v>26</v>
      </c>
      <c r="J2417" s="4">
        <v>0.15350122576331601</v>
      </c>
      <c r="K2417" t="s">
        <v>40</v>
      </c>
      <c r="L2417" t="s">
        <v>55</v>
      </c>
      <c r="M2417">
        <v>1</v>
      </c>
      <c r="N2417" t="s">
        <v>65</v>
      </c>
    </row>
    <row r="2418" spans="1:14" x14ac:dyDescent="0.3">
      <c r="A2418" s="1">
        <v>45078</v>
      </c>
      <c r="B2418" t="s">
        <v>34</v>
      </c>
      <c r="C2418" t="s">
        <v>33</v>
      </c>
      <c r="D2418" t="s">
        <v>17</v>
      </c>
      <c r="E2418">
        <v>9</v>
      </c>
      <c r="F2418">
        <v>5247</v>
      </c>
      <c r="G2418">
        <v>921.09</v>
      </c>
      <c r="H2418">
        <v>2023</v>
      </c>
      <c r="I2418" t="s">
        <v>27</v>
      </c>
      <c r="J2418" s="4">
        <v>0.17554602630074301</v>
      </c>
      <c r="K2418" t="s">
        <v>40</v>
      </c>
      <c r="L2418" t="s">
        <v>59</v>
      </c>
      <c r="M2418">
        <v>6</v>
      </c>
      <c r="N2418" t="s">
        <v>66</v>
      </c>
    </row>
    <row r="2419" spans="1:14" x14ac:dyDescent="0.3">
      <c r="A2419" s="1">
        <v>45236</v>
      </c>
      <c r="B2419" t="s">
        <v>34</v>
      </c>
      <c r="C2419" t="s">
        <v>33</v>
      </c>
      <c r="D2419" t="s">
        <v>12</v>
      </c>
      <c r="E2419">
        <v>7</v>
      </c>
      <c r="F2419">
        <v>6006</v>
      </c>
      <c r="G2419">
        <v>1595.22</v>
      </c>
      <c r="H2419">
        <v>2023</v>
      </c>
      <c r="I2419" t="s">
        <v>18</v>
      </c>
      <c r="J2419" s="4">
        <v>0.26560439560439603</v>
      </c>
      <c r="K2419" t="s">
        <v>40</v>
      </c>
      <c r="L2419" t="s">
        <v>52</v>
      </c>
      <c r="M2419">
        <v>11</v>
      </c>
      <c r="N2419" t="s">
        <v>58</v>
      </c>
    </row>
    <row r="2420" spans="1:14" x14ac:dyDescent="0.3">
      <c r="A2420" s="1">
        <v>45127</v>
      </c>
      <c r="B2420" t="s">
        <v>34</v>
      </c>
      <c r="C2420" t="s">
        <v>33</v>
      </c>
      <c r="D2420" t="s">
        <v>12</v>
      </c>
      <c r="E2420">
        <v>6</v>
      </c>
      <c r="F2420">
        <v>3186</v>
      </c>
      <c r="G2420">
        <v>794.94</v>
      </c>
      <c r="H2420">
        <v>2023</v>
      </c>
      <c r="I2420" t="s">
        <v>25</v>
      </c>
      <c r="J2420" s="4">
        <v>0.24951035781544301</v>
      </c>
      <c r="K2420" t="s">
        <v>40</v>
      </c>
      <c r="L2420" t="s">
        <v>60</v>
      </c>
      <c r="M2420">
        <v>7</v>
      </c>
      <c r="N2420" t="s">
        <v>64</v>
      </c>
    </row>
    <row r="2421" spans="1:14" x14ac:dyDescent="0.3">
      <c r="A2421" s="1">
        <v>45276</v>
      </c>
      <c r="B2421" t="s">
        <v>34</v>
      </c>
      <c r="C2421" t="s">
        <v>33</v>
      </c>
      <c r="D2421" t="s">
        <v>22</v>
      </c>
      <c r="E2421">
        <v>3</v>
      </c>
      <c r="F2421">
        <v>483</v>
      </c>
      <c r="G2421">
        <v>63.27</v>
      </c>
      <c r="H2421">
        <v>2023</v>
      </c>
      <c r="I2421" t="s">
        <v>13</v>
      </c>
      <c r="J2421" s="4">
        <v>0.130993788819876</v>
      </c>
      <c r="K2421" t="s">
        <v>40</v>
      </c>
      <c r="L2421" t="s">
        <v>52</v>
      </c>
      <c r="M2421">
        <v>12</v>
      </c>
      <c r="N2421" t="s">
        <v>53</v>
      </c>
    </row>
    <row r="2422" spans="1:14" x14ac:dyDescent="0.3">
      <c r="A2422" s="1">
        <v>45152</v>
      </c>
      <c r="B2422" t="s">
        <v>34</v>
      </c>
      <c r="C2422" t="s">
        <v>33</v>
      </c>
      <c r="D2422" t="s">
        <v>12</v>
      </c>
      <c r="E2422">
        <v>9</v>
      </c>
      <c r="F2422">
        <v>2925</v>
      </c>
      <c r="G2422">
        <v>457.49</v>
      </c>
      <c r="H2422">
        <v>2023</v>
      </c>
      <c r="I2422" t="s">
        <v>24</v>
      </c>
      <c r="J2422" s="4">
        <v>0.15640683760683799</v>
      </c>
      <c r="K2422" t="s">
        <v>40</v>
      </c>
      <c r="L2422" t="s">
        <v>60</v>
      </c>
      <c r="M2422">
        <v>8</v>
      </c>
      <c r="N2422" t="s">
        <v>63</v>
      </c>
    </row>
    <row r="2423" spans="1:14" x14ac:dyDescent="0.3">
      <c r="A2423" s="1">
        <v>45089</v>
      </c>
      <c r="B2423" t="s">
        <v>34</v>
      </c>
      <c r="C2423" t="s">
        <v>33</v>
      </c>
      <c r="D2423" t="s">
        <v>12</v>
      </c>
      <c r="E2423">
        <v>7</v>
      </c>
      <c r="F2423">
        <v>5607</v>
      </c>
      <c r="G2423">
        <v>1288.04</v>
      </c>
      <c r="H2423">
        <v>2023</v>
      </c>
      <c r="I2423" t="s">
        <v>27</v>
      </c>
      <c r="J2423" s="4">
        <v>0.22971999286606001</v>
      </c>
      <c r="K2423" t="s">
        <v>40</v>
      </c>
      <c r="L2423" t="s">
        <v>59</v>
      </c>
      <c r="M2423">
        <v>6</v>
      </c>
      <c r="N2423" t="s">
        <v>66</v>
      </c>
    </row>
    <row r="2424" spans="1:14" x14ac:dyDescent="0.3">
      <c r="A2424" s="1">
        <v>44957</v>
      </c>
      <c r="B2424" t="s">
        <v>34</v>
      </c>
      <c r="C2424" t="s">
        <v>33</v>
      </c>
      <c r="D2424" t="s">
        <v>12</v>
      </c>
      <c r="E2424">
        <v>9</v>
      </c>
      <c r="F2424">
        <v>8172</v>
      </c>
      <c r="G2424">
        <v>1296.29</v>
      </c>
      <c r="H2424">
        <v>2023</v>
      </c>
      <c r="I2424" t="s">
        <v>26</v>
      </c>
      <c r="J2424" s="4">
        <v>0.15862579539892299</v>
      </c>
      <c r="K2424" t="s">
        <v>40</v>
      </c>
      <c r="L2424" t="s">
        <v>55</v>
      </c>
      <c r="M2424">
        <v>1</v>
      </c>
      <c r="N2424" t="s">
        <v>65</v>
      </c>
    </row>
    <row r="2425" spans="1:14" x14ac:dyDescent="0.3">
      <c r="A2425" s="1">
        <v>45261</v>
      </c>
      <c r="B2425" t="s">
        <v>34</v>
      </c>
      <c r="C2425" t="s">
        <v>33</v>
      </c>
      <c r="D2425" t="s">
        <v>17</v>
      </c>
      <c r="E2425">
        <v>1</v>
      </c>
      <c r="F2425">
        <v>1160</v>
      </c>
      <c r="G2425">
        <v>149.81</v>
      </c>
      <c r="H2425">
        <v>2023</v>
      </c>
      <c r="I2425" t="s">
        <v>13</v>
      </c>
      <c r="J2425" s="4">
        <v>0.129146551724138</v>
      </c>
      <c r="K2425" t="s">
        <v>40</v>
      </c>
      <c r="L2425" t="s">
        <v>52</v>
      </c>
      <c r="M2425">
        <v>12</v>
      </c>
      <c r="N2425" t="s">
        <v>53</v>
      </c>
    </row>
    <row r="2426" spans="1:14" x14ac:dyDescent="0.3">
      <c r="A2426" s="1">
        <v>45289</v>
      </c>
      <c r="B2426" t="s">
        <v>34</v>
      </c>
      <c r="C2426" t="s">
        <v>33</v>
      </c>
      <c r="D2426" t="s">
        <v>12</v>
      </c>
      <c r="E2426">
        <v>8</v>
      </c>
      <c r="F2426">
        <v>2960</v>
      </c>
      <c r="G2426">
        <v>607.64</v>
      </c>
      <c r="H2426">
        <v>2023</v>
      </c>
      <c r="I2426" t="s">
        <v>13</v>
      </c>
      <c r="J2426" s="4">
        <v>0.20528378378378401</v>
      </c>
      <c r="K2426" t="s">
        <v>40</v>
      </c>
      <c r="L2426" t="s">
        <v>52</v>
      </c>
      <c r="M2426">
        <v>12</v>
      </c>
      <c r="N2426" t="s">
        <v>53</v>
      </c>
    </row>
    <row r="2427" spans="1:14" x14ac:dyDescent="0.3">
      <c r="A2427" s="1">
        <v>45084</v>
      </c>
      <c r="B2427" t="s">
        <v>34</v>
      </c>
      <c r="C2427" t="s">
        <v>33</v>
      </c>
      <c r="D2427" t="s">
        <v>22</v>
      </c>
      <c r="E2427">
        <v>3</v>
      </c>
      <c r="F2427">
        <v>2001</v>
      </c>
      <c r="G2427">
        <v>420.08</v>
      </c>
      <c r="H2427">
        <v>2023</v>
      </c>
      <c r="I2427" t="s">
        <v>27</v>
      </c>
      <c r="J2427" s="4">
        <v>0.209935032483758</v>
      </c>
      <c r="K2427" t="s">
        <v>40</v>
      </c>
      <c r="L2427" t="s">
        <v>59</v>
      </c>
      <c r="M2427">
        <v>6</v>
      </c>
      <c r="N2427" t="s">
        <v>66</v>
      </c>
    </row>
    <row r="2428" spans="1:14" x14ac:dyDescent="0.3">
      <c r="A2428" s="1">
        <v>45218</v>
      </c>
      <c r="B2428" t="s">
        <v>34</v>
      </c>
      <c r="C2428" t="s">
        <v>33</v>
      </c>
      <c r="D2428" t="s">
        <v>19</v>
      </c>
      <c r="E2428">
        <v>4</v>
      </c>
      <c r="F2428">
        <v>1168</v>
      </c>
      <c r="G2428">
        <v>177.54</v>
      </c>
      <c r="H2428">
        <v>2023</v>
      </c>
      <c r="I2428" t="s">
        <v>14</v>
      </c>
      <c r="J2428" s="4">
        <v>0.152003424657534</v>
      </c>
      <c r="K2428" t="s">
        <v>40</v>
      </c>
      <c r="L2428" t="s">
        <v>52</v>
      </c>
      <c r="M2428">
        <v>10</v>
      </c>
      <c r="N2428" t="s">
        <v>54</v>
      </c>
    </row>
    <row r="2429" spans="1:14" x14ac:dyDescent="0.3">
      <c r="A2429" s="1">
        <v>45008</v>
      </c>
      <c r="B2429" t="s">
        <v>34</v>
      </c>
      <c r="C2429" t="s">
        <v>33</v>
      </c>
      <c r="D2429" t="s">
        <v>22</v>
      </c>
      <c r="E2429">
        <v>2</v>
      </c>
      <c r="F2429">
        <v>1672</v>
      </c>
      <c r="G2429">
        <v>469.64</v>
      </c>
      <c r="H2429">
        <v>2023</v>
      </c>
      <c r="I2429" t="s">
        <v>15</v>
      </c>
      <c r="J2429" s="4">
        <v>0.28088516746411502</v>
      </c>
      <c r="K2429" t="s">
        <v>40</v>
      </c>
      <c r="L2429" t="s">
        <v>55</v>
      </c>
      <c r="M2429">
        <v>3</v>
      </c>
      <c r="N2429" t="s">
        <v>56</v>
      </c>
    </row>
    <row r="2430" spans="1:14" x14ac:dyDescent="0.3">
      <c r="A2430" s="1">
        <v>44595</v>
      </c>
      <c r="B2430" t="s">
        <v>35</v>
      </c>
      <c r="C2430" t="s">
        <v>33</v>
      </c>
      <c r="D2430" t="s">
        <v>12</v>
      </c>
      <c r="E2430">
        <v>1</v>
      </c>
      <c r="F2430">
        <v>930</v>
      </c>
      <c r="G2430">
        <v>222.5</v>
      </c>
      <c r="H2430">
        <v>2022</v>
      </c>
      <c r="I2430" t="s">
        <v>16</v>
      </c>
      <c r="J2430" s="4">
        <v>0.239247311827957</v>
      </c>
      <c r="K2430" t="s">
        <v>42</v>
      </c>
      <c r="L2430" t="s">
        <v>55</v>
      </c>
      <c r="M2430">
        <v>2</v>
      </c>
      <c r="N2430" t="s">
        <v>57</v>
      </c>
    </row>
    <row r="2431" spans="1:14" x14ac:dyDescent="0.3">
      <c r="A2431" s="1">
        <v>44651</v>
      </c>
      <c r="B2431" t="s">
        <v>35</v>
      </c>
      <c r="C2431" t="s">
        <v>33</v>
      </c>
      <c r="D2431" t="s">
        <v>22</v>
      </c>
      <c r="E2431">
        <v>1</v>
      </c>
      <c r="F2431">
        <v>189</v>
      </c>
      <c r="G2431">
        <v>14.88</v>
      </c>
      <c r="H2431">
        <v>2022</v>
      </c>
      <c r="I2431" t="s">
        <v>15</v>
      </c>
      <c r="J2431" s="4">
        <v>7.8730158730158706E-2</v>
      </c>
      <c r="K2431" t="s">
        <v>42</v>
      </c>
      <c r="L2431" t="s">
        <v>55</v>
      </c>
      <c r="M2431">
        <v>3</v>
      </c>
      <c r="N2431" t="s">
        <v>56</v>
      </c>
    </row>
    <row r="2432" spans="1:14" x14ac:dyDescent="0.3">
      <c r="A2432" s="1">
        <v>44857</v>
      </c>
      <c r="B2432" t="s">
        <v>35</v>
      </c>
      <c r="C2432" t="s">
        <v>33</v>
      </c>
      <c r="D2432" t="s">
        <v>12</v>
      </c>
      <c r="E2432">
        <v>9</v>
      </c>
      <c r="F2432">
        <v>10035</v>
      </c>
      <c r="G2432">
        <v>1486.3</v>
      </c>
      <c r="H2432">
        <v>2022</v>
      </c>
      <c r="I2432" t="s">
        <v>14</v>
      </c>
      <c r="J2432" s="4">
        <v>0.14811160936721501</v>
      </c>
      <c r="K2432" t="s">
        <v>42</v>
      </c>
      <c r="L2432" t="s">
        <v>52</v>
      </c>
      <c r="M2432">
        <v>10</v>
      </c>
      <c r="N2432" t="s">
        <v>54</v>
      </c>
    </row>
    <row r="2433" spans="1:14" x14ac:dyDescent="0.3">
      <c r="A2433" s="1">
        <v>44572</v>
      </c>
      <c r="B2433" t="s">
        <v>35</v>
      </c>
      <c r="C2433" t="s">
        <v>33</v>
      </c>
      <c r="D2433" t="s">
        <v>12</v>
      </c>
      <c r="E2433">
        <v>3</v>
      </c>
      <c r="F2433">
        <v>2529</v>
      </c>
      <c r="G2433">
        <v>169.6</v>
      </c>
      <c r="H2433">
        <v>2022</v>
      </c>
      <c r="I2433" t="s">
        <v>26</v>
      </c>
      <c r="J2433" s="4">
        <v>6.7062079873467795E-2</v>
      </c>
      <c r="K2433" t="s">
        <v>42</v>
      </c>
      <c r="L2433" t="s">
        <v>55</v>
      </c>
      <c r="M2433">
        <v>1</v>
      </c>
      <c r="N2433" t="s">
        <v>65</v>
      </c>
    </row>
    <row r="2434" spans="1:14" x14ac:dyDescent="0.3">
      <c r="A2434" s="1">
        <v>44659</v>
      </c>
      <c r="B2434" t="s">
        <v>35</v>
      </c>
      <c r="C2434" t="s">
        <v>33</v>
      </c>
      <c r="D2434" t="s">
        <v>19</v>
      </c>
      <c r="E2434">
        <v>1</v>
      </c>
      <c r="F2434">
        <v>236</v>
      </c>
      <c r="G2434">
        <v>29.33</v>
      </c>
      <c r="H2434">
        <v>2022</v>
      </c>
      <c r="I2434" t="s">
        <v>23</v>
      </c>
      <c r="J2434" s="4">
        <v>0.124279661016949</v>
      </c>
      <c r="K2434" t="s">
        <v>42</v>
      </c>
      <c r="L2434" t="s">
        <v>59</v>
      </c>
      <c r="M2434">
        <v>4</v>
      </c>
      <c r="N2434" t="s">
        <v>62</v>
      </c>
    </row>
    <row r="2435" spans="1:14" x14ac:dyDescent="0.3">
      <c r="A2435" s="1">
        <v>44687</v>
      </c>
      <c r="B2435" t="s">
        <v>35</v>
      </c>
      <c r="C2435" t="s">
        <v>33</v>
      </c>
      <c r="D2435" t="s">
        <v>22</v>
      </c>
      <c r="E2435">
        <v>5</v>
      </c>
      <c r="F2435">
        <v>1455</v>
      </c>
      <c r="G2435">
        <v>423.81</v>
      </c>
      <c r="H2435">
        <v>2022</v>
      </c>
      <c r="I2435" t="s">
        <v>20</v>
      </c>
      <c r="J2435" s="4">
        <v>0.29127835051546402</v>
      </c>
      <c r="K2435" t="s">
        <v>42</v>
      </c>
      <c r="L2435" t="s">
        <v>59</v>
      </c>
      <c r="M2435">
        <v>5</v>
      </c>
      <c r="N2435" t="s">
        <v>20</v>
      </c>
    </row>
    <row r="2436" spans="1:14" x14ac:dyDescent="0.3">
      <c r="A2436" s="1">
        <v>44634</v>
      </c>
      <c r="B2436" t="s">
        <v>35</v>
      </c>
      <c r="C2436" t="s">
        <v>33</v>
      </c>
      <c r="D2436" t="s">
        <v>12</v>
      </c>
      <c r="E2436">
        <v>8</v>
      </c>
      <c r="F2436">
        <v>3216</v>
      </c>
      <c r="G2436">
        <v>639.78</v>
      </c>
      <c r="H2436">
        <v>2022</v>
      </c>
      <c r="I2436" t="s">
        <v>15</v>
      </c>
      <c r="J2436" s="4">
        <v>0.19893656716417901</v>
      </c>
      <c r="K2436" t="s">
        <v>42</v>
      </c>
      <c r="L2436" t="s">
        <v>55</v>
      </c>
      <c r="M2436">
        <v>3</v>
      </c>
      <c r="N2436" t="s">
        <v>56</v>
      </c>
    </row>
    <row r="2437" spans="1:14" x14ac:dyDescent="0.3">
      <c r="A2437" s="1">
        <v>44922</v>
      </c>
      <c r="B2437" t="s">
        <v>35</v>
      </c>
      <c r="C2437" t="s">
        <v>33</v>
      </c>
      <c r="D2437" t="s">
        <v>17</v>
      </c>
      <c r="E2437">
        <v>1</v>
      </c>
      <c r="F2437">
        <v>163</v>
      </c>
      <c r="G2437">
        <v>22.07</v>
      </c>
      <c r="H2437">
        <v>2022</v>
      </c>
      <c r="I2437" t="s">
        <v>13</v>
      </c>
      <c r="J2437" s="4">
        <v>0.13539877300613501</v>
      </c>
      <c r="K2437" t="s">
        <v>42</v>
      </c>
      <c r="L2437" t="s">
        <v>52</v>
      </c>
      <c r="M2437">
        <v>12</v>
      </c>
      <c r="N2437" t="s">
        <v>53</v>
      </c>
    </row>
    <row r="2438" spans="1:14" x14ac:dyDescent="0.3">
      <c r="A2438" s="1">
        <v>44629</v>
      </c>
      <c r="B2438" t="s">
        <v>35</v>
      </c>
      <c r="C2438" t="s">
        <v>33</v>
      </c>
      <c r="D2438" t="s">
        <v>17</v>
      </c>
      <c r="E2438">
        <v>1</v>
      </c>
      <c r="F2438">
        <v>158</v>
      </c>
      <c r="G2438">
        <v>46.24</v>
      </c>
      <c r="H2438">
        <v>2022</v>
      </c>
      <c r="I2438" t="s">
        <v>15</v>
      </c>
      <c r="J2438" s="4">
        <v>0.29265822784810103</v>
      </c>
      <c r="K2438" t="s">
        <v>42</v>
      </c>
      <c r="L2438" t="s">
        <v>55</v>
      </c>
      <c r="M2438">
        <v>3</v>
      </c>
      <c r="N2438" t="s">
        <v>56</v>
      </c>
    </row>
    <row r="2439" spans="1:14" x14ac:dyDescent="0.3">
      <c r="A2439" s="1">
        <v>44665</v>
      </c>
      <c r="B2439" t="s">
        <v>35</v>
      </c>
      <c r="C2439" t="s">
        <v>33</v>
      </c>
      <c r="D2439" t="s">
        <v>22</v>
      </c>
      <c r="E2439">
        <v>3</v>
      </c>
      <c r="F2439">
        <v>1674</v>
      </c>
      <c r="G2439">
        <v>499.63</v>
      </c>
      <c r="H2439">
        <v>2022</v>
      </c>
      <c r="I2439" t="s">
        <v>23</v>
      </c>
      <c r="J2439" s="4">
        <v>0.29846475507765802</v>
      </c>
      <c r="K2439" t="s">
        <v>42</v>
      </c>
      <c r="L2439" t="s">
        <v>59</v>
      </c>
      <c r="M2439">
        <v>4</v>
      </c>
      <c r="N2439" t="s">
        <v>62</v>
      </c>
    </row>
    <row r="2440" spans="1:14" x14ac:dyDescent="0.3">
      <c r="A2440" s="1">
        <v>44718</v>
      </c>
      <c r="B2440" t="s">
        <v>35</v>
      </c>
      <c r="C2440" t="s">
        <v>33</v>
      </c>
      <c r="D2440" t="s">
        <v>22</v>
      </c>
      <c r="E2440">
        <v>8</v>
      </c>
      <c r="F2440">
        <v>1952</v>
      </c>
      <c r="G2440">
        <v>444.15</v>
      </c>
      <c r="H2440">
        <v>2022</v>
      </c>
      <c r="I2440" t="s">
        <v>27</v>
      </c>
      <c r="J2440" s="4">
        <v>0.227535860655738</v>
      </c>
      <c r="K2440" t="s">
        <v>42</v>
      </c>
      <c r="L2440" t="s">
        <v>59</v>
      </c>
      <c r="M2440">
        <v>6</v>
      </c>
      <c r="N2440" t="s">
        <v>66</v>
      </c>
    </row>
    <row r="2441" spans="1:14" x14ac:dyDescent="0.3">
      <c r="A2441" s="1">
        <v>44851</v>
      </c>
      <c r="B2441" t="s">
        <v>35</v>
      </c>
      <c r="C2441" t="s">
        <v>33</v>
      </c>
      <c r="D2441" t="s">
        <v>17</v>
      </c>
      <c r="E2441">
        <v>2</v>
      </c>
      <c r="F2441">
        <v>1170</v>
      </c>
      <c r="G2441">
        <v>249.99</v>
      </c>
      <c r="H2441">
        <v>2022</v>
      </c>
      <c r="I2441" t="s">
        <v>14</v>
      </c>
      <c r="J2441" s="4">
        <v>0.213666666666667</v>
      </c>
      <c r="K2441" t="s">
        <v>42</v>
      </c>
      <c r="L2441" t="s">
        <v>52</v>
      </c>
      <c r="M2441">
        <v>10</v>
      </c>
      <c r="N2441" t="s">
        <v>54</v>
      </c>
    </row>
    <row r="2442" spans="1:14" x14ac:dyDescent="0.3">
      <c r="A2442" s="1">
        <v>44776</v>
      </c>
      <c r="B2442" t="s">
        <v>35</v>
      </c>
      <c r="C2442" t="s">
        <v>33</v>
      </c>
      <c r="D2442" t="s">
        <v>22</v>
      </c>
      <c r="E2442">
        <v>1</v>
      </c>
      <c r="F2442">
        <v>1157</v>
      </c>
      <c r="G2442">
        <v>252.08</v>
      </c>
      <c r="H2442">
        <v>2022</v>
      </c>
      <c r="I2442" t="s">
        <v>24</v>
      </c>
      <c r="J2442" s="4">
        <v>0.21787381158167701</v>
      </c>
      <c r="K2442" t="s">
        <v>42</v>
      </c>
      <c r="L2442" t="s">
        <v>60</v>
      </c>
      <c r="M2442">
        <v>8</v>
      </c>
      <c r="N2442" t="s">
        <v>63</v>
      </c>
    </row>
    <row r="2443" spans="1:14" x14ac:dyDescent="0.3">
      <c r="A2443" s="1">
        <v>44827</v>
      </c>
      <c r="B2443" t="s">
        <v>35</v>
      </c>
      <c r="C2443" t="s">
        <v>33</v>
      </c>
      <c r="D2443" t="s">
        <v>17</v>
      </c>
      <c r="E2443">
        <v>1</v>
      </c>
      <c r="F2443">
        <v>644</v>
      </c>
      <c r="G2443">
        <v>49.25</v>
      </c>
      <c r="H2443">
        <v>2022</v>
      </c>
      <c r="I2443" t="s">
        <v>21</v>
      </c>
      <c r="J2443" s="4">
        <v>7.6475155279503104E-2</v>
      </c>
      <c r="K2443" t="s">
        <v>42</v>
      </c>
      <c r="L2443" t="s">
        <v>60</v>
      </c>
      <c r="M2443">
        <v>9</v>
      </c>
      <c r="N2443" t="s">
        <v>61</v>
      </c>
    </row>
    <row r="2444" spans="1:14" x14ac:dyDescent="0.3">
      <c r="A2444" s="1">
        <v>44643</v>
      </c>
      <c r="B2444" t="s">
        <v>35</v>
      </c>
      <c r="C2444" t="s">
        <v>33</v>
      </c>
      <c r="D2444" t="s">
        <v>22</v>
      </c>
      <c r="E2444">
        <v>4</v>
      </c>
      <c r="F2444">
        <v>3496</v>
      </c>
      <c r="G2444">
        <v>1032.81</v>
      </c>
      <c r="H2444">
        <v>2022</v>
      </c>
      <c r="I2444" t="s">
        <v>15</v>
      </c>
      <c r="J2444" s="4">
        <v>0.29542620137299802</v>
      </c>
      <c r="K2444" t="s">
        <v>42</v>
      </c>
      <c r="L2444" t="s">
        <v>55</v>
      </c>
      <c r="M2444">
        <v>3</v>
      </c>
      <c r="N2444" t="s">
        <v>56</v>
      </c>
    </row>
    <row r="2445" spans="1:14" x14ac:dyDescent="0.3">
      <c r="A2445" s="1">
        <v>44901</v>
      </c>
      <c r="B2445" t="s">
        <v>35</v>
      </c>
      <c r="C2445" t="s">
        <v>33</v>
      </c>
      <c r="D2445" t="s">
        <v>12</v>
      </c>
      <c r="E2445">
        <v>7</v>
      </c>
      <c r="F2445">
        <v>6552</v>
      </c>
      <c r="G2445">
        <v>635.09</v>
      </c>
      <c r="H2445">
        <v>2022</v>
      </c>
      <c r="I2445" t="s">
        <v>13</v>
      </c>
      <c r="J2445" s="4">
        <v>9.6930708180708203E-2</v>
      </c>
      <c r="K2445" t="s">
        <v>42</v>
      </c>
      <c r="L2445" t="s">
        <v>52</v>
      </c>
      <c r="M2445">
        <v>12</v>
      </c>
      <c r="N2445" t="s">
        <v>53</v>
      </c>
    </row>
    <row r="2446" spans="1:14" x14ac:dyDescent="0.3">
      <c r="A2446" s="1">
        <v>44619</v>
      </c>
      <c r="B2446" t="s">
        <v>35</v>
      </c>
      <c r="C2446" t="s">
        <v>33</v>
      </c>
      <c r="D2446" t="s">
        <v>17</v>
      </c>
      <c r="E2446">
        <v>4</v>
      </c>
      <c r="F2446">
        <v>904</v>
      </c>
      <c r="G2446">
        <v>108.85</v>
      </c>
      <c r="H2446">
        <v>2022</v>
      </c>
      <c r="I2446" t="s">
        <v>16</v>
      </c>
      <c r="J2446" s="4">
        <v>0.12040929203539801</v>
      </c>
      <c r="K2446" t="s">
        <v>42</v>
      </c>
      <c r="L2446" t="s">
        <v>55</v>
      </c>
      <c r="M2446">
        <v>2</v>
      </c>
      <c r="N2446" t="s">
        <v>57</v>
      </c>
    </row>
    <row r="2447" spans="1:14" x14ac:dyDescent="0.3">
      <c r="A2447" s="1">
        <v>44625</v>
      </c>
      <c r="B2447" t="s">
        <v>35</v>
      </c>
      <c r="C2447" t="s">
        <v>33</v>
      </c>
      <c r="D2447" t="s">
        <v>17</v>
      </c>
      <c r="E2447">
        <v>4</v>
      </c>
      <c r="F2447">
        <v>2040</v>
      </c>
      <c r="G2447">
        <v>393.72</v>
      </c>
      <c r="H2447">
        <v>2022</v>
      </c>
      <c r="I2447" t="s">
        <v>15</v>
      </c>
      <c r="J2447" s="4">
        <v>0.193</v>
      </c>
      <c r="K2447" t="s">
        <v>42</v>
      </c>
      <c r="L2447" t="s">
        <v>55</v>
      </c>
      <c r="M2447">
        <v>3</v>
      </c>
      <c r="N2447" t="s">
        <v>56</v>
      </c>
    </row>
    <row r="2448" spans="1:14" x14ac:dyDescent="0.3">
      <c r="A2448" s="1">
        <v>44705</v>
      </c>
      <c r="B2448" t="s">
        <v>35</v>
      </c>
      <c r="C2448" t="s">
        <v>33</v>
      </c>
      <c r="D2448" t="s">
        <v>12</v>
      </c>
      <c r="E2448">
        <v>2</v>
      </c>
      <c r="F2448">
        <v>486</v>
      </c>
      <c r="G2448">
        <v>64.430000000000007</v>
      </c>
      <c r="H2448">
        <v>2022</v>
      </c>
      <c r="I2448" t="s">
        <v>20</v>
      </c>
      <c r="J2448" s="4">
        <v>0.132572016460905</v>
      </c>
      <c r="K2448" t="s">
        <v>42</v>
      </c>
      <c r="L2448" t="s">
        <v>59</v>
      </c>
      <c r="M2448">
        <v>5</v>
      </c>
      <c r="N2448" t="s">
        <v>20</v>
      </c>
    </row>
    <row r="2449" spans="1:14" x14ac:dyDescent="0.3">
      <c r="A2449" s="1">
        <v>44783</v>
      </c>
      <c r="B2449" t="s">
        <v>35</v>
      </c>
      <c r="C2449" t="s">
        <v>33</v>
      </c>
      <c r="D2449" t="s">
        <v>12</v>
      </c>
      <c r="E2449">
        <v>6</v>
      </c>
      <c r="F2449">
        <v>6834</v>
      </c>
      <c r="G2449">
        <v>1418.21</v>
      </c>
      <c r="H2449">
        <v>2022</v>
      </c>
      <c r="I2449" t="s">
        <v>24</v>
      </c>
      <c r="J2449" s="4">
        <v>0.20752268071407701</v>
      </c>
      <c r="K2449" t="s">
        <v>42</v>
      </c>
      <c r="L2449" t="s">
        <v>60</v>
      </c>
      <c r="M2449">
        <v>8</v>
      </c>
      <c r="N2449" t="s">
        <v>63</v>
      </c>
    </row>
    <row r="2450" spans="1:14" x14ac:dyDescent="0.3">
      <c r="A2450" s="1">
        <v>44583</v>
      </c>
      <c r="B2450" t="s">
        <v>35</v>
      </c>
      <c r="C2450" t="s">
        <v>33</v>
      </c>
      <c r="D2450" t="s">
        <v>22</v>
      </c>
      <c r="E2450">
        <v>2</v>
      </c>
      <c r="F2450">
        <v>1860</v>
      </c>
      <c r="G2450">
        <v>327.14999999999998</v>
      </c>
      <c r="H2450">
        <v>2022</v>
      </c>
      <c r="I2450" t="s">
        <v>26</v>
      </c>
      <c r="J2450" s="4">
        <v>0.17588709677419401</v>
      </c>
      <c r="K2450" t="s">
        <v>42</v>
      </c>
      <c r="L2450" t="s">
        <v>55</v>
      </c>
      <c r="M2450">
        <v>1</v>
      </c>
      <c r="N2450" t="s">
        <v>65</v>
      </c>
    </row>
    <row r="2451" spans="1:14" x14ac:dyDescent="0.3">
      <c r="A2451" s="1">
        <v>44787</v>
      </c>
      <c r="B2451" t="s">
        <v>35</v>
      </c>
      <c r="C2451" t="s">
        <v>33</v>
      </c>
      <c r="D2451" t="s">
        <v>22</v>
      </c>
      <c r="E2451">
        <v>6</v>
      </c>
      <c r="F2451">
        <v>7056</v>
      </c>
      <c r="G2451">
        <v>1445.01</v>
      </c>
      <c r="H2451">
        <v>2022</v>
      </c>
      <c r="I2451" t="s">
        <v>24</v>
      </c>
      <c r="J2451" s="4">
        <v>0.20479166666666701</v>
      </c>
      <c r="K2451" t="s">
        <v>42</v>
      </c>
      <c r="L2451" t="s">
        <v>60</v>
      </c>
      <c r="M2451">
        <v>8</v>
      </c>
      <c r="N2451" t="s">
        <v>63</v>
      </c>
    </row>
    <row r="2452" spans="1:14" x14ac:dyDescent="0.3">
      <c r="A2452" s="1">
        <v>44635</v>
      </c>
      <c r="B2452" t="s">
        <v>35</v>
      </c>
      <c r="C2452" t="s">
        <v>33</v>
      </c>
      <c r="D2452" t="s">
        <v>19</v>
      </c>
      <c r="E2452">
        <v>5</v>
      </c>
      <c r="F2452">
        <v>875</v>
      </c>
      <c r="G2452">
        <v>96.65</v>
      </c>
      <c r="H2452">
        <v>2022</v>
      </c>
      <c r="I2452" t="s">
        <v>15</v>
      </c>
      <c r="J2452" s="4">
        <v>0.110457142857143</v>
      </c>
      <c r="K2452" t="s">
        <v>42</v>
      </c>
      <c r="L2452" t="s">
        <v>55</v>
      </c>
      <c r="M2452">
        <v>3</v>
      </c>
      <c r="N2452" t="s">
        <v>56</v>
      </c>
    </row>
    <row r="2453" spans="1:14" x14ac:dyDescent="0.3">
      <c r="A2453" s="1">
        <v>44729</v>
      </c>
      <c r="B2453" t="s">
        <v>35</v>
      </c>
      <c r="C2453" t="s">
        <v>33</v>
      </c>
      <c r="D2453" t="s">
        <v>22</v>
      </c>
      <c r="E2453">
        <v>1</v>
      </c>
      <c r="F2453">
        <v>166</v>
      </c>
      <c r="G2453">
        <v>31.97</v>
      </c>
      <c r="H2453">
        <v>2022</v>
      </c>
      <c r="I2453" t="s">
        <v>27</v>
      </c>
      <c r="J2453" s="4">
        <v>0.19259036144578301</v>
      </c>
      <c r="K2453" t="s">
        <v>42</v>
      </c>
      <c r="L2453" t="s">
        <v>59</v>
      </c>
      <c r="M2453">
        <v>6</v>
      </c>
      <c r="N2453" t="s">
        <v>66</v>
      </c>
    </row>
    <row r="2454" spans="1:14" x14ac:dyDescent="0.3">
      <c r="A2454" s="1">
        <v>44819</v>
      </c>
      <c r="B2454" t="s">
        <v>35</v>
      </c>
      <c r="C2454" t="s">
        <v>33</v>
      </c>
      <c r="D2454" t="s">
        <v>19</v>
      </c>
      <c r="E2454">
        <v>9</v>
      </c>
      <c r="F2454">
        <v>9810</v>
      </c>
      <c r="G2454">
        <v>549.46</v>
      </c>
      <c r="H2454">
        <v>2022</v>
      </c>
      <c r="I2454" t="s">
        <v>21</v>
      </c>
      <c r="J2454" s="4">
        <v>5.6010193679918503E-2</v>
      </c>
      <c r="K2454" t="s">
        <v>42</v>
      </c>
      <c r="L2454" t="s">
        <v>60</v>
      </c>
      <c r="M2454">
        <v>9</v>
      </c>
      <c r="N2454" t="s">
        <v>61</v>
      </c>
    </row>
    <row r="2455" spans="1:14" x14ac:dyDescent="0.3">
      <c r="A2455" s="1">
        <v>44701</v>
      </c>
      <c r="B2455" t="s">
        <v>35</v>
      </c>
      <c r="C2455" t="s">
        <v>33</v>
      </c>
      <c r="D2455" t="s">
        <v>22</v>
      </c>
      <c r="E2455">
        <v>8</v>
      </c>
      <c r="F2455">
        <v>2128</v>
      </c>
      <c r="G2455">
        <v>294.45</v>
      </c>
      <c r="H2455">
        <v>2022</v>
      </c>
      <c r="I2455" t="s">
        <v>20</v>
      </c>
      <c r="J2455" s="4">
        <v>0.13836936090225599</v>
      </c>
      <c r="K2455" t="s">
        <v>42</v>
      </c>
      <c r="L2455" t="s">
        <v>59</v>
      </c>
      <c r="M2455">
        <v>5</v>
      </c>
      <c r="N2455" t="s">
        <v>20</v>
      </c>
    </row>
    <row r="2456" spans="1:14" x14ac:dyDescent="0.3">
      <c r="A2456" s="1">
        <v>44742</v>
      </c>
      <c r="B2456" t="s">
        <v>35</v>
      </c>
      <c r="C2456" t="s">
        <v>33</v>
      </c>
      <c r="D2456" t="s">
        <v>22</v>
      </c>
      <c r="E2456">
        <v>4</v>
      </c>
      <c r="F2456">
        <v>468</v>
      </c>
      <c r="G2456">
        <v>131.47999999999999</v>
      </c>
      <c r="H2456">
        <v>2022</v>
      </c>
      <c r="I2456" t="s">
        <v>27</v>
      </c>
      <c r="J2456" s="4">
        <v>0.28094017094017099</v>
      </c>
      <c r="K2456" t="s">
        <v>42</v>
      </c>
      <c r="L2456" t="s">
        <v>59</v>
      </c>
      <c r="M2456">
        <v>6</v>
      </c>
      <c r="N2456" t="s">
        <v>66</v>
      </c>
    </row>
    <row r="2457" spans="1:14" x14ac:dyDescent="0.3">
      <c r="A2457" s="1">
        <v>44701</v>
      </c>
      <c r="B2457" t="s">
        <v>35</v>
      </c>
      <c r="C2457" t="s">
        <v>33</v>
      </c>
      <c r="D2457" t="s">
        <v>17</v>
      </c>
      <c r="E2457">
        <v>2</v>
      </c>
      <c r="F2457">
        <v>1608</v>
      </c>
      <c r="G2457">
        <v>170.29</v>
      </c>
      <c r="H2457">
        <v>2022</v>
      </c>
      <c r="I2457" t="s">
        <v>20</v>
      </c>
      <c r="J2457" s="4">
        <v>0.105901741293532</v>
      </c>
      <c r="K2457" t="s">
        <v>42</v>
      </c>
      <c r="L2457" t="s">
        <v>59</v>
      </c>
      <c r="M2457">
        <v>5</v>
      </c>
      <c r="N2457" t="s">
        <v>20</v>
      </c>
    </row>
    <row r="2458" spans="1:14" x14ac:dyDescent="0.3">
      <c r="A2458" s="1">
        <v>44599</v>
      </c>
      <c r="B2458" t="s">
        <v>35</v>
      </c>
      <c r="C2458" t="s">
        <v>33</v>
      </c>
      <c r="D2458" t="s">
        <v>12</v>
      </c>
      <c r="E2458">
        <v>5</v>
      </c>
      <c r="F2458">
        <v>4550</v>
      </c>
      <c r="G2458">
        <v>1039.3399999999999</v>
      </c>
      <c r="H2458">
        <v>2022</v>
      </c>
      <c r="I2458" t="s">
        <v>16</v>
      </c>
      <c r="J2458" s="4">
        <v>0.228426373626374</v>
      </c>
      <c r="K2458" t="s">
        <v>42</v>
      </c>
      <c r="L2458" t="s">
        <v>55</v>
      </c>
      <c r="M2458">
        <v>2</v>
      </c>
      <c r="N2458" t="s">
        <v>57</v>
      </c>
    </row>
    <row r="2459" spans="1:14" x14ac:dyDescent="0.3">
      <c r="A2459" s="1">
        <v>44753</v>
      </c>
      <c r="B2459" t="s">
        <v>35</v>
      </c>
      <c r="C2459" t="s">
        <v>33</v>
      </c>
      <c r="D2459" t="s">
        <v>19</v>
      </c>
      <c r="E2459">
        <v>7</v>
      </c>
      <c r="F2459">
        <v>497</v>
      </c>
      <c r="G2459">
        <v>76.31</v>
      </c>
      <c r="H2459">
        <v>2022</v>
      </c>
      <c r="I2459" t="s">
        <v>25</v>
      </c>
      <c r="J2459" s="4">
        <v>0.15354124748490899</v>
      </c>
      <c r="K2459" t="s">
        <v>42</v>
      </c>
      <c r="L2459" t="s">
        <v>60</v>
      </c>
      <c r="M2459">
        <v>7</v>
      </c>
      <c r="N2459" t="s">
        <v>64</v>
      </c>
    </row>
    <row r="2460" spans="1:14" x14ac:dyDescent="0.3">
      <c r="A2460" s="1">
        <v>44782</v>
      </c>
      <c r="B2460" t="s">
        <v>35</v>
      </c>
      <c r="C2460" t="s">
        <v>33</v>
      </c>
      <c r="D2460" t="s">
        <v>12</v>
      </c>
      <c r="E2460">
        <v>5</v>
      </c>
      <c r="F2460">
        <v>4200</v>
      </c>
      <c r="G2460">
        <v>330.48</v>
      </c>
      <c r="H2460">
        <v>2022</v>
      </c>
      <c r="I2460" t="s">
        <v>24</v>
      </c>
      <c r="J2460" s="4">
        <v>7.8685714285714303E-2</v>
      </c>
      <c r="K2460" t="s">
        <v>42</v>
      </c>
      <c r="L2460" t="s">
        <v>60</v>
      </c>
      <c r="M2460">
        <v>8</v>
      </c>
      <c r="N2460" t="s">
        <v>63</v>
      </c>
    </row>
    <row r="2461" spans="1:14" x14ac:dyDescent="0.3">
      <c r="A2461" s="1">
        <v>44632</v>
      </c>
      <c r="B2461" t="s">
        <v>35</v>
      </c>
      <c r="C2461" t="s">
        <v>33</v>
      </c>
      <c r="D2461" t="s">
        <v>19</v>
      </c>
      <c r="E2461">
        <v>6</v>
      </c>
      <c r="F2461">
        <v>6780</v>
      </c>
      <c r="G2461">
        <v>1794.97</v>
      </c>
      <c r="H2461">
        <v>2022</v>
      </c>
      <c r="I2461" t="s">
        <v>15</v>
      </c>
      <c r="J2461" s="4">
        <v>0.26474483775811197</v>
      </c>
      <c r="K2461" t="s">
        <v>42</v>
      </c>
      <c r="L2461" t="s">
        <v>55</v>
      </c>
      <c r="M2461">
        <v>3</v>
      </c>
      <c r="N2461" t="s">
        <v>56</v>
      </c>
    </row>
    <row r="2462" spans="1:14" x14ac:dyDescent="0.3">
      <c r="A2462" s="1">
        <v>44872</v>
      </c>
      <c r="B2462" t="s">
        <v>35</v>
      </c>
      <c r="C2462" t="s">
        <v>33</v>
      </c>
      <c r="D2462" t="s">
        <v>17</v>
      </c>
      <c r="E2462">
        <v>5</v>
      </c>
      <c r="F2462">
        <v>365</v>
      </c>
      <c r="G2462">
        <v>94.05</v>
      </c>
      <c r="H2462">
        <v>2022</v>
      </c>
      <c r="I2462" t="s">
        <v>18</v>
      </c>
      <c r="J2462" s="4">
        <v>0.25767123287671201</v>
      </c>
      <c r="K2462" t="s">
        <v>42</v>
      </c>
      <c r="L2462" t="s">
        <v>52</v>
      </c>
      <c r="M2462">
        <v>11</v>
      </c>
      <c r="N2462" t="s">
        <v>58</v>
      </c>
    </row>
    <row r="2463" spans="1:14" x14ac:dyDescent="0.3">
      <c r="A2463" s="1">
        <v>44671</v>
      </c>
      <c r="B2463" t="s">
        <v>35</v>
      </c>
      <c r="C2463" t="s">
        <v>33</v>
      </c>
      <c r="D2463" t="s">
        <v>12</v>
      </c>
      <c r="E2463">
        <v>4</v>
      </c>
      <c r="F2463">
        <v>616</v>
      </c>
      <c r="G2463">
        <v>175.75</v>
      </c>
      <c r="H2463">
        <v>2022</v>
      </c>
      <c r="I2463" t="s">
        <v>23</v>
      </c>
      <c r="J2463" s="4">
        <v>0.28530844155844198</v>
      </c>
      <c r="K2463" t="s">
        <v>42</v>
      </c>
      <c r="L2463" t="s">
        <v>59</v>
      </c>
      <c r="M2463">
        <v>4</v>
      </c>
      <c r="N2463" t="s">
        <v>62</v>
      </c>
    </row>
    <row r="2464" spans="1:14" x14ac:dyDescent="0.3">
      <c r="A2464" s="1">
        <v>44739</v>
      </c>
      <c r="B2464" t="s">
        <v>35</v>
      </c>
      <c r="C2464" t="s">
        <v>33</v>
      </c>
      <c r="D2464" t="s">
        <v>22</v>
      </c>
      <c r="E2464">
        <v>4</v>
      </c>
      <c r="F2464">
        <v>3352</v>
      </c>
      <c r="G2464">
        <v>663.15</v>
      </c>
      <c r="H2464">
        <v>2022</v>
      </c>
      <c r="I2464" t="s">
        <v>27</v>
      </c>
      <c r="J2464" s="4">
        <v>0.197837112171838</v>
      </c>
      <c r="K2464" t="s">
        <v>42</v>
      </c>
      <c r="L2464" t="s">
        <v>59</v>
      </c>
      <c r="M2464">
        <v>6</v>
      </c>
      <c r="N2464" t="s">
        <v>66</v>
      </c>
    </row>
    <row r="2465" spans="1:14" x14ac:dyDescent="0.3">
      <c r="A2465" s="1">
        <v>44871</v>
      </c>
      <c r="B2465" t="s">
        <v>35</v>
      </c>
      <c r="C2465" t="s">
        <v>33</v>
      </c>
      <c r="D2465" t="s">
        <v>22</v>
      </c>
      <c r="E2465">
        <v>1</v>
      </c>
      <c r="F2465">
        <v>711</v>
      </c>
      <c r="G2465">
        <v>158.88999999999999</v>
      </c>
      <c r="H2465">
        <v>2022</v>
      </c>
      <c r="I2465" t="s">
        <v>18</v>
      </c>
      <c r="J2465" s="4">
        <v>0.223473980309423</v>
      </c>
      <c r="K2465" t="s">
        <v>42</v>
      </c>
      <c r="L2465" t="s">
        <v>52</v>
      </c>
      <c r="M2465">
        <v>11</v>
      </c>
      <c r="N2465" t="s">
        <v>58</v>
      </c>
    </row>
    <row r="2466" spans="1:14" x14ac:dyDescent="0.3">
      <c r="A2466" s="1">
        <v>44709</v>
      </c>
      <c r="B2466" t="s">
        <v>35</v>
      </c>
      <c r="C2466" t="s">
        <v>33</v>
      </c>
      <c r="D2466" t="s">
        <v>22</v>
      </c>
      <c r="E2466">
        <v>1</v>
      </c>
      <c r="F2466">
        <v>713</v>
      </c>
      <c r="G2466">
        <v>62.78</v>
      </c>
      <c r="H2466">
        <v>2022</v>
      </c>
      <c r="I2466" t="s">
        <v>20</v>
      </c>
      <c r="J2466" s="4">
        <v>8.8050490883590404E-2</v>
      </c>
      <c r="K2466" t="s">
        <v>42</v>
      </c>
      <c r="L2466" t="s">
        <v>59</v>
      </c>
      <c r="M2466">
        <v>5</v>
      </c>
      <c r="N2466" t="s">
        <v>20</v>
      </c>
    </row>
    <row r="2467" spans="1:14" x14ac:dyDescent="0.3">
      <c r="A2467" s="1">
        <v>44884</v>
      </c>
      <c r="B2467" t="s">
        <v>35</v>
      </c>
      <c r="C2467" t="s">
        <v>33</v>
      </c>
      <c r="D2467" t="s">
        <v>19</v>
      </c>
      <c r="E2467">
        <v>4</v>
      </c>
      <c r="F2467">
        <v>1516</v>
      </c>
      <c r="G2467">
        <v>256.95999999999998</v>
      </c>
      <c r="H2467">
        <v>2022</v>
      </c>
      <c r="I2467" t="s">
        <v>18</v>
      </c>
      <c r="J2467" s="4">
        <v>0.16949868073878599</v>
      </c>
      <c r="K2467" t="s">
        <v>42</v>
      </c>
      <c r="L2467" t="s">
        <v>52</v>
      </c>
      <c r="M2467">
        <v>11</v>
      </c>
      <c r="N2467" t="s">
        <v>58</v>
      </c>
    </row>
    <row r="2468" spans="1:14" x14ac:dyDescent="0.3">
      <c r="A2468" s="1">
        <v>44857</v>
      </c>
      <c r="B2468" t="s">
        <v>35</v>
      </c>
      <c r="C2468" t="s">
        <v>33</v>
      </c>
      <c r="D2468" t="s">
        <v>22</v>
      </c>
      <c r="E2468">
        <v>7</v>
      </c>
      <c r="F2468">
        <v>7672</v>
      </c>
      <c r="G2468">
        <v>896.11</v>
      </c>
      <c r="H2468">
        <v>2022</v>
      </c>
      <c r="I2468" t="s">
        <v>14</v>
      </c>
      <c r="J2468" s="4">
        <v>0.116802659019812</v>
      </c>
      <c r="K2468" t="s">
        <v>42</v>
      </c>
      <c r="L2468" t="s">
        <v>52</v>
      </c>
      <c r="M2468">
        <v>10</v>
      </c>
      <c r="N2468" t="s">
        <v>54</v>
      </c>
    </row>
    <row r="2469" spans="1:14" x14ac:dyDescent="0.3">
      <c r="A2469" s="1">
        <v>44673</v>
      </c>
      <c r="B2469" t="s">
        <v>35</v>
      </c>
      <c r="C2469" t="s">
        <v>33</v>
      </c>
      <c r="D2469" t="s">
        <v>12</v>
      </c>
      <c r="E2469">
        <v>7</v>
      </c>
      <c r="F2469">
        <v>3654</v>
      </c>
      <c r="G2469">
        <v>670.16</v>
      </c>
      <c r="H2469">
        <v>2022</v>
      </c>
      <c r="I2469" t="s">
        <v>23</v>
      </c>
      <c r="J2469" s="4">
        <v>0.183404488232074</v>
      </c>
      <c r="K2469" t="s">
        <v>42</v>
      </c>
      <c r="L2469" t="s">
        <v>59</v>
      </c>
      <c r="M2469">
        <v>4</v>
      </c>
      <c r="N2469" t="s">
        <v>62</v>
      </c>
    </row>
    <row r="2470" spans="1:14" x14ac:dyDescent="0.3">
      <c r="A2470" s="1">
        <v>44753</v>
      </c>
      <c r="B2470" t="s">
        <v>35</v>
      </c>
      <c r="C2470" t="s">
        <v>33</v>
      </c>
      <c r="D2470" t="s">
        <v>12</v>
      </c>
      <c r="E2470">
        <v>8</v>
      </c>
      <c r="F2470">
        <v>4752</v>
      </c>
      <c r="G2470">
        <v>1124.22</v>
      </c>
      <c r="H2470">
        <v>2022</v>
      </c>
      <c r="I2470" t="s">
        <v>25</v>
      </c>
      <c r="J2470" s="4">
        <v>0.236578282828283</v>
      </c>
      <c r="K2470" t="s">
        <v>42</v>
      </c>
      <c r="L2470" t="s">
        <v>60</v>
      </c>
      <c r="M2470">
        <v>7</v>
      </c>
      <c r="N2470" t="s">
        <v>64</v>
      </c>
    </row>
    <row r="2471" spans="1:14" x14ac:dyDescent="0.3">
      <c r="A2471" s="1">
        <v>44562</v>
      </c>
      <c r="B2471" t="s">
        <v>35</v>
      </c>
      <c r="C2471" t="s">
        <v>33</v>
      </c>
      <c r="D2471" t="s">
        <v>19</v>
      </c>
      <c r="E2471">
        <v>6</v>
      </c>
      <c r="F2471">
        <v>6372</v>
      </c>
      <c r="G2471">
        <v>570.75</v>
      </c>
      <c r="H2471">
        <v>2022</v>
      </c>
      <c r="I2471" t="s">
        <v>26</v>
      </c>
      <c r="J2471" s="4">
        <v>8.9571563088512204E-2</v>
      </c>
      <c r="K2471" t="s">
        <v>42</v>
      </c>
      <c r="L2471" t="s">
        <v>55</v>
      </c>
      <c r="M2471">
        <v>1</v>
      </c>
      <c r="N2471" t="s">
        <v>65</v>
      </c>
    </row>
    <row r="2472" spans="1:14" x14ac:dyDescent="0.3">
      <c r="A2472" s="1">
        <v>44622</v>
      </c>
      <c r="B2472" t="s">
        <v>35</v>
      </c>
      <c r="C2472" t="s">
        <v>33</v>
      </c>
      <c r="D2472" t="s">
        <v>17</v>
      </c>
      <c r="E2472">
        <v>3</v>
      </c>
      <c r="F2472">
        <v>633</v>
      </c>
      <c r="G2472">
        <v>162.4</v>
      </c>
      <c r="H2472">
        <v>2022</v>
      </c>
      <c r="I2472" t="s">
        <v>15</v>
      </c>
      <c r="J2472" s="4">
        <v>0.25655608214849901</v>
      </c>
      <c r="K2472" t="s">
        <v>42</v>
      </c>
      <c r="L2472" t="s">
        <v>55</v>
      </c>
      <c r="M2472">
        <v>3</v>
      </c>
      <c r="N2472" t="s">
        <v>56</v>
      </c>
    </row>
    <row r="2473" spans="1:14" x14ac:dyDescent="0.3">
      <c r="A2473" s="1">
        <v>44635</v>
      </c>
      <c r="B2473" t="s">
        <v>35</v>
      </c>
      <c r="C2473" t="s">
        <v>33</v>
      </c>
      <c r="D2473" t="s">
        <v>12</v>
      </c>
      <c r="E2473">
        <v>3</v>
      </c>
      <c r="F2473">
        <v>438</v>
      </c>
      <c r="G2473">
        <v>67.430000000000007</v>
      </c>
      <c r="H2473">
        <v>2022</v>
      </c>
      <c r="I2473" t="s">
        <v>15</v>
      </c>
      <c r="J2473" s="4">
        <v>0.153949771689498</v>
      </c>
      <c r="K2473" t="s">
        <v>42</v>
      </c>
      <c r="L2473" t="s">
        <v>55</v>
      </c>
      <c r="M2473">
        <v>3</v>
      </c>
      <c r="N2473" t="s">
        <v>56</v>
      </c>
    </row>
    <row r="2474" spans="1:14" x14ac:dyDescent="0.3">
      <c r="A2474" s="1">
        <v>44859</v>
      </c>
      <c r="B2474" t="s">
        <v>35</v>
      </c>
      <c r="C2474" t="s">
        <v>33</v>
      </c>
      <c r="D2474" t="s">
        <v>17</v>
      </c>
      <c r="E2474">
        <v>3</v>
      </c>
      <c r="F2474">
        <v>2400</v>
      </c>
      <c r="G2474">
        <v>297.07</v>
      </c>
      <c r="H2474">
        <v>2022</v>
      </c>
      <c r="I2474" t="s">
        <v>14</v>
      </c>
      <c r="J2474" s="4">
        <v>0.123779166666667</v>
      </c>
      <c r="K2474" t="s">
        <v>42</v>
      </c>
      <c r="L2474" t="s">
        <v>52</v>
      </c>
      <c r="M2474">
        <v>10</v>
      </c>
      <c r="N2474" t="s">
        <v>54</v>
      </c>
    </row>
    <row r="2475" spans="1:14" x14ac:dyDescent="0.3">
      <c r="A2475" s="1">
        <v>44909</v>
      </c>
      <c r="B2475" t="s">
        <v>35</v>
      </c>
      <c r="C2475" t="s">
        <v>33</v>
      </c>
      <c r="D2475" t="s">
        <v>17</v>
      </c>
      <c r="E2475">
        <v>2</v>
      </c>
      <c r="F2475">
        <v>794</v>
      </c>
      <c r="G2475">
        <v>128.5</v>
      </c>
      <c r="H2475">
        <v>2022</v>
      </c>
      <c r="I2475" t="s">
        <v>13</v>
      </c>
      <c r="J2475" s="4">
        <v>0.16183879093199</v>
      </c>
      <c r="K2475" t="s">
        <v>42</v>
      </c>
      <c r="L2475" t="s">
        <v>52</v>
      </c>
      <c r="M2475">
        <v>12</v>
      </c>
      <c r="N2475" t="s">
        <v>53</v>
      </c>
    </row>
    <row r="2476" spans="1:14" x14ac:dyDescent="0.3">
      <c r="A2476" s="1">
        <v>44616</v>
      </c>
      <c r="B2476" t="s">
        <v>35</v>
      </c>
      <c r="C2476" t="s">
        <v>33</v>
      </c>
      <c r="D2476" t="s">
        <v>12</v>
      </c>
      <c r="E2476">
        <v>7</v>
      </c>
      <c r="F2476">
        <v>2597</v>
      </c>
      <c r="G2476">
        <v>152.09</v>
      </c>
      <c r="H2476">
        <v>2022</v>
      </c>
      <c r="I2476" t="s">
        <v>16</v>
      </c>
      <c r="J2476" s="4">
        <v>5.8563727377743603E-2</v>
      </c>
      <c r="K2476" t="s">
        <v>42</v>
      </c>
      <c r="L2476" t="s">
        <v>55</v>
      </c>
      <c r="M2476">
        <v>2</v>
      </c>
      <c r="N2476" t="s">
        <v>57</v>
      </c>
    </row>
    <row r="2477" spans="1:14" x14ac:dyDescent="0.3">
      <c r="A2477" s="1">
        <v>44619</v>
      </c>
      <c r="B2477" t="s">
        <v>35</v>
      </c>
      <c r="C2477" t="s">
        <v>33</v>
      </c>
      <c r="D2477" t="s">
        <v>17</v>
      </c>
      <c r="E2477">
        <v>4</v>
      </c>
      <c r="F2477">
        <v>2724</v>
      </c>
      <c r="G2477">
        <v>229.47</v>
      </c>
      <c r="H2477">
        <v>2022</v>
      </c>
      <c r="I2477" t="s">
        <v>16</v>
      </c>
      <c r="J2477" s="4">
        <v>8.4240088105726904E-2</v>
      </c>
      <c r="K2477" t="s">
        <v>42</v>
      </c>
      <c r="L2477" t="s">
        <v>55</v>
      </c>
      <c r="M2477">
        <v>2</v>
      </c>
      <c r="N2477" t="s">
        <v>57</v>
      </c>
    </row>
    <row r="2478" spans="1:14" x14ac:dyDescent="0.3">
      <c r="A2478" s="1">
        <v>44815</v>
      </c>
      <c r="B2478" t="s">
        <v>35</v>
      </c>
      <c r="C2478" t="s">
        <v>33</v>
      </c>
      <c r="D2478" t="s">
        <v>17</v>
      </c>
      <c r="E2478">
        <v>2</v>
      </c>
      <c r="F2478">
        <v>1160</v>
      </c>
      <c r="G2478">
        <v>206.49</v>
      </c>
      <c r="H2478">
        <v>2022</v>
      </c>
      <c r="I2478" t="s">
        <v>21</v>
      </c>
      <c r="J2478" s="4">
        <v>0.17800862068965501</v>
      </c>
      <c r="K2478" t="s">
        <v>42</v>
      </c>
      <c r="L2478" t="s">
        <v>60</v>
      </c>
      <c r="M2478">
        <v>9</v>
      </c>
      <c r="N2478" t="s">
        <v>61</v>
      </c>
    </row>
    <row r="2479" spans="1:14" x14ac:dyDescent="0.3">
      <c r="A2479" s="1">
        <v>44792</v>
      </c>
      <c r="B2479" t="s">
        <v>35</v>
      </c>
      <c r="C2479" t="s">
        <v>33</v>
      </c>
      <c r="D2479" t="s">
        <v>12</v>
      </c>
      <c r="E2479">
        <v>2</v>
      </c>
      <c r="F2479">
        <v>1312</v>
      </c>
      <c r="G2479">
        <v>344</v>
      </c>
      <c r="H2479">
        <v>2022</v>
      </c>
      <c r="I2479" t="s">
        <v>24</v>
      </c>
      <c r="J2479" s="4">
        <v>0.26219512195122002</v>
      </c>
      <c r="K2479" t="s">
        <v>42</v>
      </c>
      <c r="L2479" t="s">
        <v>60</v>
      </c>
      <c r="M2479">
        <v>8</v>
      </c>
      <c r="N2479" t="s">
        <v>63</v>
      </c>
    </row>
    <row r="2480" spans="1:14" x14ac:dyDescent="0.3">
      <c r="A2480" s="1">
        <v>44695</v>
      </c>
      <c r="B2480" t="s">
        <v>35</v>
      </c>
      <c r="C2480" t="s">
        <v>33</v>
      </c>
      <c r="D2480" t="s">
        <v>19</v>
      </c>
      <c r="E2480">
        <v>4</v>
      </c>
      <c r="F2480">
        <v>2284</v>
      </c>
      <c r="G2480">
        <v>576.59</v>
      </c>
      <c r="H2480">
        <v>2022</v>
      </c>
      <c r="I2480" t="s">
        <v>20</v>
      </c>
      <c r="J2480" s="4">
        <v>0.25244746059544698</v>
      </c>
      <c r="K2480" t="s">
        <v>42</v>
      </c>
      <c r="L2480" t="s">
        <v>59</v>
      </c>
      <c r="M2480">
        <v>5</v>
      </c>
      <c r="N2480" t="s">
        <v>20</v>
      </c>
    </row>
    <row r="2481" spans="1:14" x14ac:dyDescent="0.3">
      <c r="A2481" s="1">
        <v>44742</v>
      </c>
      <c r="B2481" t="s">
        <v>35</v>
      </c>
      <c r="C2481" t="s">
        <v>33</v>
      </c>
      <c r="D2481" t="s">
        <v>22</v>
      </c>
      <c r="E2481">
        <v>9</v>
      </c>
      <c r="F2481">
        <v>1881</v>
      </c>
      <c r="G2481">
        <v>430.78</v>
      </c>
      <c r="H2481">
        <v>2022</v>
      </c>
      <c r="I2481" t="s">
        <v>27</v>
      </c>
      <c r="J2481" s="4">
        <v>0.22901648059542801</v>
      </c>
      <c r="K2481" t="s">
        <v>42</v>
      </c>
      <c r="L2481" t="s">
        <v>59</v>
      </c>
      <c r="M2481">
        <v>6</v>
      </c>
      <c r="N2481" t="s">
        <v>66</v>
      </c>
    </row>
    <row r="2482" spans="1:14" x14ac:dyDescent="0.3">
      <c r="A2482" s="1">
        <v>44577</v>
      </c>
      <c r="B2482" t="s">
        <v>35</v>
      </c>
      <c r="C2482" t="s">
        <v>33</v>
      </c>
      <c r="D2482" t="s">
        <v>19</v>
      </c>
      <c r="E2482">
        <v>9</v>
      </c>
      <c r="F2482">
        <v>7425</v>
      </c>
      <c r="G2482">
        <v>1533.72</v>
      </c>
      <c r="H2482">
        <v>2022</v>
      </c>
      <c r="I2482" t="s">
        <v>26</v>
      </c>
      <c r="J2482" s="4">
        <v>0.206561616161616</v>
      </c>
      <c r="K2482" t="s">
        <v>42</v>
      </c>
      <c r="L2482" t="s">
        <v>55</v>
      </c>
      <c r="M2482">
        <v>1</v>
      </c>
      <c r="N2482" t="s">
        <v>65</v>
      </c>
    </row>
    <row r="2483" spans="1:14" x14ac:dyDescent="0.3">
      <c r="A2483" s="1">
        <v>44837</v>
      </c>
      <c r="B2483" t="s">
        <v>35</v>
      </c>
      <c r="C2483" t="s">
        <v>33</v>
      </c>
      <c r="D2483" t="s">
        <v>12</v>
      </c>
      <c r="E2483">
        <v>3</v>
      </c>
      <c r="F2483">
        <v>2082</v>
      </c>
      <c r="G2483">
        <v>346.53</v>
      </c>
      <c r="H2483">
        <v>2022</v>
      </c>
      <c r="I2483" t="s">
        <v>14</v>
      </c>
      <c r="J2483" s="4">
        <v>0.16644092219020201</v>
      </c>
      <c r="K2483" t="s">
        <v>42</v>
      </c>
      <c r="L2483" t="s">
        <v>52</v>
      </c>
      <c r="M2483">
        <v>10</v>
      </c>
      <c r="N2483" t="s">
        <v>54</v>
      </c>
    </row>
    <row r="2484" spans="1:14" x14ac:dyDescent="0.3">
      <c r="A2484" s="1">
        <v>44716</v>
      </c>
      <c r="B2484" t="s">
        <v>35</v>
      </c>
      <c r="C2484" t="s">
        <v>33</v>
      </c>
      <c r="D2484" t="s">
        <v>17</v>
      </c>
      <c r="E2484">
        <v>3</v>
      </c>
      <c r="F2484">
        <v>942</v>
      </c>
      <c r="G2484">
        <v>84.8</v>
      </c>
      <c r="H2484">
        <v>2022</v>
      </c>
      <c r="I2484" t="s">
        <v>27</v>
      </c>
      <c r="J2484" s="4">
        <v>9.0021231422505302E-2</v>
      </c>
      <c r="K2484" t="s">
        <v>42</v>
      </c>
      <c r="L2484" t="s">
        <v>59</v>
      </c>
      <c r="M2484">
        <v>6</v>
      </c>
      <c r="N2484" t="s">
        <v>66</v>
      </c>
    </row>
    <row r="2485" spans="1:14" x14ac:dyDescent="0.3">
      <c r="A2485" s="1">
        <v>44684</v>
      </c>
      <c r="B2485" t="s">
        <v>35</v>
      </c>
      <c r="C2485" t="s">
        <v>33</v>
      </c>
      <c r="D2485" t="s">
        <v>17</v>
      </c>
      <c r="E2485">
        <v>7</v>
      </c>
      <c r="F2485">
        <v>3962</v>
      </c>
      <c r="G2485">
        <v>491.9</v>
      </c>
      <c r="H2485">
        <v>2022</v>
      </c>
      <c r="I2485" t="s">
        <v>20</v>
      </c>
      <c r="J2485" s="4">
        <v>0.12415446744068701</v>
      </c>
      <c r="K2485" t="s">
        <v>42</v>
      </c>
      <c r="L2485" t="s">
        <v>59</v>
      </c>
      <c r="M2485">
        <v>5</v>
      </c>
      <c r="N2485" t="s">
        <v>20</v>
      </c>
    </row>
    <row r="2486" spans="1:14" x14ac:dyDescent="0.3">
      <c r="A2486" s="1">
        <v>44630</v>
      </c>
      <c r="B2486" t="s">
        <v>35</v>
      </c>
      <c r="C2486" t="s">
        <v>33</v>
      </c>
      <c r="D2486" t="s">
        <v>22</v>
      </c>
      <c r="E2486">
        <v>9</v>
      </c>
      <c r="F2486">
        <v>1764</v>
      </c>
      <c r="G2486">
        <v>417.95</v>
      </c>
      <c r="H2486">
        <v>2022</v>
      </c>
      <c r="I2486" t="s">
        <v>15</v>
      </c>
      <c r="J2486" s="4">
        <v>0.236933106575964</v>
      </c>
      <c r="K2486" t="s">
        <v>42</v>
      </c>
      <c r="L2486" t="s">
        <v>55</v>
      </c>
      <c r="M2486">
        <v>3</v>
      </c>
      <c r="N2486" t="s">
        <v>56</v>
      </c>
    </row>
    <row r="2487" spans="1:14" x14ac:dyDescent="0.3">
      <c r="A2487" s="1">
        <v>44639</v>
      </c>
      <c r="B2487" t="s">
        <v>35</v>
      </c>
      <c r="C2487" t="s">
        <v>33</v>
      </c>
      <c r="D2487" t="s">
        <v>19</v>
      </c>
      <c r="E2487">
        <v>4</v>
      </c>
      <c r="F2487">
        <v>3524</v>
      </c>
      <c r="G2487">
        <v>998.29</v>
      </c>
      <c r="H2487">
        <v>2022</v>
      </c>
      <c r="I2487" t="s">
        <v>15</v>
      </c>
      <c r="J2487" s="4">
        <v>0.28328320090805897</v>
      </c>
      <c r="K2487" t="s">
        <v>42</v>
      </c>
      <c r="L2487" t="s">
        <v>55</v>
      </c>
      <c r="M2487">
        <v>3</v>
      </c>
      <c r="N2487" t="s">
        <v>56</v>
      </c>
    </row>
    <row r="2488" spans="1:14" x14ac:dyDescent="0.3">
      <c r="A2488" s="1">
        <v>44900</v>
      </c>
      <c r="B2488" t="s">
        <v>35</v>
      </c>
      <c r="C2488" t="s">
        <v>33</v>
      </c>
      <c r="D2488" t="s">
        <v>22</v>
      </c>
      <c r="E2488">
        <v>1</v>
      </c>
      <c r="F2488">
        <v>361</v>
      </c>
      <c r="G2488">
        <v>58.8</v>
      </c>
      <c r="H2488">
        <v>2022</v>
      </c>
      <c r="I2488" t="s">
        <v>13</v>
      </c>
      <c r="J2488" s="4">
        <v>0.16288088642659301</v>
      </c>
      <c r="K2488" t="s">
        <v>42</v>
      </c>
      <c r="L2488" t="s">
        <v>52</v>
      </c>
      <c r="M2488">
        <v>12</v>
      </c>
      <c r="N2488" t="s">
        <v>53</v>
      </c>
    </row>
    <row r="2489" spans="1:14" x14ac:dyDescent="0.3">
      <c r="A2489" s="1">
        <v>44683</v>
      </c>
      <c r="B2489" t="s">
        <v>35</v>
      </c>
      <c r="C2489" t="s">
        <v>33</v>
      </c>
      <c r="D2489" t="s">
        <v>17</v>
      </c>
      <c r="E2489">
        <v>2</v>
      </c>
      <c r="F2489">
        <v>712</v>
      </c>
      <c r="G2489">
        <v>205.53</v>
      </c>
      <c r="H2489">
        <v>2022</v>
      </c>
      <c r="I2489" t="s">
        <v>20</v>
      </c>
      <c r="J2489" s="4">
        <v>0.28866573033707899</v>
      </c>
      <c r="K2489" t="s">
        <v>42</v>
      </c>
      <c r="L2489" t="s">
        <v>59</v>
      </c>
      <c r="M2489">
        <v>5</v>
      </c>
      <c r="N2489" t="s">
        <v>20</v>
      </c>
    </row>
    <row r="2490" spans="1:14" x14ac:dyDescent="0.3">
      <c r="A2490" s="1">
        <v>44658</v>
      </c>
      <c r="B2490" t="s">
        <v>35</v>
      </c>
      <c r="C2490" t="s">
        <v>33</v>
      </c>
      <c r="D2490" t="s">
        <v>22</v>
      </c>
      <c r="E2490">
        <v>1</v>
      </c>
      <c r="F2490">
        <v>419</v>
      </c>
      <c r="G2490">
        <v>108.36</v>
      </c>
      <c r="H2490">
        <v>2022</v>
      </c>
      <c r="I2490" t="s">
        <v>23</v>
      </c>
      <c r="J2490" s="4">
        <v>0.25861575178997598</v>
      </c>
      <c r="K2490" t="s">
        <v>42</v>
      </c>
      <c r="L2490" t="s">
        <v>59</v>
      </c>
      <c r="M2490">
        <v>4</v>
      </c>
      <c r="N2490" t="s">
        <v>62</v>
      </c>
    </row>
    <row r="2491" spans="1:14" x14ac:dyDescent="0.3">
      <c r="A2491" s="1">
        <v>44600</v>
      </c>
      <c r="B2491" t="s">
        <v>35</v>
      </c>
      <c r="C2491" t="s">
        <v>33</v>
      </c>
      <c r="D2491" t="s">
        <v>19</v>
      </c>
      <c r="E2491">
        <v>7</v>
      </c>
      <c r="F2491">
        <v>7819</v>
      </c>
      <c r="G2491">
        <v>1708.84</v>
      </c>
      <c r="H2491">
        <v>2022</v>
      </c>
      <c r="I2491" t="s">
        <v>16</v>
      </c>
      <c r="J2491" s="4">
        <v>0.21854968666069799</v>
      </c>
      <c r="K2491" t="s">
        <v>42</v>
      </c>
      <c r="L2491" t="s">
        <v>55</v>
      </c>
      <c r="M2491">
        <v>2</v>
      </c>
      <c r="N2491" t="s">
        <v>57</v>
      </c>
    </row>
    <row r="2492" spans="1:14" x14ac:dyDescent="0.3">
      <c r="A2492" s="1">
        <v>44579</v>
      </c>
      <c r="B2492" t="s">
        <v>35</v>
      </c>
      <c r="C2492" t="s">
        <v>33</v>
      </c>
      <c r="D2492" t="s">
        <v>19</v>
      </c>
      <c r="E2492">
        <v>1</v>
      </c>
      <c r="F2492">
        <v>717</v>
      </c>
      <c r="G2492">
        <v>137.27000000000001</v>
      </c>
      <c r="H2492">
        <v>2022</v>
      </c>
      <c r="I2492" t="s">
        <v>26</v>
      </c>
      <c r="J2492" s="4">
        <v>0.191450488145049</v>
      </c>
      <c r="K2492" t="s">
        <v>42</v>
      </c>
      <c r="L2492" t="s">
        <v>55</v>
      </c>
      <c r="M2492">
        <v>1</v>
      </c>
      <c r="N2492" t="s">
        <v>65</v>
      </c>
    </row>
    <row r="2493" spans="1:14" x14ac:dyDescent="0.3">
      <c r="A2493" s="1">
        <v>44673</v>
      </c>
      <c r="B2493" t="s">
        <v>35</v>
      </c>
      <c r="C2493" t="s">
        <v>33</v>
      </c>
      <c r="D2493" t="s">
        <v>19</v>
      </c>
      <c r="E2493">
        <v>5</v>
      </c>
      <c r="F2493">
        <v>1000</v>
      </c>
      <c r="G2493">
        <v>292.04000000000002</v>
      </c>
      <c r="H2493">
        <v>2022</v>
      </c>
      <c r="I2493" t="s">
        <v>23</v>
      </c>
      <c r="J2493" s="4">
        <v>0.29204000000000002</v>
      </c>
      <c r="K2493" t="s">
        <v>42</v>
      </c>
      <c r="L2493" t="s">
        <v>59</v>
      </c>
      <c r="M2493">
        <v>4</v>
      </c>
      <c r="N2493" t="s">
        <v>62</v>
      </c>
    </row>
    <row r="2494" spans="1:14" x14ac:dyDescent="0.3">
      <c r="A2494" s="1">
        <v>44723</v>
      </c>
      <c r="B2494" t="s">
        <v>35</v>
      </c>
      <c r="C2494" t="s">
        <v>33</v>
      </c>
      <c r="D2494" t="s">
        <v>22</v>
      </c>
      <c r="E2494">
        <v>7</v>
      </c>
      <c r="F2494">
        <v>4039</v>
      </c>
      <c r="G2494">
        <v>420.29</v>
      </c>
      <c r="H2494">
        <v>2022</v>
      </c>
      <c r="I2494" t="s">
        <v>27</v>
      </c>
      <c r="J2494" s="4">
        <v>0.10405793513245901</v>
      </c>
      <c r="K2494" t="s">
        <v>42</v>
      </c>
      <c r="L2494" t="s">
        <v>59</v>
      </c>
      <c r="M2494">
        <v>6</v>
      </c>
      <c r="N2494" t="s">
        <v>66</v>
      </c>
    </row>
    <row r="2495" spans="1:14" x14ac:dyDescent="0.3">
      <c r="A2495" s="1">
        <v>44666</v>
      </c>
      <c r="B2495" t="s">
        <v>35</v>
      </c>
      <c r="C2495" t="s">
        <v>33</v>
      </c>
      <c r="D2495" t="s">
        <v>19</v>
      </c>
      <c r="E2495">
        <v>8</v>
      </c>
      <c r="F2495">
        <v>3208</v>
      </c>
      <c r="G2495">
        <v>840.97</v>
      </c>
      <c r="H2495">
        <v>2022</v>
      </c>
      <c r="I2495" t="s">
        <v>23</v>
      </c>
      <c r="J2495" s="4">
        <v>0.26214775561097298</v>
      </c>
      <c r="K2495" t="s">
        <v>42</v>
      </c>
      <c r="L2495" t="s">
        <v>59</v>
      </c>
      <c r="M2495">
        <v>4</v>
      </c>
      <c r="N2495" t="s">
        <v>62</v>
      </c>
    </row>
    <row r="2496" spans="1:14" x14ac:dyDescent="0.3">
      <c r="A2496" s="1">
        <v>44891</v>
      </c>
      <c r="B2496" t="s">
        <v>35</v>
      </c>
      <c r="C2496" t="s">
        <v>33</v>
      </c>
      <c r="D2496" t="s">
        <v>19</v>
      </c>
      <c r="E2496">
        <v>9</v>
      </c>
      <c r="F2496">
        <v>1467</v>
      </c>
      <c r="G2496">
        <v>372.17</v>
      </c>
      <c r="H2496">
        <v>2022</v>
      </c>
      <c r="I2496" t="s">
        <v>18</v>
      </c>
      <c r="J2496" s="4">
        <v>0.25369461486025902</v>
      </c>
      <c r="K2496" t="s">
        <v>42</v>
      </c>
      <c r="L2496" t="s">
        <v>52</v>
      </c>
      <c r="M2496">
        <v>11</v>
      </c>
      <c r="N2496" t="s">
        <v>58</v>
      </c>
    </row>
    <row r="2497" spans="1:14" x14ac:dyDescent="0.3">
      <c r="A2497" s="1">
        <v>44766</v>
      </c>
      <c r="B2497" t="s">
        <v>35</v>
      </c>
      <c r="C2497" t="s">
        <v>33</v>
      </c>
      <c r="D2497" t="s">
        <v>17</v>
      </c>
      <c r="E2497">
        <v>1</v>
      </c>
      <c r="F2497">
        <v>868</v>
      </c>
      <c r="G2497">
        <v>60.12</v>
      </c>
      <c r="H2497">
        <v>2022</v>
      </c>
      <c r="I2497" t="s">
        <v>25</v>
      </c>
      <c r="J2497" s="4">
        <v>6.9262672811059897E-2</v>
      </c>
      <c r="K2497" t="s">
        <v>42</v>
      </c>
      <c r="L2497" t="s">
        <v>60</v>
      </c>
      <c r="M2497">
        <v>7</v>
      </c>
      <c r="N2497" t="s">
        <v>64</v>
      </c>
    </row>
    <row r="2498" spans="1:14" x14ac:dyDescent="0.3">
      <c r="A2498" s="1">
        <v>44611</v>
      </c>
      <c r="B2498" t="s">
        <v>35</v>
      </c>
      <c r="C2498" t="s">
        <v>33</v>
      </c>
      <c r="D2498" t="s">
        <v>19</v>
      </c>
      <c r="E2498">
        <v>1</v>
      </c>
      <c r="F2498">
        <v>582</v>
      </c>
      <c r="G2498">
        <v>29.91</v>
      </c>
      <c r="H2498">
        <v>2022</v>
      </c>
      <c r="I2498" t="s">
        <v>16</v>
      </c>
      <c r="J2498" s="4">
        <v>5.1391752577319601E-2</v>
      </c>
      <c r="K2498" t="s">
        <v>42</v>
      </c>
      <c r="L2498" t="s">
        <v>55</v>
      </c>
      <c r="M2498">
        <v>2</v>
      </c>
      <c r="N2498" t="s">
        <v>57</v>
      </c>
    </row>
    <row r="2499" spans="1:14" x14ac:dyDescent="0.3">
      <c r="A2499" s="1">
        <v>44881</v>
      </c>
      <c r="B2499" t="s">
        <v>35</v>
      </c>
      <c r="C2499" t="s">
        <v>33</v>
      </c>
      <c r="D2499" t="s">
        <v>22</v>
      </c>
      <c r="E2499">
        <v>9</v>
      </c>
      <c r="F2499">
        <v>10629</v>
      </c>
      <c r="G2499">
        <v>2843.54</v>
      </c>
      <c r="H2499">
        <v>2022</v>
      </c>
      <c r="I2499" t="s">
        <v>18</v>
      </c>
      <c r="J2499" s="4">
        <v>0.26752657822937198</v>
      </c>
      <c r="K2499" t="s">
        <v>42</v>
      </c>
      <c r="L2499" t="s">
        <v>52</v>
      </c>
      <c r="M2499">
        <v>11</v>
      </c>
      <c r="N2499" t="s">
        <v>58</v>
      </c>
    </row>
    <row r="2500" spans="1:14" x14ac:dyDescent="0.3">
      <c r="A2500" s="1">
        <v>44863</v>
      </c>
      <c r="B2500" t="s">
        <v>35</v>
      </c>
      <c r="C2500" t="s">
        <v>33</v>
      </c>
      <c r="D2500" t="s">
        <v>19</v>
      </c>
      <c r="E2500">
        <v>3</v>
      </c>
      <c r="F2500">
        <v>1263</v>
      </c>
      <c r="G2500">
        <v>368.46</v>
      </c>
      <c r="H2500">
        <v>2022</v>
      </c>
      <c r="I2500" t="s">
        <v>14</v>
      </c>
      <c r="J2500" s="4">
        <v>0.29173396674584301</v>
      </c>
      <c r="K2500" t="s">
        <v>42</v>
      </c>
      <c r="L2500" t="s">
        <v>52</v>
      </c>
      <c r="M2500">
        <v>10</v>
      </c>
      <c r="N2500" t="s">
        <v>54</v>
      </c>
    </row>
    <row r="2501" spans="1:14" x14ac:dyDescent="0.3">
      <c r="A2501" s="1">
        <v>44774</v>
      </c>
      <c r="B2501" t="s">
        <v>35</v>
      </c>
      <c r="C2501" t="s">
        <v>33</v>
      </c>
      <c r="D2501" t="s">
        <v>19</v>
      </c>
      <c r="E2501">
        <v>8</v>
      </c>
      <c r="F2501">
        <v>7064</v>
      </c>
      <c r="G2501">
        <v>745.24</v>
      </c>
      <c r="H2501">
        <v>2022</v>
      </c>
      <c r="I2501" t="s">
        <v>24</v>
      </c>
      <c r="J2501" s="4">
        <v>0.105498301245753</v>
      </c>
      <c r="K2501" t="s">
        <v>42</v>
      </c>
      <c r="L2501" t="s">
        <v>60</v>
      </c>
      <c r="M2501">
        <v>8</v>
      </c>
      <c r="N2501" t="s">
        <v>63</v>
      </c>
    </row>
    <row r="2502" spans="1:14" x14ac:dyDescent="0.3">
      <c r="A2502" s="1">
        <v>44722</v>
      </c>
      <c r="B2502" t="s">
        <v>35</v>
      </c>
      <c r="C2502" t="s">
        <v>33</v>
      </c>
      <c r="D2502" t="s">
        <v>17</v>
      </c>
      <c r="E2502">
        <v>9</v>
      </c>
      <c r="F2502">
        <v>5004</v>
      </c>
      <c r="G2502">
        <v>1313.13</v>
      </c>
      <c r="H2502">
        <v>2022</v>
      </c>
      <c r="I2502" t="s">
        <v>27</v>
      </c>
      <c r="J2502" s="4">
        <v>0.26241606714628302</v>
      </c>
      <c r="K2502" t="s">
        <v>42</v>
      </c>
      <c r="L2502" t="s">
        <v>59</v>
      </c>
      <c r="M2502">
        <v>6</v>
      </c>
      <c r="N2502" t="s">
        <v>66</v>
      </c>
    </row>
    <row r="2503" spans="1:14" x14ac:dyDescent="0.3">
      <c r="A2503" s="1">
        <v>44818</v>
      </c>
      <c r="B2503" t="s">
        <v>35</v>
      </c>
      <c r="C2503" t="s">
        <v>33</v>
      </c>
      <c r="D2503" t="s">
        <v>22</v>
      </c>
      <c r="E2503">
        <v>5</v>
      </c>
      <c r="F2503">
        <v>2895</v>
      </c>
      <c r="G2503">
        <v>334.35</v>
      </c>
      <c r="H2503">
        <v>2022</v>
      </c>
      <c r="I2503" t="s">
        <v>21</v>
      </c>
      <c r="J2503" s="4">
        <v>0.115492227979275</v>
      </c>
      <c r="K2503" t="s">
        <v>42</v>
      </c>
      <c r="L2503" t="s">
        <v>60</v>
      </c>
      <c r="M2503">
        <v>9</v>
      </c>
      <c r="N2503" t="s">
        <v>61</v>
      </c>
    </row>
    <row r="2504" spans="1:14" x14ac:dyDescent="0.3">
      <c r="A2504" s="1">
        <v>44751</v>
      </c>
      <c r="B2504" t="s">
        <v>35</v>
      </c>
      <c r="C2504" t="s">
        <v>33</v>
      </c>
      <c r="D2504" t="s">
        <v>17</v>
      </c>
      <c r="E2504">
        <v>6</v>
      </c>
      <c r="F2504">
        <v>3816</v>
      </c>
      <c r="G2504">
        <v>623.78</v>
      </c>
      <c r="H2504">
        <v>2022</v>
      </c>
      <c r="I2504" t="s">
        <v>25</v>
      </c>
      <c r="J2504" s="4">
        <v>0.16346436058700201</v>
      </c>
      <c r="K2504" t="s">
        <v>42</v>
      </c>
      <c r="L2504" t="s">
        <v>60</v>
      </c>
      <c r="M2504">
        <v>7</v>
      </c>
      <c r="N2504" t="s">
        <v>64</v>
      </c>
    </row>
    <row r="2505" spans="1:14" x14ac:dyDescent="0.3">
      <c r="A2505" s="1">
        <v>44658</v>
      </c>
      <c r="B2505" t="s">
        <v>35</v>
      </c>
      <c r="C2505" t="s">
        <v>33</v>
      </c>
      <c r="D2505" t="s">
        <v>12</v>
      </c>
      <c r="E2505">
        <v>3</v>
      </c>
      <c r="F2505">
        <v>2067</v>
      </c>
      <c r="G2505">
        <v>465.39</v>
      </c>
      <c r="H2505">
        <v>2022</v>
      </c>
      <c r="I2505" t="s">
        <v>23</v>
      </c>
      <c r="J2505" s="4">
        <v>0.22515239477503601</v>
      </c>
      <c r="K2505" t="s">
        <v>42</v>
      </c>
      <c r="L2505" t="s">
        <v>59</v>
      </c>
      <c r="M2505">
        <v>4</v>
      </c>
      <c r="N2505" t="s">
        <v>62</v>
      </c>
    </row>
    <row r="2506" spans="1:14" x14ac:dyDescent="0.3">
      <c r="A2506" s="1">
        <v>44595</v>
      </c>
      <c r="B2506" t="s">
        <v>35</v>
      </c>
      <c r="C2506" t="s">
        <v>33</v>
      </c>
      <c r="D2506" t="s">
        <v>12</v>
      </c>
      <c r="E2506">
        <v>2</v>
      </c>
      <c r="F2506">
        <v>2116</v>
      </c>
      <c r="G2506">
        <v>159.30000000000001</v>
      </c>
      <c r="H2506">
        <v>2022</v>
      </c>
      <c r="I2506" t="s">
        <v>16</v>
      </c>
      <c r="J2506" s="4">
        <v>7.5283553875236303E-2</v>
      </c>
      <c r="K2506" t="s">
        <v>42</v>
      </c>
      <c r="L2506" t="s">
        <v>55</v>
      </c>
      <c r="M2506">
        <v>2</v>
      </c>
      <c r="N2506" t="s">
        <v>57</v>
      </c>
    </row>
    <row r="2507" spans="1:14" x14ac:dyDescent="0.3">
      <c r="A2507" s="1">
        <v>44853</v>
      </c>
      <c r="B2507" t="s">
        <v>35</v>
      </c>
      <c r="C2507" t="s">
        <v>33</v>
      </c>
      <c r="D2507" t="s">
        <v>19</v>
      </c>
      <c r="E2507">
        <v>1</v>
      </c>
      <c r="F2507">
        <v>750</v>
      </c>
      <c r="G2507">
        <v>37.97</v>
      </c>
      <c r="H2507">
        <v>2022</v>
      </c>
      <c r="I2507" t="s">
        <v>14</v>
      </c>
      <c r="J2507" s="4">
        <v>5.0626666666666702E-2</v>
      </c>
      <c r="K2507" t="s">
        <v>42</v>
      </c>
      <c r="L2507" t="s">
        <v>52</v>
      </c>
      <c r="M2507">
        <v>10</v>
      </c>
      <c r="N2507" t="s">
        <v>54</v>
      </c>
    </row>
    <row r="2508" spans="1:14" x14ac:dyDescent="0.3">
      <c r="A2508" s="1">
        <v>44681</v>
      </c>
      <c r="B2508" t="s">
        <v>35</v>
      </c>
      <c r="C2508" t="s">
        <v>33</v>
      </c>
      <c r="D2508" t="s">
        <v>17</v>
      </c>
      <c r="E2508">
        <v>5</v>
      </c>
      <c r="F2508">
        <v>3835</v>
      </c>
      <c r="G2508">
        <v>229.11</v>
      </c>
      <c r="H2508">
        <v>2022</v>
      </c>
      <c r="I2508" t="s">
        <v>23</v>
      </c>
      <c r="J2508" s="4">
        <v>5.9741851368969999E-2</v>
      </c>
      <c r="K2508" t="s">
        <v>42</v>
      </c>
      <c r="L2508" t="s">
        <v>59</v>
      </c>
      <c r="M2508">
        <v>4</v>
      </c>
      <c r="N2508" t="s">
        <v>62</v>
      </c>
    </row>
    <row r="2509" spans="1:14" x14ac:dyDescent="0.3">
      <c r="A2509" s="1">
        <v>44668</v>
      </c>
      <c r="B2509" t="s">
        <v>35</v>
      </c>
      <c r="C2509" t="s">
        <v>33</v>
      </c>
      <c r="D2509" t="s">
        <v>17</v>
      </c>
      <c r="E2509">
        <v>6</v>
      </c>
      <c r="F2509">
        <v>6192</v>
      </c>
      <c r="G2509">
        <v>316.23</v>
      </c>
      <c r="H2509">
        <v>2022</v>
      </c>
      <c r="I2509" t="s">
        <v>23</v>
      </c>
      <c r="J2509" s="4">
        <v>5.1070736434108498E-2</v>
      </c>
      <c r="K2509" t="s">
        <v>42</v>
      </c>
      <c r="L2509" t="s">
        <v>59</v>
      </c>
      <c r="M2509">
        <v>4</v>
      </c>
      <c r="N2509" t="s">
        <v>62</v>
      </c>
    </row>
    <row r="2510" spans="1:14" x14ac:dyDescent="0.3">
      <c r="A2510" s="1">
        <v>44868</v>
      </c>
      <c r="B2510" t="s">
        <v>35</v>
      </c>
      <c r="C2510" t="s">
        <v>33</v>
      </c>
      <c r="D2510" t="s">
        <v>12</v>
      </c>
      <c r="E2510">
        <v>9</v>
      </c>
      <c r="F2510">
        <v>2817</v>
      </c>
      <c r="G2510">
        <v>432.67</v>
      </c>
      <c r="H2510">
        <v>2022</v>
      </c>
      <c r="I2510" t="s">
        <v>18</v>
      </c>
      <c r="J2510" s="4">
        <v>0.153592474263401</v>
      </c>
      <c r="K2510" t="s">
        <v>42</v>
      </c>
      <c r="L2510" t="s">
        <v>52</v>
      </c>
      <c r="M2510">
        <v>11</v>
      </c>
      <c r="N2510" t="s">
        <v>58</v>
      </c>
    </row>
    <row r="2511" spans="1:14" x14ac:dyDescent="0.3">
      <c r="A2511" s="1">
        <v>44697</v>
      </c>
      <c r="B2511" t="s">
        <v>35</v>
      </c>
      <c r="C2511" t="s">
        <v>33</v>
      </c>
      <c r="D2511" t="s">
        <v>12</v>
      </c>
      <c r="E2511">
        <v>5</v>
      </c>
      <c r="F2511">
        <v>5755</v>
      </c>
      <c r="G2511">
        <v>1441.84</v>
      </c>
      <c r="H2511">
        <v>2022</v>
      </c>
      <c r="I2511" t="s">
        <v>20</v>
      </c>
      <c r="J2511" s="4">
        <v>0.25053692441355302</v>
      </c>
      <c r="K2511" t="s">
        <v>42</v>
      </c>
      <c r="L2511" t="s">
        <v>59</v>
      </c>
      <c r="M2511">
        <v>5</v>
      </c>
      <c r="N2511" t="s">
        <v>20</v>
      </c>
    </row>
    <row r="2512" spans="1:14" x14ac:dyDescent="0.3">
      <c r="A2512" s="1">
        <v>44659</v>
      </c>
      <c r="B2512" t="s">
        <v>35</v>
      </c>
      <c r="C2512" t="s">
        <v>33</v>
      </c>
      <c r="D2512" t="s">
        <v>19</v>
      </c>
      <c r="E2512">
        <v>4</v>
      </c>
      <c r="F2512">
        <v>3528</v>
      </c>
      <c r="G2512">
        <v>411.5</v>
      </c>
      <c r="H2512">
        <v>2022</v>
      </c>
      <c r="I2512" t="s">
        <v>23</v>
      </c>
      <c r="J2512" s="4">
        <v>0.11663832199546501</v>
      </c>
      <c r="K2512" t="s">
        <v>42</v>
      </c>
      <c r="L2512" t="s">
        <v>59</v>
      </c>
      <c r="M2512">
        <v>4</v>
      </c>
      <c r="N2512" t="s">
        <v>62</v>
      </c>
    </row>
    <row r="2513" spans="1:14" x14ac:dyDescent="0.3">
      <c r="A2513" s="1">
        <v>44735</v>
      </c>
      <c r="B2513" t="s">
        <v>35</v>
      </c>
      <c r="C2513" t="s">
        <v>33</v>
      </c>
      <c r="D2513" t="s">
        <v>19</v>
      </c>
      <c r="E2513">
        <v>9</v>
      </c>
      <c r="F2513">
        <v>6507</v>
      </c>
      <c r="G2513">
        <v>1045.1400000000001</v>
      </c>
      <c r="H2513">
        <v>2022</v>
      </c>
      <c r="I2513" t="s">
        <v>27</v>
      </c>
      <c r="J2513" s="4">
        <v>0.16061779621945599</v>
      </c>
      <c r="K2513" t="s">
        <v>42</v>
      </c>
      <c r="L2513" t="s">
        <v>59</v>
      </c>
      <c r="M2513">
        <v>6</v>
      </c>
      <c r="N2513" t="s">
        <v>66</v>
      </c>
    </row>
    <row r="2514" spans="1:14" x14ac:dyDescent="0.3">
      <c r="A2514" s="1">
        <v>44745</v>
      </c>
      <c r="B2514" t="s">
        <v>35</v>
      </c>
      <c r="C2514" t="s">
        <v>33</v>
      </c>
      <c r="D2514" t="s">
        <v>19</v>
      </c>
      <c r="E2514">
        <v>9</v>
      </c>
      <c r="F2514">
        <v>8640</v>
      </c>
      <c r="G2514">
        <v>1963.34</v>
      </c>
      <c r="H2514">
        <v>2022</v>
      </c>
      <c r="I2514" t="s">
        <v>25</v>
      </c>
      <c r="J2514" s="4">
        <v>0.227238425925926</v>
      </c>
      <c r="K2514" t="s">
        <v>42</v>
      </c>
      <c r="L2514" t="s">
        <v>60</v>
      </c>
      <c r="M2514">
        <v>7</v>
      </c>
      <c r="N2514" t="s">
        <v>64</v>
      </c>
    </row>
    <row r="2515" spans="1:14" x14ac:dyDescent="0.3">
      <c r="A2515" s="1">
        <v>44806</v>
      </c>
      <c r="B2515" t="s">
        <v>35</v>
      </c>
      <c r="C2515" t="s">
        <v>33</v>
      </c>
      <c r="D2515" t="s">
        <v>12</v>
      </c>
      <c r="E2515">
        <v>2</v>
      </c>
      <c r="F2515">
        <v>1816</v>
      </c>
      <c r="G2515">
        <v>129.24</v>
      </c>
      <c r="H2515">
        <v>2022</v>
      </c>
      <c r="I2515" t="s">
        <v>21</v>
      </c>
      <c r="J2515" s="4">
        <v>7.1167400881057302E-2</v>
      </c>
      <c r="K2515" t="s">
        <v>42</v>
      </c>
      <c r="L2515" t="s">
        <v>60</v>
      </c>
      <c r="M2515">
        <v>9</v>
      </c>
      <c r="N2515" t="s">
        <v>61</v>
      </c>
    </row>
    <row r="2516" spans="1:14" x14ac:dyDescent="0.3">
      <c r="A2516" s="1">
        <v>44909</v>
      </c>
      <c r="B2516" t="s">
        <v>35</v>
      </c>
      <c r="C2516" t="s">
        <v>33</v>
      </c>
      <c r="D2516" t="s">
        <v>17</v>
      </c>
      <c r="E2516">
        <v>9</v>
      </c>
      <c r="F2516">
        <v>4221</v>
      </c>
      <c r="G2516">
        <v>1238.5999999999999</v>
      </c>
      <c r="H2516">
        <v>2022</v>
      </c>
      <c r="I2516" t="s">
        <v>13</v>
      </c>
      <c r="J2516" s="4">
        <v>0.29343757403458898</v>
      </c>
      <c r="K2516" t="s">
        <v>42</v>
      </c>
      <c r="L2516" t="s">
        <v>52</v>
      </c>
      <c r="M2516">
        <v>12</v>
      </c>
      <c r="N2516" t="s">
        <v>53</v>
      </c>
    </row>
    <row r="2517" spans="1:14" x14ac:dyDescent="0.3">
      <c r="A2517" s="1">
        <v>44832</v>
      </c>
      <c r="B2517" t="s">
        <v>35</v>
      </c>
      <c r="C2517" t="s">
        <v>33</v>
      </c>
      <c r="D2517" t="s">
        <v>17</v>
      </c>
      <c r="E2517">
        <v>7</v>
      </c>
      <c r="F2517">
        <v>3752</v>
      </c>
      <c r="G2517">
        <v>835.34</v>
      </c>
      <c r="H2517">
        <v>2022</v>
      </c>
      <c r="I2517" t="s">
        <v>21</v>
      </c>
      <c r="J2517" s="4">
        <v>0.22263859275053299</v>
      </c>
      <c r="K2517" t="s">
        <v>42</v>
      </c>
      <c r="L2517" t="s">
        <v>60</v>
      </c>
      <c r="M2517">
        <v>9</v>
      </c>
      <c r="N2517" t="s">
        <v>61</v>
      </c>
    </row>
    <row r="2518" spans="1:14" x14ac:dyDescent="0.3">
      <c r="A2518" s="1">
        <v>44883</v>
      </c>
      <c r="B2518" t="s">
        <v>35</v>
      </c>
      <c r="C2518" t="s">
        <v>33</v>
      </c>
      <c r="D2518" t="s">
        <v>19</v>
      </c>
      <c r="E2518">
        <v>8</v>
      </c>
      <c r="F2518">
        <v>5784</v>
      </c>
      <c r="G2518">
        <v>1276.57</v>
      </c>
      <c r="H2518">
        <v>2022</v>
      </c>
      <c r="I2518" t="s">
        <v>18</v>
      </c>
      <c r="J2518" s="4">
        <v>0.22070712309820201</v>
      </c>
      <c r="K2518" t="s">
        <v>42</v>
      </c>
      <c r="L2518" t="s">
        <v>52</v>
      </c>
      <c r="M2518">
        <v>11</v>
      </c>
      <c r="N2518" t="s">
        <v>58</v>
      </c>
    </row>
    <row r="2519" spans="1:14" x14ac:dyDescent="0.3">
      <c r="A2519" s="1">
        <v>44651</v>
      </c>
      <c r="B2519" t="s">
        <v>35</v>
      </c>
      <c r="C2519" t="s">
        <v>33</v>
      </c>
      <c r="D2519" t="s">
        <v>22</v>
      </c>
      <c r="E2519">
        <v>1</v>
      </c>
      <c r="F2519">
        <v>657</v>
      </c>
      <c r="G2519">
        <v>101.85</v>
      </c>
      <c r="H2519">
        <v>2022</v>
      </c>
      <c r="I2519" t="s">
        <v>15</v>
      </c>
      <c r="J2519" s="4">
        <v>0.15502283105022799</v>
      </c>
      <c r="K2519" t="s">
        <v>42</v>
      </c>
      <c r="L2519" t="s">
        <v>55</v>
      </c>
      <c r="M2519">
        <v>3</v>
      </c>
      <c r="N2519" t="s">
        <v>56</v>
      </c>
    </row>
    <row r="2520" spans="1:14" x14ac:dyDescent="0.3">
      <c r="A2520" s="1">
        <v>44635</v>
      </c>
      <c r="B2520" t="s">
        <v>35</v>
      </c>
      <c r="C2520" t="s">
        <v>33</v>
      </c>
      <c r="D2520" t="s">
        <v>12</v>
      </c>
      <c r="E2520">
        <v>3</v>
      </c>
      <c r="F2520">
        <v>1983</v>
      </c>
      <c r="G2520">
        <v>453.09</v>
      </c>
      <c r="H2520">
        <v>2022</v>
      </c>
      <c r="I2520" t="s">
        <v>15</v>
      </c>
      <c r="J2520" s="4">
        <v>0.228487140695915</v>
      </c>
      <c r="K2520" t="s">
        <v>42</v>
      </c>
      <c r="L2520" t="s">
        <v>55</v>
      </c>
      <c r="M2520">
        <v>3</v>
      </c>
      <c r="N2520" t="s">
        <v>56</v>
      </c>
    </row>
    <row r="2521" spans="1:14" x14ac:dyDescent="0.3">
      <c r="A2521" s="1">
        <v>44819</v>
      </c>
      <c r="B2521" t="s">
        <v>35</v>
      </c>
      <c r="C2521" t="s">
        <v>33</v>
      </c>
      <c r="D2521" t="s">
        <v>22</v>
      </c>
      <c r="E2521">
        <v>7</v>
      </c>
      <c r="F2521">
        <v>798</v>
      </c>
      <c r="G2521">
        <v>219.2</v>
      </c>
      <c r="H2521">
        <v>2022</v>
      </c>
      <c r="I2521" t="s">
        <v>21</v>
      </c>
      <c r="J2521" s="4">
        <v>0.27468671679197998</v>
      </c>
      <c r="K2521" t="s">
        <v>42</v>
      </c>
      <c r="L2521" t="s">
        <v>60</v>
      </c>
      <c r="M2521">
        <v>9</v>
      </c>
      <c r="N2521" t="s">
        <v>61</v>
      </c>
    </row>
    <row r="2522" spans="1:14" x14ac:dyDescent="0.3">
      <c r="A2522" s="1">
        <v>44688</v>
      </c>
      <c r="B2522" t="s">
        <v>35</v>
      </c>
      <c r="C2522" t="s">
        <v>33</v>
      </c>
      <c r="D2522" t="s">
        <v>12</v>
      </c>
      <c r="E2522">
        <v>6</v>
      </c>
      <c r="F2522">
        <v>3150</v>
      </c>
      <c r="G2522">
        <v>498.63</v>
      </c>
      <c r="H2522">
        <v>2022</v>
      </c>
      <c r="I2522" t="s">
        <v>20</v>
      </c>
      <c r="J2522" s="4">
        <v>0.15829523809523799</v>
      </c>
      <c r="K2522" t="s">
        <v>42</v>
      </c>
      <c r="L2522" t="s">
        <v>59</v>
      </c>
      <c r="M2522">
        <v>5</v>
      </c>
      <c r="N2522" t="s">
        <v>20</v>
      </c>
    </row>
    <row r="2523" spans="1:14" x14ac:dyDescent="0.3">
      <c r="A2523" s="1">
        <v>44833</v>
      </c>
      <c r="B2523" t="s">
        <v>35</v>
      </c>
      <c r="C2523" t="s">
        <v>33</v>
      </c>
      <c r="D2523" t="s">
        <v>19</v>
      </c>
      <c r="E2523">
        <v>7</v>
      </c>
      <c r="F2523">
        <v>2436</v>
      </c>
      <c r="G2523">
        <v>715.14</v>
      </c>
      <c r="H2523">
        <v>2022</v>
      </c>
      <c r="I2523" t="s">
        <v>21</v>
      </c>
      <c r="J2523" s="4">
        <v>0.29357142857142898</v>
      </c>
      <c r="K2523" t="s">
        <v>42</v>
      </c>
      <c r="L2523" t="s">
        <v>60</v>
      </c>
      <c r="M2523">
        <v>9</v>
      </c>
      <c r="N2523" t="s">
        <v>61</v>
      </c>
    </row>
    <row r="2524" spans="1:14" x14ac:dyDescent="0.3">
      <c r="A2524" s="1">
        <v>44912</v>
      </c>
      <c r="B2524" t="s">
        <v>35</v>
      </c>
      <c r="C2524" t="s">
        <v>33</v>
      </c>
      <c r="D2524" t="s">
        <v>22</v>
      </c>
      <c r="E2524">
        <v>4</v>
      </c>
      <c r="F2524">
        <v>2108</v>
      </c>
      <c r="G2524">
        <v>375.62</v>
      </c>
      <c r="H2524">
        <v>2022</v>
      </c>
      <c r="I2524" t="s">
        <v>13</v>
      </c>
      <c r="J2524" s="4">
        <v>0.17818785578747601</v>
      </c>
      <c r="K2524" t="s">
        <v>42</v>
      </c>
      <c r="L2524" t="s">
        <v>52</v>
      </c>
      <c r="M2524">
        <v>12</v>
      </c>
      <c r="N2524" t="s">
        <v>53</v>
      </c>
    </row>
    <row r="2525" spans="1:14" x14ac:dyDescent="0.3">
      <c r="A2525" s="1">
        <v>44871</v>
      </c>
      <c r="B2525" t="s">
        <v>35</v>
      </c>
      <c r="C2525" t="s">
        <v>33</v>
      </c>
      <c r="D2525" t="s">
        <v>17</v>
      </c>
      <c r="E2525">
        <v>7</v>
      </c>
      <c r="F2525">
        <v>1274</v>
      </c>
      <c r="G2525">
        <v>317.92</v>
      </c>
      <c r="H2525">
        <v>2022</v>
      </c>
      <c r="I2525" t="s">
        <v>18</v>
      </c>
      <c r="J2525" s="4">
        <v>0.249544740973312</v>
      </c>
      <c r="K2525" t="s">
        <v>42</v>
      </c>
      <c r="L2525" t="s">
        <v>52</v>
      </c>
      <c r="M2525">
        <v>11</v>
      </c>
      <c r="N2525" t="s">
        <v>58</v>
      </c>
    </row>
    <row r="2526" spans="1:14" x14ac:dyDescent="0.3">
      <c r="A2526" s="1">
        <v>44773</v>
      </c>
      <c r="B2526" t="s">
        <v>35</v>
      </c>
      <c r="C2526" t="s">
        <v>33</v>
      </c>
      <c r="D2526" t="s">
        <v>17</v>
      </c>
      <c r="E2526">
        <v>1</v>
      </c>
      <c r="F2526">
        <v>358</v>
      </c>
      <c r="G2526">
        <v>77.84</v>
      </c>
      <c r="H2526">
        <v>2022</v>
      </c>
      <c r="I2526" t="s">
        <v>25</v>
      </c>
      <c r="J2526" s="4">
        <v>0.21743016759776501</v>
      </c>
      <c r="K2526" t="s">
        <v>42</v>
      </c>
      <c r="L2526" t="s">
        <v>60</v>
      </c>
      <c r="M2526">
        <v>7</v>
      </c>
      <c r="N2526" t="s">
        <v>64</v>
      </c>
    </row>
    <row r="2527" spans="1:14" x14ac:dyDescent="0.3">
      <c r="A2527" s="1">
        <v>44800</v>
      </c>
      <c r="B2527" t="s">
        <v>35</v>
      </c>
      <c r="C2527" t="s">
        <v>33</v>
      </c>
      <c r="D2527" t="s">
        <v>12</v>
      </c>
      <c r="E2527">
        <v>3</v>
      </c>
      <c r="F2527">
        <v>1875</v>
      </c>
      <c r="G2527">
        <v>152.07</v>
      </c>
      <c r="H2527">
        <v>2022</v>
      </c>
      <c r="I2527" t="s">
        <v>24</v>
      </c>
      <c r="J2527" s="4">
        <v>8.1103999999999996E-2</v>
      </c>
      <c r="K2527" t="s">
        <v>42</v>
      </c>
      <c r="L2527" t="s">
        <v>60</v>
      </c>
      <c r="M2527">
        <v>8</v>
      </c>
      <c r="N2527" t="s">
        <v>63</v>
      </c>
    </row>
    <row r="2528" spans="1:14" x14ac:dyDescent="0.3">
      <c r="A2528" s="1">
        <v>44757</v>
      </c>
      <c r="B2528" t="s">
        <v>35</v>
      </c>
      <c r="C2528" t="s">
        <v>33</v>
      </c>
      <c r="D2528" t="s">
        <v>22</v>
      </c>
      <c r="E2528">
        <v>5</v>
      </c>
      <c r="F2528">
        <v>940</v>
      </c>
      <c r="G2528">
        <v>56.7</v>
      </c>
      <c r="H2528">
        <v>2022</v>
      </c>
      <c r="I2528" t="s">
        <v>25</v>
      </c>
      <c r="J2528" s="4">
        <v>6.03191489361702E-2</v>
      </c>
      <c r="K2528" t="s">
        <v>42</v>
      </c>
      <c r="L2528" t="s">
        <v>60</v>
      </c>
      <c r="M2528">
        <v>7</v>
      </c>
      <c r="N2528" t="s">
        <v>64</v>
      </c>
    </row>
    <row r="2529" spans="1:14" x14ac:dyDescent="0.3">
      <c r="A2529" s="1">
        <v>44741</v>
      </c>
      <c r="B2529" t="s">
        <v>35</v>
      </c>
      <c r="C2529" t="s">
        <v>33</v>
      </c>
      <c r="D2529" t="s">
        <v>12</v>
      </c>
      <c r="E2529">
        <v>9</v>
      </c>
      <c r="F2529">
        <v>8163</v>
      </c>
      <c r="G2529">
        <v>2352.46</v>
      </c>
      <c r="H2529">
        <v>2022</v>
      </c>
      <c r="I2529" t="s">
        <v>27</v>
      </c>
      <c r="J2529" s="4">
        <v>0.28818571603577098</v>
      </c>
      <c r="K2529" t="s">
        <v>42</v>
      </c>
      <c r="L2529" t="s">
        <v>59</v>
      </c>
      <c r="M2529">
        <v>6</v>
      </c>
      <c r="N2529" t="s">
        <v>66</v>
      </c>
    </row>
    <row r="2530" spans="1:14" x14ac:dyDescent="0.3">
      <c r="A2530" s="1">
        <v>44723</v>
      </c>
      <c r="B2530" t="s">
        <v>35</v>
      </c>
      <c r="C2530" t="s">
        <v>33</v>
      </c>
      <c r="D2530" t="s">
        <v>19</v>
      </c>
      <c r="E2530">
        <v>7</v>
      </c>
      <c r="F2530">
        <v>3997</v>
      </c>
      <c r="G2530">
        <v>494.78</v>
      </c>
      <c r="H2530">
        <v>2022</v>
      </c>
      <c r="I2530" t="s">
        <v>27</v>
      </c>
      <c r="J2530" s="4">
        <v>0.12378784088066</v>
      </c>
      <c r="K2530" t="s">
        <v>42</v>
      </c>
      <c r="L2530" t="s">
        <v>59</v>
      </c>
      <c r="M2530">
        <v>6</v>
      </c>
      <c r="N2530" t="s">
        <v>66</v>
      </c>
    </row>
    <row r="2531" spans="1:14" x14ac:dyDescent="0.3">
      <c r="A2531" s="1">
        <v>44597</v>
      </c>
      <c r="B2531" t="s">
        <v>35</v>
      </c>
      <c r="C2531" t="s">
        <v>33</v>
      </c>
      <c r="D2531" t="s">
        <v>22</v>
      </c>
      <c r="E2531">
        <v>3</v>
      </c>
      <c r="F2531">
        <v>1950</v>
      </c>
      <c r="G2531">
        <v>211.16</v>
      </c>
      <c r="H2531">
        <v>2022</v>
      </c>
      <c r="I2531" t="s">
        <v>16</v>
      </c>
      <c r="J2531" s="4">
        <v>0.108287179487179</v>
      </c>
      <c r="K2531" t="s">
        <v>42</v>
      </c>
      <c r="L2531" t="s">
        <v>55</v>
      </c>
      <c r="M2531">
        <v>2</v>
      </c>
      <c r="N2531" t="s">
        <v>57</v>
      </c>
    </row>
    <row r="2532" spans="1:14" x14ac:dyDescent="0.3">
      <c r="A2532" s="1">
        <v>44628</v>
      </c>
      <c r="B2532" t="s">
        <v>35</v>
      </c>
      <c r="C2532" t="s">
        <v>33</v>
      </c>
      <c r="D2532" t="s">
        <v>22</v>
      </c>
      <c r="E2532">
        <v>4</v>
      </c>
      <c r="F2532">
        <v>2188</v>
      </c>
      <c r="G2532">
        <v>265.54000000000002</v>
      </c>
      <c r="H2532">
        <v>2022</v>
      </c>
      <c r="I2532" t="s">
        <v>15</v>
      </c>
      <c r="J2532" s="4">
        <v>0.12136197440585</v>
      </c>
      <c r="K2532" t="s">
        <v>42</v>
      </c>
      <c r="L2532" t="s">
        <v>55</v>
      </c>
      <c r="M2532">
        <v>3</v>
      </c>
      <c r="N2532" t="s">
        <v>56</v>
      </c>
    </row>
    <row r="2533" spans="1:14" x14ac:dyDescent="0.3">
      <c r="A2533" s="1">
        <v>44754</v>
      </c>
      <c r="B2533" t="s">
        <v>35</v>
      </c>
      <c r="C2533" t="s">
        <v>33</v>
      </c>
      <c r="D2533" t="s">
        <v>19</v>
      </c>
      <c r="E2533">
        <v>1</v>
      </c>
      <c r="F2533">
        <v>911</v>
      </c>
      <c r="G2533">
        <v>155.30000000000001</v>
      </c>
      <c r="H2533">
        <v>2022</v>
      </c>
      <c r="I2533" t="s">
        <v>25</v>
      </c>
      <c r="J2533" s="4">
        <v>0.17047200878155899</v>
      </c>
      <c r="K2533" t="s">
        <v>42</v>
      </c>
      <c r="L2533" t="s">
        <v>60</v>
      </c>
      <c r="M2533">
        <v>7</v>
      </c>
      <c r="N2533" t="s">
        <v>64</v>
      </c>
    </row>
    <row r="2534" spans="1:14" x14ac:dyDescent="0.3">
      <c r="A2534" s="1">
        <v>44907</v>
      </c>
      <c r="B2534" t="s">
        <v>35</v>
      </c>
      <c r="C2534" t="s">
        <v>33</v>
      </c>
      <c r="D2534" t="s">
        <v>17</v>
      </c>
      <c r="E2534">
        <v>6</v>
      </c>
      <c r="F2534">
        <v>5232</v>
      </c>
      <c r="G2534">
        <v>1270.6400000000001</v>
      </c>
      <c r="H2534">
        <v>2022</v>
      </c>
      <c r="I2534" t="s">
        <v>13</v>
      </c>
      <c r="J2534" s="4">
        <v>0.242859327217125</v>
      </c>
      <c r="K2534" t="s">
        <v>42</v>
      </c>
      <c r="L2534" t="s">
        <v>52</v>
      </c>
      <c r="M2534">
        <v>12</v>
      </c>
      <c r="N2534" t="s">
        <v>53</v>
      </c>
    </row>
    <row r="2535" spans="1:14" x14ac:dyDescent="0.3">
      <c r="A2535" s="1">
        <v>44579</v>
      </c>
      <c r="B2535" t="s">
        <v>35</v>
      </c>
      <c r="C2535" t="s">
        <v>33</v>
      </c>
      <c r="D2535" t="s">
        <v>22</v>
      </c>
      <c r="E2535">
        <v>1</v>
      </c>
      <c r="F2535">
        <v>466</v>
      </c>
      <c r="G2535">
        <v>102.48</v>
      </c>
      <c r="H2535">
        <v>2022</v>
      </c>
      <c r="I2535" t="s">
        <v>26</v>
      </c>
      <c r="J2535" s="4">
        <v>0.21991416309012901</v>
      </c>
      <c r="K2535" t="s">
        <v>42</v>
      </c>
      <c r="L2535" t="s">
        <v>55</v>
      </c>
      <c r="M2535">
        <v>1</v>
      </c>
      <c r="N2535" t="s">
        <v>65</v>
      </c>
    </row>
    <row r="2536" spans="1:14" x14ac:dyDescent="0.3">
      <c r="A2536" s="1">
        <v>44879</v>
      </c>
      <c r="B2536" t="s">
        <v>35</v>
      </c>
      <c r="C2536" t="s">
        <v>33</v>
      </c>
      <c r="D2536" t="s">
        <v>12</v>
      </c>
      <c r="E2536">
        <v>8</v>
      </c>
      <c r="F2536">
        <v>9296</v>
      </c>
      <c r="G2536">
        <v>1556.05</v>
      </c>
      <c r="H2536">
        <v>2022</v>
      </c>
      <c r="I2536" t="s">
        <v>18</v>
      </c>
      <c r="J2536" s="4">
        <v>0.16738919965576601</v>
      </c>
      <c r="K2536" t="s">
        <v>42</v>
      </c>
      <c r="L2536" t="s">
        <v>52</v>
      </c>
      <c r="M2536">
        <v>11</v>
      </c>
      <c r="N2536" t="s">
        <v>58</v>
      </c>
    </row>
    <row r="2537" spans="1:14" x14ac:dyDescent="0.3">
      <c r="A2537" s="1">
        <v>44807</v>
      </c>
      <c r="B2537" t="s">
        <v>35</v>
      </c>
      <c r="C2537" t="s">
        <v>33</v>
      </c>
      <c r="D2537" t="s">
        <v>22</v>
      </c>
      <c r="E2537">
        <v>5</v>
      </c>
      <c r="F2537">
        <v>1090</v>
      </c>
      <c r="G2537">
        <v>140.69999999999999</v>
      </c>
      <c r="H2537">
        <v>2022</v>
      </c>
      <c r="I2537" t="s">
        <v>21</v>
      </c>
      <c r="J2537" s="4">
        <v>0.12908256880733901</v>
      </c>
      <c r="K2537" t="s">
        <v>42</v>
      </c>
      <c r="L2537" t="s">
        <v>60</v>
      </c>
      <c r="M2537">
        <v>9</v>
      </c>
      <c r="N2537" t="s">
        <v>61</v>
      </c>
    </row>
    <row r="2538" spans="1:14" x14ac:dyDescent="0.3">
      <c r="A2538" s="1">
        <v>44833</v>
      </c>
      <c r="B2538" t="s">
        <v>35</v>
      </c>
      <c r="C2538" t="s">
        <v>33</v>
      </c>
      <c r="D2538" t="s">
        <v>19</v>
      </c>
      <c r="E2538">
        <v>5</v>
      </c>
      <c r="F2538">
        <v>1020</v>
      </c>
      <c r="G2538">
        <v>162.36000000000001</v>
      </c>
      <c r="H2538">
        <v>2022</v>
      </c>
      <c r="I2538" t="s">
        <v>21</v>
      </c>
      <c r="J2538" s="4">
        <v>0.159176470588235</v>
      </c>
      <c r="K2538" t="s">
        <v>42</v>
      </c>
      <c r="L2538" t="s">
        <v>60</v>
      </c>
      <c r="M2538">
        <v>9</v>
      </c>
      <c r="N2538" t="s">
        <v>61</v>
      </c>
    </row>
    <row r="2539" spans="1:14" x14ac:dyDescent="0.3">
      <c r="A2539" s="1">
        <v>44711</v>
      </c>
      <c r="B2539" t="s">
        <v>35</v>
      </c>
      <c r="C2539" t="s">
        <v>33</v>
      </c>
      <c r="D2539" t="s">
        <v>19</v>
      </c>
      <c r="E2539">
        <v>8</v>
      </c>
      <c r="F2539">
        <v>8240</v>
      </c>
      <c r="G2539">
        <v>2006.72</v>
      </c>
      <c r="H2539">
        <v>2022</v>
      </c>
      <c r="I2539" t="s">
        <v>20</v>
      </c>
      <c r="J2539" s="4">
        <v>0.24353398058252401</v>
      </c>
      <c r="K2539" t="s">
        <v>42</v>
      </c>
      <c r="L2539" t="s">
        <v>59</v>
      </c>
      <c r="M2539">
        <v>5</v>
      </c>
      <c r="N2539" t="s">
        <v>20</v>
      </c>
    </row>
    <row r="2540" spans="1:14" x14ac:dyDescent="0.3">
      <c r="A2540" s="1">
        <v>44595</v>
      </c>
      <c r="B2540" t="s">
        <v>35</v>
      </c>
      <c r="C2540" t="s">
        <v>33</v>
      </c>
      <c r="D2540" t="s">
        <v>19</v>
      </c>
      <c r="E2540">
        <v>3</v>
      </c>
      <c r="F2540">
        <v>1422</v>
      </c>
      <c r="G2540">
        <v>328.98</v>
      </c>
      <c r="H2540">
        <v>2022</v>
      </c>
      <c r="I2540" t="s">
        <v>16</v>
      </c>
      <c r="J2540" s="4">
        <v>0.23135021097046399</v>
      </c>
      <c r="K2540" t="s">
        <v>42</v>
      </c>
      <c r="L2540" t="s">
        <v>55</v>
      </c>
      <c r="M2540">
        <v>2</v>
      </c>
      <c r="N2540" t="s">
        <v>57</v>
      </c>
    </row>
    <row r="2541" spans="1:14" x14ac:dyDescent="0.3">
      <c r="A2541" s="1">
        <v>44853</v>
      </c>
      <c r="B2541" t="s">
        <v>35</v>
      </c>
      <c r="C2541" t="s">
        <v>33</v>
      </c>
      <c r="D2541" t="s">
        <v>22</v>
      </c>
      <c r="E2541">
        <v>8</v>
      </c>
      <c r="F2541">
        <v>7864</v>
      </c>
      <c r="G2541">
        <v>1615.58</v>
      </c>
      <c r="H2541">
        <v>2022</v>
      </c>
      <c r="I2541" t="s">
        <v>14</v>
      </c>
      <c r="J2541" s="4">
        <v>0.20543997965412</v>
      </c>
      <c r="K2541" t="s">
        <v>42</v>
      </c>
      <c r="L2541" t="s">
        <v>52</v>
      </c>
      <c r="M2541">
        <v>10</v>
      </c>
      <c r="N2541" t="s">
        <v>54</v>
      </c>
    </row>
    <row r="2542" spans="1:14" x14ac:dyDescent="0.3">
      <c r="A2542" s="1">
        <v>44743</v>
      </c>
      <c r="B2542" t="s">
        <v>35</v>
      </c>
      <c r="C2542" t="s">
        <v>33</v>
      </c>
      <c r="D2542" t="s">
        <v>22</v>
      </c>
      <c r="E2542">
        <v>3</v>
      </c>
      <c r="F2542">
        <v>2010</v>
      </c>
      <c r="G2542">
        <v>387.31</v>
      </c>
      <c r="H2542">
        <v>2022</v>
      </c>
      <c r="I2542" t="s">
        <v>25</v>
      </c>
      <c r="J2542" s="4">
        <v>0.19269154228855701</v>
      </c>
      <c r="K2542" t="s">
        <v>42</v>
      </c>
      <c r="L2542" t="s">
        <v>60</v>
      </c>
      <c r="M2542">
        <v>7</v>
      </c>
      <c r="N2542" t="s">
        <v>64</v>
      </c>
    </row>
    <row r="2543" spans="1:14" x14ac:dyDescent="0.3">
      <c r="A2543" s="1">
        <v>44638</v>
      </c>
      <c r="B2543" t="s">
        <v>35</v>
      </c>
      <c r="C2543" t="s">
        <v>33</v>
      </c>
      <c r="D2543" t="s">
        <v>17</v>
      </c>
      <c r="E2543">
        <v>9</v>
      </c>
      <c r="F2543">
        <v>8370</v>
      </c>
      <c r="G2543">
        <v>1525.8</v>
      </c>
      <c r="H2543">
        <v>2022</v>
      </c>
      <c r="I2543" t="s">
        <v>15</v>
      </c>
      <c r="J2543" s="4">
        <v>0.18229390681003599</v>
      </c>
      <c r="K2543" t="s">
        <v>42</v>
      </c>
      <c r="L2543" t="s">
        <v>55</v>
      </c>
      <c r="M2543">
        <v>3</v>
      </c>
      <c r="N2543" t="s">
        <v>56</v>
      </c>
    </row>
    <row r="2544" spans="1:14" x14ac:dyDescent="0.3">
      <c r="A2544" s="1">
        <v>44617</v>
      </c>
      <c r="B2544" t="s">
        <v>35</v>
      </c>
      <c r="C2544" t="s">
        <v>33</v>
      </c>
      <c r="D2544" t="s">
        <v>12</v>
      </c>
      <c r="E2544">
        <v>7</v>
      </c>
      <c r="F2544">
        <v>1351</v>
      </c>
      <c r="G2544">
        <v>310.02999999999997</v>
      </c>
      <c r="H2544">
        <v>2022</v>
      </c>
      <c r="I2544" t="s">
        <v>16</v>
      </c>
      <c r="J2544" s="4">
        <v>0.229481865284974</v>
      </c>
      <c r="K2544" t="s">
        <v>42</v>
      </c>
      <c r="L2544" t="s">
        <v>55</v>
      </c>
      <c r="M2544">
        <v>2</v>
      </c>
      <c r="N2544" t="s">
        <v>57</v>
      </c>
    </row>
    <row r="2545" spans="1:14" x14ac:dyDescent="0.3">
      <c r="A2545" s="1">
        <v>44701</v>
      </c>
      <c r="B2545" t="s">
        <v>35</v>
      </c>
      <c r="C2545" t="s">
        <v>33</v>
      </c>
      <c r="D2545" t="s">
        <v>19</v>
      </c>
      <c r="E2545">
        <v>2</v>
      </c>
      <c r="F2545">
        <v>1270</v>
      </c>
      <c r="G2545">
        <v>84.29</v>
      </c>
      <c r="H2545">
        <v>2022</v>
      </c>
      <c r="I2545" t="s">
        <v>20</v>
      </c>
      <c r="J2545" s="4">
        <v>6.6370078740157504E-2</v>
      </c>
      <c r="K2545" t="s">
        <v>42</v>
      </c>
      <c r="L2545" t="s">
        <v>59</v>
      </c>
      <c r="M2545">
        <v>5</v>
      </c>
      <c r="N2545" t="s">
        <v>20</v>
      </c>
    </row>
    <row r="2546" spans="1:14" x14ac:dyDescent="0.3">
      <c r="A2546" s="1">
        <v>44645</v>
      </c>
      <c r="B2546" t="s">
        <v>35</v>
      </c>
      <c r="C2546" t="s">
        <v>33</v>
      </c>
      <c r="D2546" t="s">
        <v>17</v>
      </c>
      <c r="E2546">
        <v>7</v>
      </c>
      <c r="F2546">
        <v>7679</v>
      </c>
      <c r="G2546">
        <v>2270.08</v>
      </c>
      <c r="H2546">
        <v>2022</v>
      </c>
      <c r="I2546" t="s">
        <v>15</v>
      </c>
      <c r="J2546" s="4">
        <v>0.295621825758562</v>
      </c>
      <c r="K2546" t="s">
        <v>42</v>
      </c>
      <c r="L2546" t="s">
        <v>55</v>
      </c>
      <c r="M2546">
        <v>3</v>
      </c>
      <c r="N2546" t="s">
        <v>56</v>
      </c>
    </row>
    <row r="2547" spans="1:14" x14ac:dyDescent="0.3">
      <c r="A2547" s="1">
        <v>45102</v>
      </c>
      <c r="B2547" t="s">
        <v>35</v>
      </c>
      <c r="C2547" t="s">
        <v>33</v>
      </c>
      <c r="D2547" t="s">
        <v>12</v>
      </c>
      <c r="E2547">
        <v>5</v>
      </c>
      <c r="F2547">
        <v>1400</v>
      </c>
      <c r="G2547">
        <v>213.63</v>
      </c>
      <c r="H2547">
        <v>2023</v>
      </c>
      <c r="I2547" t="s">
        <v>27</v>
      </c>
      <c r="J2547" s="4">
        <v>0.152592857142857</v>
      </c>
      <c r="K2547" t="s">
        <v>40</v>
      </c>
      <c r="L2547" t="s">
        <v>59</v>
      </c>
      <c r="M2547">
        <v>6</v>
      </c>
      <c r="N2547" t="s">
        <v>66</v>
      </c>
    </row>
    <row r="2548" spans="1:14" x14ac:dyDescent="0.3">
      <c r="A2548" s="1">
        <v>45006</v>
      </c>
      <c r="B2548" t="s">
        <v>35</v>
      </c>
      <c r="C2548" t="s">
        <v>33</v>
      </c>
      <c r="D2548" t="s">
        <v>12</v>
      </c>
      <c r="E2548">
        <v>4</v>
      </c>
      <c r="F2548">
        <v>4572</v>
      </c>
      <c r="G2548">
        <v>1038.05</v>
      </c>
      <c r="H2548">
        <v>2023</v>
      </c>
      <c r="I2548" t="s">
        <v>15</v>
      </c>
      <c r="J2548" s="4">
        <v>0.227045056867892</v>
      </c>
      <c r="K2548" t="s">
        <v>40</v>
      </c>
      <c r="L2548" t="s">
        <v>55</v>
      </c>
      <c r="M2548">
        <v>3</v>
      </c>
      <c r="N2548" t="s">
        <v>56</v>
      </c>
    </row>
    <row r="2549" spans="1:14" x14ac:dyDescent="0.3">
      <c r="A2549" s="1">
        <v>45228</v>
      </c>
      <c r="B2549" t="s">
        <v>35</v>
      </c>
      <c r="C2549" t="s">
        <v>33</v>
      </c>
      <c r="D2549" t="s">
        <v>17</v>
      </c>
      <c r="E2549">
        <v>8</v>
      </c>
      <c r="F2549">
        <v>2640</v>
      </c>
      <c r="G2549">
        <v>723.88</v>
      </c>
      <c r="H2549">
        <v>2023</v>
      </c>
      <c r="I2549" t="s">
        <v>14</v>
      </c>
      <c r="J2549" s="4">
        <v>0.27419696969696999</v>
      </c>
      <c r="K2549" t="s">
        <v>40</v>
      </c>
      <c r="L2549" t="s">
        <v>52</v>
      </c>
      <c r="M2549">
        <v>10</v>
      </c>
      <c r="N2549" t="s">
        <v>54</v>
      </c>
    </row>
    <row r="2550" spans="1:14" x14ac:dyDescent="0.3">
      <c r="A2550" s="1">
        <v>45065</v>
      </c>
      <c r="B2550" t="s">
        <v>35</v>
      </c>
      <c r="C2550" t="s">
        <v>33</v>
      </c>
      <c r="D2550" t="s">
        <v>22</v>
      </c>
      <c r="E2550">
        <v>6</v>
      </c>
      <c r="F2550">
        <v>1002</v>
      </c>
      <c r="G2550">
        <v>114.7</v>
      </c>
      <c r="H2550">
        <v>2023</v>
      </c>
      <c r="I2550" t="s">
        <v>20</v>
      </c>
      <c r="J2550" s="4">
        <v>0.11447105788423199</v>
      </c>
      <c r="K2550" t="s">
        <v>40</v>
      </c>
      <c r="L2550" t="s">
        <v>59</v>
      </c>
      <c r="M2550">
        <v>5</v>
      </c>
      <c r="N2550" t="s">
        <v>20</v>
      </c>
    </row>
    <row r="2551" spans="1:14" x14ac:dyDescent="0.3">
      <c r="A2551" s="1">
        <v>44957</v>
      </c>
      <c r="B2551" t="s">
        <v>35</v>
      </c>
      <c r="C2551" t="s">
        <v>33</v>
      </c>
      <c r="D2551" t="s">
        <v>12</v>
      </c>
      <c r="E2551">
        <v>2</v>
      </c>
      <c r="F2551">
        <v>1512</v>
      </c>
      <c r="G2551">
        <v>298.73</v>
      </c>
      <c r="H2551">
        <v>2023</v>
      </c>
      <c r="I2551" t="s">
        <v>26</v>
      </c>
      <c r="J2551" s="4">
        <v>0.19757275132275101</v>
      </c>
      <c r="K2551" t="s">
        <v>40</v>
      </c>
      <c r="L2551" t="s">
        <v>55</v>
      </c>
      <c r="M2551">
        <v>1</v>
      </c>
      <c r="N2551" t="s">
        <v>65</v>
      </c>
    </row>
    <row r="2552" spans="1:14" x14ac:dyDescent="0.3">
      <c r="A2552" s="1">
        <v>45176</v>
      </c>
      <c r="B2552" t="s">
        <v>35</v>
      </c>
      <c r="C2552" t="s">
        <v>33</v>
      </c>
      <c r="D2552" t="s">
        <v>17</v>
      </c>
      <c r="E2552">
        <v>7</v>
      </c>
      <c r="F2552">
        <v>7308</v>
      </c>
      <c r="G2552">
        <v>948.4</v>
      </c>
      <c r="H2552">
        <v>2023</v>
      </c>
      <c r="I2552" t="s">
        <v>21</v>
      </c>
      <c r="J2552" s="4">
        <v>0.12977558839627801</v>
      </c>
      <c r="K2552" t="s">
        <v>40</v>
      </c>
      <c r="L2552" t="s">
        <v>60</v>
      </c>
      <c r="M2552">
        <v>9</v>
      </c>
      <c r="N2552" t="s">
        <v>61</v>
      </c>
    </row>
    <row r="2553" spans="1:14" x14ac:dyDescent="0.3">
      <c r="A2553" s="1">
        <v>44981</v>
      </c>
      <c r="B2553" t="s">
        <v>35</v>
      </c>
      <c r="C2553" t="s">
        <v>33</v>
      </c>
      <c r="D2553" t="s">
        <v>22</v>
      </c>
      <c r="E2553">
        <v>8</v>
      </c>
      <c r="F2553">
        <v>7968</v>
      </c>
      <c r="G2553">
        <v>1551.12</v>
      </c>
      <c r="H2553">
        <v>2023</v>
      </c>
      <c r="I2553" t="s">
        <v>16</v>
      </c>
      <c r="J2553" s="4">
        <v>0.19466867469879501</v>
      </c>
      <c r="K2553" t="s">
        <v>40</v>
      </c>
      <c r="L2553" t="s">
        <v>55</v>
      </c>
      <c r="M2553">
        <v>2</v>
      </c>
      <c r="N2553" t="s">
        <v>57</v>
      </c>
    </row>
    <row r="2554" spans="1:14" x14ac:dyDescent="0.3">
      <c r="A2554" s="1">
        <v>45191</v>
      </c>
      <c r="B2554" t="s">
        <v>35</v>
      </c>
      <c r="C2554" t="s">
        <v>33</v>
      </c>
      <c r="D2554" t="s">
        <v>22</v>
      </c>
      <c r="E2554">
        <v>7</v>
      </c>
      <c r="F2554">
        <v>2352</v>
      </c>
      <c r="G2554">
        <v>256.39999999999998</v>
      </c>
      <c r="H2554">
        <v>2023</v>
      </c>
      <c r="I2554" t="s">
        <v>21</v>
      </c>
      <c r="J2554" s="4">
        <v>0.109013605442177</v>
      </c>
      <c r="K2554" t="s">
        <v>40</v>
      </c>
      <c r="L2554" t="s">
        <v>60</v>
      </c>
      <c r="M2554">
        <v>9</v>
      </c>
      <c r="N2554" t="s">
        <v>61</v>
      </c>
    </row>
    <row r="2555" spans="1:14" x14ac:dyDescent="0.3">
      <c r="A2555" s="1">
        <v>45072</v>
      </c>
      <c r="B2555" t="s">
        <v>35</v>
      </c>
      <c r="C2555" t="s">
        <v>33</v>
      </c>
      <c r="D2555" t="s">
        <v>17</v>
      </c>
      <c r="E2555">
        <v>2</v>
      </c>
      <c r="F2555">
        <v>766</v>
      </c>
      <c r="G2555">
        <v>49.23</v>
      </c>
      <c r="H2555">
        <v>2023</v>
      </c>
      <c r="I2555" t="s">
        <v>20</v>
      </c>
      <c r="J2555" s="4">
        <v>6.4268929503916397E-2</v>
      </c>
      <c r="K2555" t="s">
        <v>40</v>
      </c>
      <c r="L2555" t="s">
        <v>59</v>
      </c>
      <c r="M2555">
        <v>5</v>
      </c>
      <c r="N2555" t="s">
        <v>20</v>
      </c>
    </row>
    <row r="2556" spans="1:14" x14ac:dyDescent="0.3">
      <c r="A2556" s="1">
        <v>45046</v>
      </c>
      <c r="B2556" t="s">
        <v>35</v>
      </c>
      <c r="C2556" t="s">
        <v>33</v>
      </c>
      <c r="D2556" t="s">
        <v>17</v>
      </c>
      <c r="E2556">
        <v>1</v>
      </c>
      <c r="F2556">
        <v>168</v>
      </c>
      <c r="G2556">
        <v>17.84</v>
      </c>
      <c r="H2556">
        <v>2023</v>
      </c>
      <c r="I2556" t="s">
        <v>23</v>
      </c>
      <c r="J2556" s="4">
        <v>0.106190476190476</v>
      </c>
      <c r="K2556" t="s">
        <v>40</v>
      </c>
      <c r="L2556" t="s">
        <v>59</v>
      </c>
      <c r="M2556">
        <v>4</v>
      </c>
      <c r="N2556" t="s">
        <v>62</v>
      </c>
    </row>
    <row r="2557" spans="1:14" x14ac:dyDescent="0.3">
      <c r="A2557" s="1">
        <v>44988</v>
      </c>
      <c r="B2557" t="s">
        <v>35</v>
      </c>
      <c r="C2557" t="s">
        <v>33</v>
      </c>
      <c r="D2557" t="s">
        <v>17</v>
      </c>
      <c r="E2557">
        <v>7</v>
      </c>
      <c r="F2557">
        <v>3829</v>
      </c>
      <c r="G2557">
        <v>876.35</v>
      </c>
      <c r="H2557">
        <v>2023</v>
      </c>
      <c r="I2557" t="s">
        <v>15</v>
      </c>
      <c r="J2557" s="4">
        <v>0.22887176808566201</v>
      </c>
      <c r="K2557" t="s">
        <v>40</v>
      </c>
      <c r="L2557" t="s">
        <v>55</v>
      </c>
      <c r="M2557">
        <v>3</v>
      </c>
      <c r="N2557" t="s">
        <v>56</v>
      </c>
    </row>
    <row r="2558" spans="1:14" x14ac:dyDescent="0.3">
      <c r="A2558" s="1">
        <v>45031</v>
      </c>
      <c r="B2558" t="s">
        <v>35</v>
      </c>
      <c r="C2558" t="s">
        <v>33</v>
      </c>
      <c r="D2558" t="s">
        <v>19</v>
      </c>
      <c r="E2558">
        <v>3</v>
      </c>
      <c r="F2558">
        <v>1119</v>
      </c>
      <c r="G2558">
        <v>317.36</v>
      </c>
      <c r="H2558">
        <v>2023</v>
      </c>
      <c r="I2558" t="s">
        <v>23</v>
      </c>
      <c r="J2558" s="4">
        <v>0.28361036639857001</v>
      </c>
      <c r="K2558" t="s">
        <v>40</v>
      </c>
      <c r="L2558" t="s">
        <v>59</v>
      </c>
      <c r="M2558">
        <v>4</v>
      </c>
      <c r="N2558" t="s">
        <v>62</v>
      </c>
    </row>
    <row r="2559" spans="1:14" x14ac:dyDescent="0.3">
      <c r="A2559" s="1">
        <v>44951</v>
      </c>
      <c r="B2559" t="s">
        <v>35</v>
      </c>
      <c r="C2559" t="s">
        <v>33</v>
      </c>
      <c r="D2559" t="s">
        <v>12</v>
      </c>
      <c r="E2559">
        <v>4</v>
      </c>
      <c r="F2559">
        <v>4152</v>
      </c>
      <c r="G2559">
        <v>317.27999999999997</v>
      </c>
      <c r="H2559">
        <v>2023</v>
      </c>
      <c r="I2559" t="s">
        <v>26</v>
      </c>
      <c r="J2559" s="4">
        <v>7.64161849710982E-2</v>
      </c>
      <c r="K2559" t="s">
        <v>40</v>
      </c>
      <c r="L2559" t="s">
        <v>55</v>
      </c>
      <c r="M2559">
        <v>1</v>
      </c>
      <c r="N2559" t="s">
        <v>65</v>
      </c>
    </row>
    <row r="2560" spans="1:14" x14ac:dyDescent="0.3">
      <c r="A2560" s="1">
        <v>45107</v>
      </c>
      <c r="B2560" t="s">
        <v>35</v>
      </c>
      <c r="C2560" t="s">
        <v>33</v>
      </c>
      <c r="D2560" t="s">
        <v>12</v>
      </c>
      <c r="E2560">
        <v>7</v>
      </c>
      <c r="F2560">
        <v>4746</v>
      </c>
      <c r="G2560">
        <v>816.6</v>
      </c>
      <c r="H2560">
        <v>2023</v>
      </c>
      <c r="I2560" t="s">
        <v>27</v>
      </c>
      <c r="J2560" s="4">
        <v>0.17206068268015201</v>
      </c>
      <c r="K2560" t="s">
        <v>40</v>
      </c>
      <c r="L2560" t="s">
        <v>59</v>
      </c>
      <c r="M2560">
        <v>6</v>
      </c>
      <c r="N2560" t="s">
        <v>66</v>
      </c>
    </row>
    <row r="2561" spans="1:14" x14ac:dyDescent="0.3">
      <c r="A2561" s="1">
        <v>44927</v>
      </c>
      <c r="B2561" t="s">
        <v>35</v>
      </c>
      <c r="C2561" t="s">
        <v>33</v>
      </c>
      <c r="D2561" t="s">
        <v>12</v>
      </c>
      <c r="E2561">
        <v>5</v>
      </c>
      <c r="F2561">
        <v>1405</v>
      </c>
      <c r="G2561">
        <v>194.33</v>
      </c>
      <c r="H2561">
        <v>2023</v>
      </c>
      <c r="I2561" t="s">
        <v>26</v>
      </c>
      <c r="J2561" s="4">
        <v>0.13831316725978601</v>
      </c>
      <c r="K2561" t="s">
        <v>40</v>
      </c>
      <c r="L2561" t="s">
        <v>55</v>
      </c>
      <c r="M2561">
        <v>1</v>
      </c>
      <c r="N2561" t="s">
        <v>65</v>
      </c>
    </row>
    <row r="2562" spans="1:14" x14ac:dyDescent="0.3">
      <c r="A2562" s="1">
        <v>45003</v>
      </c>
      <c r="B2562" t="s">
        <v>35</v>
      </c>
      <c r="C2562" t="s">
        <v>33</v>
      </c>
      <c r="D2562" t="s">
        <v>17</v>
      </c>
      <c r="E2562">
        <v>3</v>
      </c>
      <c r="F2562">
        <v>1644</v>
      </c>
      <c r="G2562">
        <v>158.32</v>
      </c>
      <c r="H2562">
        <v>2023</v>
      </c>
      <c r="I2562" t="s">
        <v>15</v>
      </c>
      <c r="J2562" s="4">
        <v>9.6301703163017005E-2</v>
      </c>
      <c r="K2562" t="s">
        <v>40</v>
      </c>
      <c r="L2562" t="s">
        <v>55</v>
      </c>
      <c r="M2562">
        <v>3</v>
      </c>
      <c r="N2562" t="s">
        <v>56</v>
      </c>
    </row>
    <row r="2563" spans="1:14" x14ac:dyDescent="0.3">
      <c r="A2563" s="1">
        <v>45087</v>
      </c>
      <c r="B2563" t="s">
        <v>35</v>
      </c>
      <c r="C2563" t="s">
        <v>33</v>
      </c>
      <c r="D2563" t="s">
        <v>19</v>
      </c>
      <c r="E2563">
        <v>1</v>
      </c>
      <c r="F2563">
        <v>1192</v>
      </c>
      <c r="G2563">
        <v>320.13</v>
      </c>
      <c r="H2563">
        <v>2023</v>
      </c>
      <c r="I2563" t="s">
        <v>27</v>
      </c>
      <c r="J2563" s="4">
        <v>0.268565436241611</v>
      </c>
      <c r="K2563" t="s">
        <v>40</v>
      </c>
      <c r="L2563" t="s">
        <v>59</v>
      </c>
      <c r="M2563">
        <v>6</v>
      </c>
      <c r="N2563" t="s">
        <v>66</v>
      </c>
    </row>
    <row r="2564" spans="1:14" x14ac:dyDescent="0.3">
      <c r="A2564" s="1">
        <v>44937</v>
      </c>
      <c r="B2564" t="s">
        <v>35</v>
      </c>
      <c r="C2564" t="s">
        <v>33</v>
      </c>
      <c r="D2564" t="s">
        <v>12</v>
      </c>
      <c r="E2564">
        <v>4</v>
      </c>
      <c r="F2564">
        <v>3732</v>
      </c>
      <c r="G2564">
        <v>671.19</v>
      </c>
      <c r="H2564">
        <v>2023</v>
      </c>
      <c r="I2564" t="s">
        <v>26</v>
      </c>
      <c r="J2564" s="4">
        <v>0.17984726688102901</v>
      </c>
      <c r="K2564" t="s">
        <v>40</v>
      </c>
      <c r="L2564" t="s">
        <v>55</v>
      </c>
      <c r="M2564">
        <v>1</v>
      </c>
      <c r="N2564" t="s">
        <v>65</v>
      </c>
    </row>
    <row r="2565" spans="1:14" x14ac:dyDescent="0.3">
      <c r="A2565" s="1">
        <v>45201</v>
      </c>
      <c r="B2565" t="s">
        <v>35</v>
      </c>
      <c r="C2565" t="s">
        <v>33</v>
      </c>
      <c r="D2565" t="s">
        <v>19</v>
      </c>
      <c r="E2565">
        <v>1</v>
      </c>
      <c r="F2565">
        <v>1017</v>
      </c>
      <c r="G2565">
        <v>69.33</v>
      </c>
      <c r="H2565">
        <v>2023</v>
      </c>
      <c r="I2565" t="s">
        <v>14</v>
      </c>
      <c r="J2565" s="4">
        <v>6.8171091445427698E-2</v>
      </c>
      <c r="K2565" t="s">
        <v>40</v>
      </c>
      <c r="L2565" t="s">
        <v>52</v>
      </c>
      <c r="M2565">
        <v>10</v>
      </c>
      <c r="N2565" t="s">
        <v>54</v>
      </c>
    </row>
    <row r="2566" spans="1:14" x14ac:dyDescent="0.3">
      <c r="A2566" s="1">
        <v>44973</v>
      </c>
      <c r="B2566" t="s">
        <v>35</v>
      </c>
      <c r="C2566" t="s">
        <v>33</v>
      </c>
      <c r="D2566" t="s">
        <v>12</v>
      </c>
      <c r="E2566">
        <v>2</v>
      </c>
      <c r="F2566">
        <v>1068</v>
      </c>
      <c r="G2566">
        <v>85.71</v>
      </c>
      <c r="H2566">
        <v>2023</v>
      </c>
      <c r="I2566" t="s">
        <v>16</v>
      </c>
      <c r="J2566" s="4">
        <v>8.0252808988763996E-2</v>
      </c>
      <c r="K2566" t="s">
        <v>40</v>
      </c>
      <c r="L2566" t="s">
        <v>55</v>
      </c>
      <c r="M2566">
        <v>2</v>
      </c>
      <c r="N2566" t="s">
        <v>57</v>
      </c>
    </row>
    <row r="2567" spans="1:14" x14ac:dyDescent="0.3">
      <c r="A2567" s="1">
        <v>45216</v>
      </c>
      <c r="B2567" t="s">
        <v>35</v>
      </c>
      <c r="C2567" t="s">
        <v>33</v>
      </c>
      <c r="D2567" t="s">
        <v>17</v>
      </c>
      <c r="E2567">
        <v>1</v>
      </c>
      <c r="F2567">
        <v>381</v>
      </c>
      <c r="G2567">
        <v>26.69</v>
      </c>
      <c r="H2567">
        <v>2023</v>
      </c>
      <c r="I2567" t="s">
        <v>14</v>
      </c>
      <c r="J2567" s="4">
        <v>7.0052493438320207E-2</v>
      </c>
      <c r="K2567" t="s">
        <v>40</v>
      </c>
      <c r="L2567" t="s">
        <v>52</v>
      </c>
      <c r="M2567">
        <v>10</v>
      </c>
      <c r="N2567" t="s">
        <v>54</v>
      </c>
    </row>
    <row r="2568" spans="1:14" x14ac:dyDescent="0.3">
      <c r="A2568" s="1">
        <v>44968</v>
      </c>
      <c r="B2568" t="s">
        <v>35</v>
      </c>
      <c r="C2568" t="s">
        <v>33</v>
      </c>
      <c r="D2568" t="s">
        <v>19</v>
      </c>
      <c r="E2568">
        <v>6</v>
      </c>
      <c r="F2568">
        <v>6432</v>
      </c>
      <c r="G2568">
        <v>807.94</v>
      </c>
      <c r="H2568">
        <v>2023</v>
      </c>
      <c r="I2568" t="s">
        <v>16</v>
      </c>
      <c r="J2568" s="4">
        <v>0.125612562189055</v>
      </c>
      <c r="K2568" t="s">
        <v>40</v>
      </c>
      <c r="L2568" t="s">
        <v>55</v>
      </c>
      <c r="M2568">
        <v>2</v>
      </c>
      <c r="N2568" t="s">
        <v>57</v>
      </c>
    </row>
    <row r="2569" spans="1:14" x14ac:dyDescent="0.3">
      <c r="A2569" s="1">
        <v>45072</v>
      </c>
      <c r="B2569" t="s">
        <v>35</v>
      </c>
      <c r="C2569" t="s">
        <v>33</v>
      </c>
      <c r="D2569" t="s">
        <v>17</v>
      </c>
      <c r="E2569">
        <v>7</v>
      </c>
      <c r="F2569">
        <v>2898</v>
      </c>
      <c r="G2569">
        <v>490.11</v>
      </c>
      <c r="H2569">
        <v>2023</v>
      </c>
      <c r="I2569" t="s">
        <v>20</v>
      </c>
      <c r="J2569" s="4">
        <v>0.16912008281573501</v>
      </c>
      <c r="K2569" t="s">
        <v>40</v>
      </c>
      <c r="L2569" t="s">
        <v>59</v>
      </c>
      <c r="M2569">
        <v>5</v>
      </c>
      <c r="N2569" t="s">
        <v>20</v>
      </c>
    </row>
    <row r="2570" spans="1:14" x14ac:dyDescent="0.3">
      <c r="A2570" s="1">
        <v>45114</v>
      </c>
      <c r="B2570" t="s">
        <v>35</v>
      </c>
      <c r="C2570" t="s">
        <v>33</v>
      </c>
      <c r="D2570" t="s">
        <v>12</v>
      </c>
      <c r="E2570">
        <v>2</v>
      </c>
      <c r="F2570">
        <v>1354</v>
      </c>
      <c r="G2570">
        <v>136.91</v>
      </c>
      <c r="H2570">
        <v>2023</v>
      </c>
      <c r="I2570" t="s">
        <v>25</v>
      </c>
      <c r="J2570" s="4">
        <v>0.101115214180207</v>
      </c>
      <c r="K2570" t="s">
        <v>40</v>
      </c>
      <c r="L2570" t="s">
        <v>60</v>
      </c>
      <c r="M2570">
        <v>7</v>
      </c>
      <c r="N2570" t="s">
        <v>64</v>
      </c>
    </row>
    <row r="2571" spans="1:14" x14ac:dyDescent="0.3">
      <c r="A2571" s="1">
        <v>45049</v>
      </c>
      <c r="B2571" t="s">
        <v>35</v>
      </c>
      <c r="C2571" t="s">
        <v>33</v>
      </c>
      <c r="D2571" t="s">
        <v>22</v>
      </c>
      <c r="E2571">
        <v>2</v>
      </c>
      <c r="F2571">
        <v>836</v>
      </c>
      <c r="G2571">
        <v>47.07</v>
      </c>
      <c r="H2571">
        <v>2023</v>
      </c>
      <c r="I2571" t="s">
        <v>20</v>
      </c>
      <c r="J2571" s="4">
        <v>5.6303827751196203E-2</v>
      </c>
      <c r="K2571" t="s">
        <v>40</v>
      </c>
      <c r="L2571" t="s">
        <v>59</v>
      </c>
      <c r="M2571">
        <v>5</v>
      </c>
      <c r="N2571" t="s">
        <v>20</v>
      </c>
    </row>
    <row r="2572" spans="1:14" x14ac:dyDescent="0.3">
      <c r="A2572" s="1">
        <v>45158</v>
      </c>
      <c r="B2572" t="s">
        <v>35</v>
      </c>
      <c r="C2572" t="s">
        <v>33</v>
      </c>
      <c r="D2572" t="s">
        <v>22</v>
      </c>
      <c r="E2572">
        <v>7</v>
      </c>
      <c r="F2572">
        <v>7826</v>
      </c>
      <c r="G2572">
        <v>714.68</v>
      </c>
      <c r="H2572">
        <v>2023</v>
      </c>
      <c r="I2572" t="s">
        <v>24</v>
      </c>
      <c r="J2572" s="4">
        <v>9.1321236902632205E-2</v>
      </c>
      <c r="K2572" t="s">
        <v>40</v>
      </c>
      <c r="L2572" t="s">
        <v>60</v>
      </c>
      <c r="M2572">
        <v>8</v>
      </c>
      <c r="N2572" t="s">
        <v>63</v>
      </c>
    </row>
    <row r="2573" spans="1:14" x14ac:dyDescent="0.3">
      <c r="A2573" s="1">
        <v>45180</v>
      </c>
      <c r="B2573" t="s">
        <v>35</v>
      </c>
      <c r="C2573" t="s">
        <v>33</v>
      </c>
      <c r="D2573" t="s">
        <v>12</v>
      </c>
      <c r="E2573">
        <v>4</v>
      </c>
      <c r="F2573">
        <v>3568</v>
      </c>
      <c r="G2573">
        <v>764.2</v>
      </c>
      <c r="H2573">
        <v>2023</v>
      </c>
      <c r="I2573" t="s">
        <v>21</v>
      </c>
      <c r="J2573" s="4">
        <v>0.21418161434977601</v>
      </c>
      <c r="K2573" t="s">
        <v>40</v>
      </c>
      <c r="L2573" t="s">
        <v>60</v>
      </c>
      <c r="M2573">
        <v>9</v>
      </c>
      <c r="N2573" t="s">
        <v>61</v>
      </c>
    </row>
    <row r="2574" spans="1:14" x14ac:dyDescent="0.3">
      <c r="A2574" s="1">
        <v>45261</v>
      </c>
      <c r="B2574" t="s">
        <v>35</v>
      </c>
      <c r="C2574" t="s">
        <v>33</v>
      </c>
      <c r="D2574" t="s">
        <v>22</v>
      </c>
      <c r="E2574">
        <v>1</v>
      </c>
      <c r="F2574">
        <v>1178</v>
      </c>
      <c r="G2574">
        <v>161.06</v>
      </c>
      <c r="H2574">
        <v>2023</v>
      </c>
      <c r="I2574" t="s">
        <v>13</v>
      </c>
      <c r="J2574" s="4">
        <v>0.13672325976230901</v>
      </c>
      <c r="K2574" t="s">
        <v>40</v>
      </c>
      <c r="L2574" t="s">
        <v>52</v>
      </c>
      <c r="M2574">
        <v>12</v>
      </c>
      <c r="N2574" t="s">
        <v>53</v>
      </c>
    </row>
    <row r="2575" spans="1:14" x14ac:dyDescent="0.3">
      <c r="A2575" s="1">
        <v>45007</v>
      </c>
      <c r="B2575" t="s">
        <v>35</v>
      </c>
      <c r="C2575" t="s">
        <v>33</v>
      </c>
      <c r="D2575" t="s">
        <v>17</v>
      </c>
      <c r="E2575">
        <v>1</v>
      </c>
      <c r="F2575">
        <v>677</v>
      </c>
      <c r="G2575">
        <v>54.14</v>
      </c>
      <c r="H2575">
        <v>2023</v>
      </c>
      <c r="I2575" t="s">
        <v>15</v>
      </c>
      <c r="J2575" s="4">
        <v>7.9970457902511102E-2</v>
      </c>
      <c r="K2575" t="s">
        <v>40</v>
      </c>
      <c r="L2575" t="s">
        <v>55</v>
      </c>
      <c r="M2575">
        <v>3</v>
      </c>
      <c r="N2575" t="s">
        <v>56</v>
      </c>
    </row>
    <row r="2576" spans="1:14" x14ac:dyDescent="0.3">
      <c r="A2576" s="1">
        <v>45113</v>
      </c>
      <c r="B2576" t="s">
        <v>35</v>
      </c>
      <c r="C2576" t="s">
        <v>33</v>
      </c>
      <c r="D2576" t="s">
        <v>17</v>
      </c>
      <c r="E2576">
        <v>9</v>
      </c>
      <c r="F2576">
        <v>8514</v>
      </c>
      <c r="G2576">
        <v>1400.4</v>
      </c>
      <c r="H2576">
        <v>2023</v>
      </c>
      <c r="I2576" t="s">
        <v>25</v>
      </c>
      <c r="J2576" s="4">
        <v>0.16448202959830899</v>
      </c>
      <c r="K2576" t="s">
        <v>40</v>
      </c>
      <c r="L2576" t="s">
        <v>60</v>
      </c>
      <c r="M2576">
        <v>7</v>
      </c>
      <c r="N2576" t="s">
        <v>64</v>
      </c>
    </row>
    <row r="2577" spans="1:14" x14ac:dyDescent="0.3">
      <c r="A2577" s="1">
        <v>45169</v>
      </c>
      <c r="B2577" t="s">
        <v>35</v>
      </c>
      <c r="C2577" t="s">
        <v>33</v>
      </c>
      <c r="D2577" t="s">
        <v>17</v>
      </c>
      <c r="E2577">
        <v>7</v>
      </c>
      <c r="F2577">
        <v>385</v>
      </c>
      <c r="G2577">
        <v>43.43</v>
      </c>
      <c r="H2577">
        <v>2023</v>
      </c>
      <c r="I2577" t="s">
        <v>24</v>
      </c>
      <c r="J2577" s="4">
        <v>0.11280519480519501</v>
      </c>
      <c r="K2577" t="s">
        <v>40</v>
      </c>
      <c r="L2577" t="s">
        <v>60</v>
      </c>
      <c r="M2577">
        <v>8</v>
      </c>
      <c r="N2577" t="s">
        <v>63</v>
      </c>
    </row>
    <row r="2578" spans="1:14" x14ac:dyDescent="0.3">
      <c r="A2578" s="1">
        <v>45041</v>
      </c>
      <c r="B2578" t="s">
        <v>35</v>
      </c>
      <c r="C2578" t="s">
        <v>33</v>
      </c>
      <c r="D2578" t="s">
        <v>17</v>
      </c>
      <c r="E2578">
        <v>2</v>
      </c>
      <c r="F2578">
        <v>686</v>
      </c>
      <c r="G2578">
        <v>85.03</v>
      </c>
      <c r="H2578">
        <v>2023</v>
      </c>
      <c r="I2578" t="s">
        <v>23</v>
      </c>
      <c r="J2578" s="4">
        <v>0.123950437317784</v>
      </c>
      <c r="K2578" t="s">
        <v>40</v>
      </c>
      <c r="L2578" t="s">
        <v>59</v>
      </c>
      <c r="M2578">
        <v>4</v>
      </c>
      <c r="N2578" t="s">
        <v>62</v>
      </c>
    </row>
    <row r="2579" spans="1:14" x14ac:dyDescent="0.3">
      <c r="A2579" s="1">
        <v>44937</v>
      </c>
      <c r="B2579" t="s">
        <v>35</v>
      </c>
      <c r="C2579" t="s">
        <v>33</v>
      </c>
      <c r="D2579" t="s">
        <v>19</v>
      </c>
      <c r="E2579">
        <v>6</v>
      </c>
      <c r="F2579">
        <v>2262</v>
      </c>
      <c r="G2579">
        <v>442.86</v>
      </c>
      <c r="H2579">
        <v>2023</v>
      </c>
      <c r="I2579" t="s">
        <v>26</v>
      </c>
      <c r="J2579" s="4">
        <v>0.19578249336869999</v>
      </c>
      <c r="K2579" t="s">
        <v>40</v>
      </c>
      <c r="L2579" t="s">
        <v>55</v>
      </c>
      <c r="M2579">
        <v>1</v>
      </c>
      <c r="N2579" t="s">
        <v>65</v>
      </c>
    </row>
    <row r="2580" spans="1:14" x14ac:dyDescent="0.3">
      <c r="A2580" s="1">
        <v>45084</v>
      </c>
      <c r="B2580" t="s">
        <v>35</v>
      </c>
      <c r="C2580" t="s">
        <v>33</v>
      </c>
      <c r="D2580" t="s">
        <v>12</v>
      </c>
      <c r="E2580">
        <v>1</v>
      </c>
      <c r="F2580">
        <v>56</v>
      </c>
      <c r="G2580">
        <v>9.16</v>
      </c>
      <c r="H2580">
        <v>2023</v>
      </c>
      <c r="I2580" t="s">
        <v>27</v>
      </c>
      <c r="J2580" s="4">
        <v>0.16357142857142901</v>
      </c>
      <c r="K2580" t="s">
        <v>40</v>
      </c>
      <c r="L2580" t="s">
        <v>59</v>
      </c>
      <c r="M2580">
        <v>6</v>
      </c>
      <c r="N2580" t="s">
        <v>66</v>
      </c>
    </row>
    <row r="2581" spans="1:14" x14ac:dyDescent="0.3">
      <c r="A2581" s="1">
        <v>45018</v>
      </c>
      <c r="B2581" t="s">
        <v>35</v>
      </c>
      <c r="C2581" t="s">
        <v>33</v>
      </c>
      <c r="D2581" t="s">
        <v>17</v>
      </c>
      <c r="E2581">
        <v>1</v>
      </c>
      <c r="F2581">
        <v>120</v>
      </c>
      <c r="G2581">
        <v>23.86</v>
      </c>
      <c r="H2581">
        <v>2023</v>
      </c>
      <c r="I2581" t="s">
        <v>23</v>
      </c>
      <c r="J2581" s="4">
        <v>0.198833333333333</v>
      </c>
      <c r="K2581" t="s">
        <v>40</v>
      </c>
      <c r="L2581" t="s">
        <v>59</v>
      </c>
      <c r="M2581">
        <v>4</v>
      </c>
      <c r="N2581" t="s">
        <v>62</v>
      </c>
    </row>
    <row r="2582" spans="1:14" x14ac:dyDescent="0.3">
      <c r="A2582" s="1">
        <v>45094</v>
      </c>
      <c r="B2582" t="s">
        <v>35</v>
      </c>
      <c r="C2582" t="s">
        <v>33</v>
      </c>
      <c r="D2582" t="s">
        <v>22</v>
      </c>
      <c r="E2582">
        <v>6</v>
      </c>
      <c r="F2582">
        <v>4188</v>
      </c>
      <c r="G2582">
        <v>989.14</v>
      </c>
      <c r="H2582">
        <v>2023</v>
      </c>
      <c r="I2582" t="s">
        <v>27</v>
      </c>
      <c r="J2582" s="4">
        <v>0.236184336198663</v>
      </c>
      <c r="K2582" t="s">
        <v>40</v>
      </c>
      <c r="L2582" t="s">
        <v>59</v>
      </c>
      <c r="M2582">
        <v>6</v>
      </c>
      <c r="N2582" t="s">
        <v>66</v>
      </c>
    </row>
    <row r="2583" spans="1:14" x14ac:dyDescent="0.3">
      <c r="A2583" s="1">
        <v>45235</v>
      </c>
      <c r="B2583" t="s">
        <v>35</v>
      </c>
      <c r="C2583" t="s">
        <v>33</v>
      </c>
      <c r="D2583" t="s">
        <v>19</v>
      </c>
      <c r="E2583">
        <v>6</v>
      </c>
      <c r="F2583">
        <v>5286</v>
      </c>
      <c r="G2583">
        <v>636.16</v>
      </c>
      <c r="H2583">
        <v>2023</v>
      </c>
      <c r="I2583" t="s">
        <v>18</v>
      </c>
      <c r="J2583" s="4">
        <v>0.120348089292471</v>
      </c>
      <c r="K2583" t="s">
        <v>40</v>
      </c>
      <c r="L2583" t="s">
        <v>52</v>
      </c>
      <c r="M2583">
        <v>11</v>
      </c>
      <c r="N2583" t="s">
        <v>58</v>
      </c>
    </row>
    <row r="2584" spans="1:14" x14ac:dyDescent="0.3">
      <c r="A2584" s="1">
        <v>45291</v>
      </c>
      <c r="B2584" t="s">
        <v>35</v>
      </c>
      <c r="C2584" t="s">
        <v>33</v>
      </c>
      <c r="D2584" t="s">
        <v>12</v>
      </c>
      <c r="E2584">
        <v>2</v>
      </c>
      <c r="F2584">
        <v>894</v>
      </c>
      <c r="G2584">
        <v>224.75</v>
      </c>
      <c r="H2584">
        <v>2023</v>
      </c>
      <c r="I2584" t="s">
        <v>13</v>
      </c>
      <c r="J2584" s="4">
        <v>0.25139821029082798</v>
      </c>
      <c r="K2584" t="s">
        <v>40</v>
      </c>
      <c r="L2584" t="s">
        <v>52</v>
      </c>
      <c r="M2584">
        <v>12</v>
      </c>
      <c r="N2584" t="s">
        <v>53</v>
      </c>
    </row>
    <row r="2585" spans="1:14" x14ac:dyDescent="0.3">
      <c r="A2585" s="1">
        <v>45041</v>
      </c>
      <c r="B2585" t="s">
        <v>35</v>
      </c>
      <c r="C2585" t="s">
        <v>33</v>
      </c>
      <c r="D2585" t="s">
        <v>12</v>
      </c>
      <c r="E2585">
        <v>6</v>
      </c>
      <c r="F2585">
        <v>6744</v>
      </c>
      <c r="G2585">
        <v>660.47</v>
      </c>
      <c r="H2585">
        <v>2023</v>
      </c>
      <c r="I2585" t="s">
        <v>23</v>
      </c>
      <c r="J2585" s="4">
        <v>9.7934460260972703E-2</v>
      </c>
      <c r="K2585" t="s">
        <v>40</v>
      </c>
      <c r="L2585" t="s">
        <v>59</v>
      </c>
      <c r="M2585">
        <v>4</v>
      </c>
      <c r="N2585" t="s">
        <v>62</v>
      </c>
    </row>
    <row r="2586" spans="1:14" x14ac:dyDescent="0.3">
      <c r="A2586" s="1">
        <v>45193</v>
      </c>
      <c r="B2586" t="s">
        <v>35</v>
      </c>
      <c r="C2586" t="s">
        <v>33</v>
      </c>
      <c r="D2586" t="s">
        <v>17</v>
      </c>
      <c r="E2586">
        <v>6</v>
      </c>
      <c r="F2586">
        <v>4458</v>
      </c>
      <c r="G2586">
        <v>1215.3</v>
      </c>
      <c r="H2586">
        <v>2023</v>
      </c>
      <c r="I2586" t="s">
        <v>21</v>
      </c>
      <c r="J2586" s="4">
        <v>0.272611036339166</v>
      </c>
      <c r="K2586" t="s">
        <v>40</v>
      </c>
      <c r="L2586" t="s">
        <v>60</v>
      </c>
      <c r="M2586">
        <v>9</v>
      </c>
      <c r="N2586" t="s">
        <v>61</v>
      </c>
    </row>
    <row r="2587" spans="1:14" x14ac:dyDescent="0.3">
      <c r="A2587" s="1">
        <v>45064</v>
      </c>
      <c r="B2587" t="s">
        <v>35</v>
      </c>
      <c r="C2587" t="s">
        <v>33</v>
      </c>
      <c r="D2587" t="s">
        <v>19</v>
      </c>
      <c r="E2587">
        <v>7</v>
      </c>
      <c r="F2587">
        <v>2569</v>
      </c>
      <c r="G2587">
        <v>130.19</v>
      </c>
      <c r="H2587">
        <v>2023</v>
      </c>
      <c r="I2587" t="s">
        <v>20</v>
      </c>
      <c r="J2587" s="4">
        <v>5.0677306344881302E-2</v>
      </c>
      <c r="K2587" t="s">
        <v>40</v>
      </c>
      <c r="L2587" t="s">
        <v>59</v>
      </c>
      <c r="M2587">
        <v>5</v>
      </c>
      <c r="N2587" t="s">
        <v>20</v>
      </c>
    </row>
    <row r="2588" spans="1:14" x14ac:dyDescent="0.3">
      <c r="A2588" s="1">
        <v>45278</v>
      </c>
      <c r="B2588" t="s">
        <v>35</v>
      </c>
      <c r="C2588" t="s">
        <v>33</v>
      </c>
      <c r="D2588" t="s">
        <v>19</v>
      </c>
      <c r="E2588">
        <v>6</v>
      </c>
      <c r="F2588">
        <v>2244</v>
      </c>
      <c r="G2588">
        <v>517.47</v>
      </c>
      <c r="H2588">
        <v>2023</v>
      </c>
      <c r="I2588" t="s">
        <v>13</v>
      </c>
      <c r="J2588" s="4">
        <v>0.230601604278075</v>
      </c>
      <c r="K2588" t="s">
        <v>40</v>
      </c>
      <c r="L2588" t="s">
        <v>52</v>
      </c>
      <c r="M2588">
        <v>12</v>
      </c>
      <c r="N2588" t="s">
        <v>53</v>
      </c>
    </row>
    <row r="2589" spans="1:14" x14ac:dyDescent="0.3">
      <c r="A2589" s="1">
        <v>45035</v>
      </c>
      <c r="B2589" t="s">
        <v>35</v>
      </c>
      <c r="C2589" t="s">
        <v>33</v>
      </c>
      <c r="D2589" t="s">
        <v>22</v>
      </c>
      <c r="E2589">
        <v>2</v>
      </c>
      <c r="F2589">
        <v>1738</v>
      </c>
      <c r="G2589">
        <v>163.38</v>
      </c>
      <c r="H2589">
        <v>2023</v>
      </c>
      <c r="I2589" t="s">
        <v>23</v>
      </c>
      <c r="J2589" s="4">
        <v>9.4004602991944797E-2</v>
      </c>
      <c r="K2589" t="s">
        <v>40</v>
      </c>
      <c r="L2589" t="s">
        <v>59</v>
      </c>
      <c r="M2589">
        <v>4</v>
      </c>
      <c r="N2589" t="s">
        <v>62</v>
      </c>
    </row>
    <row r="2590" spans="1:14" x14ac:dyDescent="0.3">
      <c r="A2590" s="1">
        <v>45172</v>
      </c>
      <c r="B2590" t="s">
        <v>35</v>
      </c>
      <c r="C2590" t="s">
        <v>33</v>
      </c>
      <c r="D2590" t="s">
        <v>19</v>
      </c>
      <c r="E2590">
        <v>2</v>
      </c>
      <c r="F2590">
        <v>344</v>
      </c>
      <c r="G2590">
        <v>72.87</v>
      </c>
      <c r="H2590">
        <v>2023</v>
      </c>
      <c r="I2590" t="s">
        <v>21</v>
      </c>
      <c r="J2590" s="4">
        <v>0.21183139534883699</v>
      </c>
      <c r="K2590" t="s">
        <v>40</v>
      </c>
      <c r="L2590" t="s">
        <v>60</v>
      </c>
      <c r="M2590">
        <v>9</v>
      </c>
      <c r="N2590" t="s">
        <v>61</v>
      </c>
    </row>
    <row r="2591" spans="1:14" x14ac:dyDescent="0.3">
      <c r="A2591" s="1">
        <v>45198</v>
      </c>
      <c r="B2591" t="s">
        <v>35</v>
      </c>
      <c r="C2591" t="s">
        <v>33</v>
      </c>
      <c r="D2591" t="s">
        <v>22</v>
      </c>
      <c r="E2591">
        <v>9</v>
      </c>
      <c r="F2591">
        <v>10782</v>
      </c>
      <c r="G2591">
        <v>2730.14</v>
      </c>
      <c r="H2591">
        <v>2023</v>
      </c>
      <c r="I2591" t="s">
        <v>21</v>
      </c>
      <c r="J2591" s="4">
        <v>0.25321276201075898</v>
      </c>
      <c r="K2591" t="s">
        <v>40</v>
      </c>
      <c r="L2591" t="s">
        <v>60</v>
      </c>
      <c r="M2591">
        <v>9</v>
      </c>
      <c r="N2591" t="s">
        <v>61</v>
      </c>
    </row>
    <row r="2592" spans="1:14" x14ac:dyDescent="0.3">
      <c r="A2592" s="1">
        <v>45056</v>
      </c>
      <c r="B2592" t="s">
        <v>35</v>
      </c>
      <c r="C2592" t="s">
        <v>33</v>
      </c>
      <c r="D2592" t="s">
        <v>19</v>
      </c>
      <c r="E2592">
        <v>1</v>
      </c>
      <c r="F2592">
        <v>1172</v>
      </c>
      <c r="G2592">
        <v>124.9</v>
      </c>
      <c r="H2592">
        <v>2023</v>
      </c>
      <c r="I2592" t="s">
        <v>20</v>
      </c>
      <c r="J2592" s="4">
        <v>0.106569965870307</v>
      </c>
      <c r="K2592" t="s">
        <v>40</v>
      </c>
      <c r="L2592" t="s">
        <v>59</v>
      </c>
      <c r="M2592">
        <v>5</v>
      </c>
      <c r="N2592" t="s">
        <v>20</v>
      </c>
    </row>
    <row r="2593" spans="1:14" x14ac:dyDescent="0.3">
      <c r="A2593" s="1">
        <v>45281</v>
      </c>
      <c r="B2593" t="s">
        <v>35</v>
      </c>
      <c r="C2593" t="s">
        <v>33</v>
      </c>
      <c r="D2593" t="s">
        <v>19</v>
      </c>
      <c r="E2593">
        <v>2</v>
      </c>
      <c r="F2593">
        <v>1606</v>
      </c>
      <c r="G2593">
        <v>138.96</v>
      </c>
      <c r="H2593">
        <v>2023</v>
      </c>
      <c r="I2593" t="s">
        <v>13</v>
      </c>
      <c r="J2593" s="4">
        <v>8.6525529265255294E-2</v>
      </c>
      <c r="K2593" t="s">
        <v>40</v>
      </c>
      <c r="L2593" t="s">
        <v>52</v>
      </c>
      <c r="M2593">
        <v>12</v>
      </c>
      <c r="N2593" t="s">
        <v>53</v>
      </c>
    </row>
    <row r="2594" spans="1:14" x14ac:dyDescent="0.3">
      <c r="A2594" s="1">
        <v>45179</v>
      </c>
      <c r="B2594" t="s">
        <v>35</v>
      </c>
      <c r="C2594" t="s">
        <v>33</v>
      </c>
      <c r="D2594" t="s">
        <v>22</v>
      </c>
      <c r="E2594">
        <v>2</v>
      </c>
      <c r="F2594">
        <v>1030</v>
      </c>
      <c r="G2594">
        <v>254.65</v>
      </c>
      <c r="H2594">
        <v>2023</v>
      </c>
      <c r="I2594" t="s">
        <v>21</v>
      </c>
      <c r="J2594" s="4">
        <v>0.24723300970873799</v>
      </c>
      <c r="K2594" t="s">
        <v>40</v>
      </c>
      <c r="L2594" t="s">
        <v>60</v>
      </c>
      <c r="M2594">
        <v>9</v>
      </c>
      <c r="N2594" t="s">
        <v>61</v>
      </c>
    </row>
    <row r="2595" spans="1:14" x14ac:dyDescent="0.3">
      <c r="A2595" s="1">
        <v>45159</v>
      </c>
      <c r="B2595" t="s">
        <v>35</v>
      </c>
      <c r="C2595" t="s">
        <v>33</v>
      </c>
      <c r="D2595" t="s">
        <v>17</v>
      </c>
      <c r="E2595">
        <v>5</v>
      </c>
      <c r="F2595">
        <v>4855</v>
      </c>
      <c r="G2595">
        <v>534.23</v>
      </c>
      <c r="H2595">
        <v>2023</v>
      </c>
      <c r="I2595" t="s">
        <v>24</v>
      </c>
      <c r="J2595" s="4">
        <v>0.110037075180227</v>
      </c>
      <c r="K2595" t="s">
        <v>40</v>
      </c>
      <c r="L2595" t="s">
        <v>60</v>
      </c>
      <c r="M2595">
        <v>8</v>
      </c>
      <c r="N2595" t="s">
        <v>63</v>
      </c>
    </row>
    <row r="2596" spans="1:14" x14ac:dyDescent="0.3">
      <c r="A2596" s="1">
        <v>45195</v>
      </c>
      <c r="B2596" t="s">
        <v>35</v>
      </c>
      <c r="C2596" t="s">
        <v>33</v>
      </c>
      <c r="D2596" t="s">
        <v>22</v>
      </c>
      <c r="E2596">
        <v>3</v>
      </c>
      <c r="F2596">
        <v>1302</v>
      </c>
      <c r="G2596">
        <v>180.82</v>
      </c>
      <c r="H2596">
        <v>2023</v>
      </c>
      <c r="I2596" t="s">
        <v>21</v>
      </c>
      <c r="J2596" s="4">
        <v>0.138878648233487</v>
      </c>
      <c r="K2596" t="s">
        <v>40</v>
      </c>
      <c r="L2596" t="s">
        <v>60</v>
      </c>
      <c r="M2596">
        <v>9</v>
      </c>
      <c r="N2596" t="s">
        <v>61</v>
      </c>
    </row>
    <row r="2597" spans="1:14" x14ac:dyDescent="0.3">
      <c r="A2597" s="1">
        <v>45214</v>
      </c>
      <c r="B2597" t="s">
        <v>35</v>
      </c>
      <c r="C2597" t="s">
        <v>33</v>
      </c>
      <c r="D2597" t="s">
        <v>22</v>
      </c>
      <c r="E2597">
        <v>1</v>
      </c>
      <c r="F2597">
        <v>962</v>
      </c>
      <c r="G2597">
        <v>260.27999999999997</v>
      </c>
      <c r="H2597">
        <v>2023</v>
      </c>
      <c r="I2597" t="s">
        <v>14</v>
      </c>
      <c r="J2597" s="4">
        <v>0.27056133056133103</v>
      </c>
      <c r="K2597" t="s">
        <v>40</v>
      </c>
      <c r="L2597" t="s">
        <v>52</v>
      </c>
      <c r="M2597">
        <v>10</v>
      </c>
      <c r="N2597" t="s">
        <v>54</v>
      </c>
    </row>
    <row r="2598" spans="1:14" x14ac:dyDescent="0.3">
      <c r="A2598" s="1">
        <v>45140</v>
      </c>
      <c r="B2598" t="s">
        <v>35</v>
      </c>
      <c r="C2598" t="s">
        <v>33</v>
      </c>
      <c r="D2598" t="s">
        <v>22</v>
      </c>
      <c r="E2598">
        <v>2</v>
      </c>
      <c r="F2598">
        <v>1088</v>
      </c>
      <c r="G2598">
        <v>235.83</v>
      </c>
      <c r="H2598">
        <v>2023</v>
      </c>
      <c r="I2598" t="s">
        <v>24</v>
      </c>
      <c r="J2598" s="4">
        <v>0.216755514705882</v>
      </c>
      <c r="K2598" t="s">
        <v>40</v>
      </c>
      <c r="L2598" t="s">
        <v>60</v>
      </c>
      <c r="M2598">
        <v>8</v>
      </c>
      <c r="N2598" t="s">
        <v>63</v>
      </c>
    </row>
    <row r="2599" spans="1:14" x14ac:dyDescent="0.3">
      <c r="A2599" s="1">
        <v>45223</v>
      </c>
      <c r="B2599" t="s">
        <v>35</v>
      </c>
      <c r="C2599" t="s">
        <v>33</v>
      </c>
      <c r="D2599" t="s">
        <v>19</v>
      </c>
      <c r="E2599">
        <v>3</v>
      </c>
      <c r="F2599">
        <v>513</v>
      </c>
      <c r="G2599">
        <v>48.23</v>
      </c>
      <c r="H2599">
        <v>2023</v>
      </c>
      <c r="I2599" t="s">
        <v>14</v>
      </c>
      <c r="J2599" s="4">
        <v>9.4015594541910302E-2</v>
      </c>
      <c r="K2599" t="s">
        <v>40</v>
      </c>
      <c r="L2599" t="s">
        <v>52</v>
      </c>
      <c r="M2599">
        <v>10</v>
      </c>
      <c r="N2599" t="s">
        <v>54</v>
      </c>
    </row>
    <row r="2600" spans="1:14" x14ac:dyDescent="0.3">
      <c r="A2600" s="1">
        <v>45218</v>
      </c>
      <c r="B2600" t="s">
        <v>35</v>
      </c>
      <c r="C2600" t="s">
        <v>33</v>
      </c>
      <c r="D2600" t="s">
        <v>19</v>
      </c>
      <c r="E2600">
        <v>3</v>
      </c>
      <c r="F2600">
        <v>2625</v>
      </c>
      <c r="G2600">
        <v>349.61</v>
      </c>
      <c r="H2600">
        <v>2023</v>
      </c>
      <c r="I2600" t="s">
        <v>14</v>
      </c>
      <c r="J2600" s="4">
        <v>0.133184761904762</v>
      </c>
      <c r="K2600" t="s">
        <v>40</v>
      </c>
      <c r="L2600" t="s">
        <v>52</v>
      </c>
      <c r="M2600">
        <v>10</v>
      </c>
      <c r="N2600" t="s">
        <v>54</v>
      </c>
    </row>
    <row r="2601" spans="1:14" x14ac:dyDescent="0.3">
      <c r="A2601" s="1">
        <v>45147</v>
      </c>
      <c r="B2601" t="s">
        <v>35</v>
      </c>
      <c r="C2601" t="s">
        <v>33</v>
      </c>
      <c r="D2601" t="s">
        <v>19</v>
      </c>
      <c r="E2601">
        <v>3</v>
      </c>
      <c r="F2601">
        <v>1920</v>
      </c>
      <c r="G2601">
        <v>144.30000000000001</v>
      </c>
      <c r="H2601">
        <v>2023</v>
      </c>
      <c r="I2601" t="s">
        <v>24</v>
      </c>
      <c r="J2601" s="4">
        <v>7.5156249999999994E-2</v>
      </c>
      <c r="K2601" t="s">
        <v>40</v>
      </c>
      <c r="L2601" t="s">
        <v>60</v>
      </c>
      <c r="M2601">
        <v>8</v>
      </c>
      <c r="N2601" t="s">
        <v>63</v>
      </c>
    </row>
    <row r="2602" spans="1:14" x14ac:dyDescent="0.3">
      <c r="A2602" s="1">
        <v>45090</v>
      </c>
      <c r="B2602" t="s">
        <v>35</v>
      </c>
      <c r="C2602" t="s">
        <v>33</v>
      </c>
      <c r="D2602" t="s">
        <v>12</v>
      </c>
      <c r="E2602">
        <v>9</v>
      </c>
      <c r="F2602">
        <v>4851</v>
      </c>
      <c r="G2602">
        <v>1408.41</v>
      </c>
      <c r="H2602">
        <v>2023</v>
      </c>
      <c r="I2602" t="s">
        <v>27</v>
      </c>
      <c r="J2602" s="4">
        <v>0.29033395176252302</v>
      </c>
      <c r="K2602" t="s">
        <v>40</v>
      </c>
      <c r="L2602" t="s">
        <v>59</v>
      </c>
      <c r="M2602">
        <v>6</v>
      </c>
      <c r="N2602" t="s">
        <v>66</v>
      </c>
    </row>
    <row r="2603" spans="1:14" x14ac:dyDescent="0.3">
      <c r="A2603" s="1">
        <v>45222</v>
      </c>
      <c r="B2603" t="s">
        <v>35</v>
      </c>
      <c r="C2603" t="s">
        <v>33</v>
      </c>
      <c r="D2603" t="s">
        <v>22</v>
      </c>
      <c r="E2603">
        <v>4</v>
      </c>
      <c r="F2603">
        <v>584</v>
      </c>
      <c r="G2603">
        <v>127.28</v>
      </c>
      <c r="H2603">
        <v>2023</v>
      </c>
      <c r="I2603" t="s">
        <v>14</v>
      </c>
      <c r="J2603" s="4">
        <v>0.21794520547945201</v>
      </c>
      <c r="K2603" t="s">
        <v>40</v>
      </c>
      <c r="L2603" t="s">
        <v>52</v>
      </c>
      <c r="M2603">
        <v>10</v>
      </c>
      <c r="N2603" t="s">
        <v>54</v>
      </c>
    </row>
    <row r="2604" spans="1:14" x14ac:dyDescent="0.3">
      <c r="A2604" s="1">
        <v>45103</v>
      </c>
      <c r="B2604" t="s">
        <v>35</v>
      </c>
      <c r="C2604" t="s">
        <v>33</v>
      </c>
      <c r="D2604" t="s">
        <v>19</v>
      </c>
      <c r="E2604">
        <v>3</v>
      </c>
      <c r="F2604">
        <v>3264</v>
      </c>
      <c r="G2604">
        <v>556.86</v>
      </c>
      <c r="H2604">
        <v>2023</v>
      </c>
      <c r="I2604" t="s">
        <v>27</v>
      </c>
      <c r="J2604" s="4">
        <v>0.17060661764705901</v>
      </c>
      <c r="K2604" t="s">
        <v>40</v>
      </c>
      <c r="L2604" t="s">
        <v>59</v>
      </c>
      <c r="M2604">
        <v>6</v>
      </c>
      <c r="N2604" t="s">
        <v>66</v>
      </c>
    </row>
    <row r="2605" spans="1:14" x14ac:dyDescent="0.3">
      <c r="A2605" s="1">
        <v>45037</v>
      </c>
      <c r="B2605" t="s">
        <v>35</v>
      </c>
      <c r="C2605" t="s">
        <v>33</v>
      </c>
      <c r="D2605" t="s">
        <v>22</v>
      </c>
      <c r="E2605">
        <v>9</v>
      </c>
      <c r="F2605">
        <v>6282</v>
      </c>
      <c r="G2605">
        <v>1594.61</v>
      </c>
      <c r="H2605">
        <v>2023</v>
      </c>
      <c r="I2605" t="s">
        <v>23</v>
      </c>
      <c r="J2605" s="4">
        <v>0.25383794969754903</v>
      </c>
      <c r="K2605" t="s">
        <v>40</v>
      </c>
      <c r="L2605" t="s">
        <v>59</v>
      </c>
      <c r="M2605">
        <v>4</v>
      </c>
      <c r="N2605" t="s">
        <v>62</v>
      </c>
    </row>
    <row r="2606" spans="1:14" x14ac:dyDescent="0.3">
      <c r="A2606" s="1">
        <v>45272</v>
      </c>
      <c r="B2606" t="s">
        <v>35</v>
      </c>
      <c r="C2606" t="s">
        <v>33</v>
      </c>
      <c r="D2606" t="s">
        <v>17</v>
      </c>
      <c r="E2606">
        <v>8</v>
      </c>
      <c r="F2606">
        <v>6880</v>
      </c>
      <c r="G2606">
        <v>1570.91</v>
      </c>
      <c r="H2606">
        <v>2023</v>
      </c>
      <c r="I2606" t="s">
        <v>13</v>
      </c>
      <c r="J2606" s="4">
        <v>0.22832994186046501</v>
      </c>
      <c r="K2606" t="s">
        <v>40</v>
      </c>
      <c r="L2606" t="s">
        <v>52</v>
      </c>
      <c r="M2606">
        <v>12</v>
      </c>
      <c r="N2606" t="s">
        <v>53</v>
      </c>
    </row>
    <row r="2607" spans="1:14" x14ac:dyDescent="0.3">
      <c r="A2607" s="1">
        <v>44971</v>
      </c>
      <c r="B2607" t="s">
        <v>35</v>
      </c>
      <c r="C2607" t="s">
        <v>33</v>
      </c>
      <c r="D2607" t="s">
        <v>19</v>
      </c>
      <c r="E2607">
        <v>6</v>
      </c>
      <c r="F2607">
        <v>6900</v>
      </c>
      <c r="G2607">
        <v>1109.73</v>
      </c>
      <c r="H2607">
        <v>2023</v>
      </c>
      <c r="I2607" t="s">
        <v>16</v>
      </c>
      <c r="J2607" s="4">
        <v>0.160830434782609</v>
      </c>
      <c r="K2607" t="s">
        <v>40</v>
      </c>
      <c r="L2607" t="s">
        <v>55</v>
      </c>
      <c r="M2607">
        <v>2</v>
      </c>
      <c r="N2607" t="s">
        <v>57</v>
      </c>
    </row>
    <row r="2608" spans="1:14" x14ac:dyDescent="0.3">
      <c r="A2608" s="1">
        <v>45150</v>
      </c>
      <c r="B2608" t="s">
        <v>35</v>
      </c>
      <c r="C2608" t="s">
        <v>33</v>
      </c>
      <c r="D2608" t="s">
        <v>12</v>
      </c>
      <c r="E2608">
        <v>8</v>
      </c>
      <c r="F2608">
        <v>8992</v>
      </c>
      <c r="G2608">
        <v>2018.64</v>
      </c>
      <c r="H2608">
        <v>2023</v>
      </c>
      <c r="I2608" t="s">
        <v>24</v>
      </c>
      <c r="J2608" s="4">
        <v>0.22449288256227801</v>
      </c>
      <c r="K2608" t="s">
        <v>40</v>
      </c>
      <c r="L2608" t="s">
        <v>60</v>
      </c>
      <c r="M2608">
        <v>8</v>
      </c>
      <c r="N2608" t="s">
        <v>63</v>
      </c>
    </row>
    <row r="2609" spans="1:14" x14ac:dyDescent="0.3">
      <c r="A2609" s="1">
        <v>45097</v>
      </c>
      <c r="B2609" t="s">
        <v>35</v>
      </c>
      <c r="C2609" t="s">
        <v>33</v>
      </c>
      <c r="D2609" t="s">
        <v>22</v>
      </c>
      <c r="E2609">
        <v>7</v>
      </c>
      <c r="F2609">
        <v>2023</v>
      </c>
      <c r="G2609">
        <v>274.25</v>
      </c>
      <c r="H2609">
        <v>2023</v>
      </c>
      <c r="I2609" t="s">
        <v>27</v>
      </c>
      <c r="J2609" s="4">
        <v>0.13556599110232301</v>
      </c>
      <c r="K2609" t="s">
        <v>40</v>
      </c>
      <c r="L2609" t="s">
        <v>59</v>
      </c>
      <c r="M2609">
        <v>6</v>
      </c>
      <c r="N2609" t="s">
        <v>66</v>
      </c>
    </row>
    <row r="2610" spans="1:14" x14ac:dyDescent="0.3">
      <c r="A2610" s="1">
        <v>44932</v>
      </c>
      <c r="B2610" t="s">
        <v>35</v>
      </c>
      <c r="C2610" t="s">
        <v>33</v>
      </c>
      <c r="D2610" t="s">
        <v>19</v>
      </c>
      <c r="E2610">
        <v>3</v>
      </c>
      <c r="F2610">
        <v>372</v>
      </c>
      <c r="G2610">
        <v>57.51</v>
      </c>
      <c r="H2610">
        <v>2023</v>
      </c>
      <c r="I2610" t="s">
        <v>26</v>
      </c>
      <c r="J2610" s="4">
        <v>0.154596774193548</v>
      </c>
      <c r="K2610" t="s">
        <v>40</v>
      </c>
      <c r="L2610" t="s">
        <v>55</v>
      </c>
      <c r="M2610">
        <v>1</v>
      </c>
      <c r="N2610" t="s">
        <v>65</v>
      </c>
    </row>
    <row r="2611" spans="1:14" x14ac:dyDescent="0.3">
      <c r="A2611" s="1">
        <v>45056</v>
      </c>
      <c r="B2611" t="s">
        <v>35</v>
      </c>
      <c r="C2611" t="s">
        <v>33</v>
      </c>
      <c r="D2611" t="s">
        <v>17</v>
      </c>
      <c r="E2611">
        <v>4</v>
      </c>
      <c r="F2611">
        <v>3184</v>
      </c>
      <c r="G2611">
        <v>478.27</v>
      </c>
      <c r="H2611">
        <v>2023</v>
      </c>
      <c r="I2611" t="s">
        <v>20</v>
      </c>
      <c r="J2611" s="4">
        <v>0.150210427135678</v>
      </c>
      <c r="K2611" t="s">
        <v>40</v>
      </c>
      <c r="L2611" t="s">
        <v>59</v>
      </c>
      <c r="M2611">
        <v>5</v>
      </c>
      <c r="N2611" t="s">
        <v>20</v>
      </c>
    </row>
    <row r="2612" spans="1:14" x14ac:dyDescent="0.3">
      <c r="A2612" s="1">
        <v>45122</v>
      </c>
      <c r="B2612" t="s">
        <v>35</v>
      </c>
      <c r="C2612" t="s">
        <v>33</v>
      </c>
      <c r="D2612" t="s">
        <v>12</v>
      </c>
      <c r="E2612">
        <v>1</v>
      </c>
      <c r="F2612">
        <v>1147</v>
      </c>
      <c r="G2612">
        <v>133.47999999999999</v>
      </c>
      <c r="H2612">
        <v>2023</v>
      </c>
      <c r="I2612" t="s">
        <v>25</v>
      </c>
      <c r="J2612" s="4">
        <v>0.11637314734088899</v>
      </c>
      <c r="K2612" t="s">
        <v>40</v>
      </c>
      <c r="L2612" t="s">
        <v>60</v>
      </c>
      <c r="M2612">
        <v>7</v>
      </c>
      <c r="N2612" t="s">
        <v>64</v>
      </c>
    </row>
    <row r="2613" spans="1:14" x14ac:dyDescent="0.3">
      <c r="A2613" s="1">
        <v>45158</v>
      </c>
      <c r="B2613" t="s">
        <v>35</v>
      </c>
      <c r="C2613" t="s">
        <v>33</v>
      </c>
      <c r="D2613" t="s">
        <v>19</v>
      </c>
      <c r="E2613">
        <v>5</v>
      </c>
      <c r="F2613">
        <v>4025</v>
      </c>
      <c r="G2613">
        <v>923.17</v>
      </c>
      <c r="H2613">
        <v>2023</v>
      </c>
      <c r="I2613" t="s">
        <v>24</v>
      </c>
      <c r="J2613" s="4">
        <v>0.22935900621117999</v>
      </c>
      <c r="K2613" t="s">
        <v>40</v>
      </c>
      <c r="L2613" t="s">
        <v>60</v>
      </c>
      <c r="M2613">
        <v>8</v>
      </c>
      <c r="N2613" t="s">
        <v>63</v>
      </c>
    </row>
    <row r="2614" spans="1:14" x14ac:dyDescent="0.3">
      <c r="A2614" s="1">
        <v>45179</v>
      </c>
      <c r="B2614" t="s">
        <v>35</v>
      </c>
      <c r="C2614" t="s">
        <v>33</v>
      </c>
      <c r="D2614" t="s">
        <v>17</v>
      </c>
      <c r="E2614">
        <v>2</v>
      </c>
      <c r="F2614">
        <v>1790</v>
      </c>
      <c r="G2614">
        <v>236.76</v>
      </c>
      <c r="H2614">
        <v>2023</v>
      </c>
      <c r="I2614" t="s">
        <v>21</v>
      </c>
      <c r="J2614" s="4">
        <v>0.13226815642458101</v>
      </c>
      <c r="K2614" t="s">
        <v>40</v>
      </c>
      <c r="L2614" t="s">
        <v>60</v>
      </c>
      <c r="M2614">
        <v>9</v>
      </c>
      <c r="N2614" t="s">
        <v>61</v>
      </c>
    </row>
    <row r="2615" spans="1:14" x14ac:dyDescent="0.3">
      <c r="A2615" s="1">
        <v>45048</v>
      </c>
      <c r="B2615" t="s">
        <v>35</v>
      </c>
      <c r="C2615" t="s">
        <v>33</v>
      </c>
      <c r="D2615" t="s">
        <v>22</v>
      </c>
      <c r="E2615">
        <v>6</v>
      </c>
      <c r="F2615">
        <v>1362</v>
      </c>
      <c r="G2615">
        <v>202.68</v>
      </c>
      <c r="H2615">
        <v>2023</v>
      </c>
      <c r="I2615" t="s">
        <v>20</v>
      </c>
      <c r="J2615" s="4">
        <v>0.148810572687225</v>
      </c>
      <c r="K2615" t="s">
        <v>40</v>
      </c>
      <c r="L2615" t="s">
        <v>59</v>
      </c>
      <c r="M2615">
        <v>5</v>
      </c>
      <c r="N2615" t="s">
        <v>20</v>
      </c>
    </row>
    <row r="2616" spans="1:14" x14ac:dyDescent="0.3">
      <c r="A2616" s="1">
        <v>45265</v>
      </c>
      <c r="B2616" t="s">
        <v>35</v>
      </c>
      <c r="C2616" t="s">
        <v>33</v>
      </c>
      <c r="D2616" t="s">
        <v>19</v>
      </c>
      <c r="E2616">
        <v>2</v>
      </c>
      <c r="F2616">
        <v>1446</v>
      </c>
      <c r="G2616">
        <v>171.73</v>
      </c>
      <c r="H2616">
        <v>2023</v>
      </c>
      <c r="I2616" t="s">
        <v>13</v>
      </c>
      <c r="J2616" s="4">
        <v>0.118762102351314</v>
      </c>
      <c r="K2616" t="s">
        <v>40</v>
      </c>
      <c r="L2616" t="s">
        <v>52</v>
      </c>
      <c r="M2616">
        <v>12</v>
      </c>
      <c r="N2616" t="s">
        <v>53</v>
      </c>
    </row>
    <row r="2617" spans="1:14" x14ac:dyDescent="0.3">
      <c r="A2617" s="1">
        <v>45162</v>
      </c>
      <c r="B2617" t="s">
        <v>35</v>
      </c>
      <c r="C2617" t="s">
        <v>33</v>
      </c>
      <c r="D2617" t="s">
        <v>22</v>
      </c>
      <c r="E2617">
        <v>4</v>
      </c>
      <c r="F2617">
        <v>3788</v>
      </c>
      <c r="G2617">
        <v>875.54</v>
      </c>
      <c r="H2617">
        <v>2023</v>
      </c>
      <c r="I2617" t="s">
        <v>24</v>
      </c>
      <c r="J2617" s="4">
        <v>0.231135163674762</v>
      </c>
      <c r="K2617" t="s">
        <v>40</v>
      </c>
      <c r="L2617" t="s">
        <v>60</v>
      </c>
      <c r="M2617">
        <v>8</v>
      </c>
      <c r="N2617" t="s">
        <v>63</v>
      </c>
    </row>
    <row r="2618" spans="1:14" x14ac:dyDescent="0.3">
      <c r="A2618" s="1">
        <v>44984</v>
      </c>
      <c r="B2618" t="s">
        <v>35</v>
      </c>
      <c r="C2618" t="s">
        <v>33</v>
      </c>
      <c r="D2618" t="s">
        <v>17</v>
      </c>
      <c r="E2618">
        <v>6</v>
      </c>
      <c r="F2618">
        <v>2508</v>
      </c>
      <c r="G2618">
        <v>480.48</v>
      </c>
      <c r="H2618">
        <v>2023</v>
      </c>
      <c r="I2618" t="s">
        <v>16</v>
      </c>
      <c r="J2618" s="4">
        <v>0.19157894736842099</v>
      </c>
      <c r="K2618" t="s">
        <v>40</v>
      </c>
      <c r="L2618" t="s">
        <v>55</v>
      </c>
      <c r="M2618">
        <v>2</v>
      </c>
      <c r="N2618" t="s">
        <v>57</v>
      </c>
    </row>
    <row r="2619" spans="1:14" x14ac:dyDescent="0.3">
      <c r="A2619" s="1">
        <v>45200</v>
      </c>
      <c r="B2619" t="s">
        <v>35</v>
      </c>
      <c r="C2619" t="s">
        <v>33</v>
      </c>
      <c r="D2619" t="s">
        <v>17</v>
      </c>
      <c r="E2619">
        <v>7</v>
      </c>
      <c r="F2619">
        <v>4032</v>
      </c>
      <c r="G2619">
        <v>426.13</v>
      </c>
      <c r="H2619">
        <v>2023</v>
      </c>
      <c r="I2619" t="s">
        <v>14</v>
      </c>
      <c r="J2619" s="4">
        <v>0.10568700396825401</v>
      </c>
      <c r="K2619" t="s">
        <v>40</v>
      </c>
      <c r="L2619" t="s">
        <v>52</v>
      </c>
      <c r="M2619">
        <v>10</v>
      </c>
      <c r="N2619" t="s">
        <v>54</v>
      </c>
    </row>
    <row r="2620" spans="1:14" x14ac:dyDescent="0.3">
      <c r="A2620" s="1">
        <v>45240</v>
      </c>
      <c r="B2620" t="s">
        <v>35</v>
      </c>
      <c r="C2620" t="s">
        <v>33</v>
      </c>
      <c r="D2620" t="s">
        <v>19</v>
      </c>
      <c r="E2620">
        <v>6</v>
      </c>
      <c r="F2620">
        <v>5880</v>
      </c>
      <c r="G2620">
        <v>454.19</v>
      </c>
      <c r="H2620">
        <v>2023</v>
      </c>
      <c r="I2620" t="s">
        <v>18</v>
      </c>
      <c r="J2620" s="4">
        <v>7.7243197278911602E-2</v>
      </c>
      <c r="K2620" t="s">
        <v>40</v>
      </c>
      <c r="L2620" t="s">
        <v>52</v>
      </c>
      <c r="M2620">
        <v>11</v>
      </c>
      <c r="N2620" t="s">
        <v>58</v>
      </c>
    </row>
    <row r="2621" spans="1:14" x14ac:dyDescent="0.3">
      <c r="A2621" s="1">
        <v>45036</v>
      </c>
      <c r="B2621" t="s">
        <v>35</v>
      </c>
      <c r="C2621" t="s">
        <v>33</v>
      </c>
      <c r="D2621" t="s">
        <v>22</v>
      </c>
      <c r="E2621">
        <v>2</v>
      </c>
      <c r="F2621">
        <v>2016</v>
      </c>
      <c r="G2621">
        <v>198.26</v>
      </c>
      <c r="H2621">
        <v>2023</v>
      </c>
      <c r="I2621" t="s">
        <v>23</v>
      </c>
      <c r="J2621" s="4">
        <v>9.8343253968253996E-2</v>
      </c>
      <c r="K2621" t="s">
        <v>40</v>
      </c>
      <c r="L2621" t="s">
        <v>59</v>
      </c>
      <c r="M2621">
        <v>4</v>
      </c>
      <c r="N2621" t="s">
        <v>62</v>
      </c>
    </row>
    <row r="2622" spans="1:14" x14ac:dyDescent="0.3">
      <c r="A2622" s="1">
        <v>45036</v>
      </c>
      <c r="B2622" t="s">
        <v>35</v>
      </c>
      <c r="C2622" t="s">
        <v>33</v>
      </c>
      <c r="D2622" t="s">
        <v>12</v>
      </c>
      <c r="E2622">
        <v>4</v>
      </c>
      <c r="F2622">
        <v>4740</v>
      </c>
      <c r="G2622">
        <v>746.77</v>
      </c>
      <c r="H2622">
        <v>2023</v>
      </c>
      <c r="I2622" t="s">
        <v>23</v>
      </c>
      <c r="J2622" s="4">
        <v>0.15754641350210999</v>
      </c>
      <c r="K2622" t="s">
        <v>40</v>
      </c>
      <c r="L2622" t="s">
        <v>59</v>
      </c>
      <c r="M2622">
        <v>4</v>
      </c>
      <c r="N2622" t="s">
        <v>62</v>
      </c>
    </row>
    <row r="2623" spans="1:14" x14ac:dyDescent="0.3">
      <c r="A2623" s="1">
        <v>45265</v>
      </c>
      <c r="B2623" t="s">
        <v>35</v>
      </c>
      <c r="C2623" t="s">
        <v>33</v>
      </c>
      <c r="D2623" t="s">
        <v>17</v>
      </c>
      <c r="E2623">
        <v>4</v>
      </c>
      <c r="F2623">
        <v>4716</v>
      </c>
      <c r="G2623">
        <v>704.99</v>
      </c>
      <c r="H2623">
        <v>2023</v>
      </c>
      <c r="I2623" t="s">
        <v>13</v>
      </c>
      <c r="J2623" s="4">
        <v>0.149488973706531</v>
      </c>
      <c r="K2623" t="s">
        <v>40</v>
      </c>
      <c r="L2623" t="s">
        <v>52</v>
      </c>
      <c r="M2623">
        <v>12</v>
      </c>
      <c r="N2623" t="s">
        <v>53</v>
      </c>
    </row>
    <row r="2624" spans="1:14" x14ac:dyDescent="0.3">
      <c r="A2624" s="1">
        <v>45228</v>
      </c>
      <c r="B2624" t="s">
        <v>35</v>
      </c>
      <c r="C2624" t="s">
        <v>33</v>
      </c>
      <c r="D2624" t="s">
        <v>19</v>
      </c>
      <c r="E2624">
        <v>2</v>
      </c>
      <c r="F2624">
        <v>1018</v>
      </c>
      <c r="G2624">
        <v>297.20999999999998</v>
      </c>
      <c r="H2624">
        <v>2023</v>
      </c>
      <c r="I2624" t="s">
        <v>14</v>
      </c>
      <c r="J2624" s="4">
        <v>0.291954813359528</v>
      </c>
      <c r="K2624" t="s">
        <v>40</v>
      </c>
      <c r="L2624" t="s">
        <v>52</v>
      </c>
      <c r="M2624">
        <v>10</v>
      </c>
      <c r="N2624" t="s">
        <v>54</v>
      </c>
    </row>
    <row r="2625" spans="1:14" x14ac:dyDescent="0.3">
      <c r="A2625" s="1">
        <v>45045</v>
      </c>
      <c r="B2625" t="s">
        <v>35</v>
      </c>
      <c r="C2625" t="s">
        <v>33</v>
      </c>
      <c r="D2625" t="s">
        <v>12</v>
      </c>
      <c r="E2625">
        <v>6</v>
      </c>
      <c r="F2625">
        <v>6102</v>
      </c>
      <c r="G2625">
        <v>364.82</v>
      </c>
      <c r="H2625">
        <v>2023</v>
      </c>
      <c r="I2625" t="s">
        <v>23</v>
      </c>
      <c r="J2625" s="4">
        <v>5.9786955096689597E-2</v>
      </c>
      <c r="K2625" t="s">
        <v>40</v>
      </c>
      <c r="L2625" t="s">
        <v>59</v>
      </c>
      <c r="M2625">
        <v>4</v>
      </c>
      <c r="N2625" t="s">
        <v>62</v>
      </c>
    </row>
    <row r="2626" spans="1:14" x14ac:dyDescent="0.3">
      <c r="A2626" s="1">
        <v>45148</v>
      </c>
      <c r="B2626" t="s">
        <v>35</v>
      </c>
      <c r="C2626" t="s">
        <v>33</v>
      </c>
      <c r="D2626" t="s">
        <v>12</v>
      </c>
      <c r="E2626">
        <v>6</v>
      </c>
      <c r="F2626">
        <v>720</v>
      </c>
      <c r="G2626">
        <v>144.26</v>
      </c>
      <c r="H2626">
        <v>2023</v>
      </c>
      <c r="I2626" t="s">
        <v>24</v>
      </c>
      <c r="J2626" s="4">
        <v>0.20036111111111099</v>
      </c>
      <c r="K2626" t="s">
        <v>40</v>
      </c>
      <c r="L2626" t="s">
        <v>60</v>
      </c>
      <c r="M2626">
        <v>8</v>
      </c>
      <c r="N2626" t="s">
        <v>63</v>
      </c>
    </row>
    <row r="2627" spans="1:14" x14ac:dyDescent="0.3">
      <c r="A2627" s="1">
        <v>44964</v>
      </c>
      <c r="B2627" t="s">
        <v>35</v>
      </c>
      <c r="C2627" t="s">
        <v>33</v>
      </c>
      <c r="D2627" t="s">
        <v>19</v>
      </c>
      <c r="E2627">
        <v>3</v>
      </c>
      <c r="F2627">
        <v>2412</v>
      </c>
      <c r="G2627">
        <v>468.27</v>
      </c>
      <c r="H2627">
        <v>2023</v>
      </c>
      <c r="I2627" t="s">
        <v>16</v>
      </c>
      <c r="J2627" s="4">
        <v>0.194141791044776</v>
      </c>
      <c r="K2627" t="s">
        <v>40</v>
      </c>
      <c r="L2627" t="s">
        <v>55</v>
      </c>
      <c r="M2627">
        <v>2</v>
      </c>
      <c r="N2627" t="s">
        <v>57</v>
      </c>
    </row>
    <row r="2628" spans="1:14" x14ac:dyDescent="0.3">
      <c r="A2628" s="1">
        <v>44966</v>
      </c>
      <c r="B2628" t="s">
        <v>35</v>
      </c>
      <c r="C2628" t="s">
        <v>33</v>
      </c>
      <c r="D2628" t="s">
        <v>17</v>
      </c>
      <c r="E2628">
        <v>4</v>
      </c>
      <c r="F2628">
        <v>1088</v>
      </c>
      <c r="G2628">
        <v>283.61</v>
      </c>
      <c r="H2628">
        <v>2023</v>
      </c>
      <c r="I2628" t="s">
        <v>16</v>
      </c>
      <c r="J2628" s="4">
        <v>0.26067095588235301</v>
      </c>
      <c r="K2628" t="s">
        <v>40</v>
      </c>
      <c r="L2628" t="s">
        <v>55</v>
      </c>
      <c r="M2628">
        <v>2</v>
      </c>
      <c r="N2628" t="s">
        <v>57</v>
      </c>
    </row>
    <row r="2629" spans="1:14" x14ac:dyDescent="0.3">
      <c r="A2629" s="1">
        <v>45253</v>
      </c>
      <c r="B2629" t="s">
        <v>35</v>
      </c>
      <c r="C2629" t="s">
        <v>33</v>
      </c>
      <c r="D2629" t="s">
        <v>19</v>
      </c>
      <c r="E2629">
        <v>1</v>
      </c>
      <c r="F2629">
        <v>266</v>
      </c>
      <c r="G2629">
        <v>22.42</v>
      </c>
      <c r="H2629">
        <v>2023</v>
      </c>
      <c r="I2629" t="s">
        <v>18</v>
      </c>
      <c r="J2629" s="4">
        <v>8.4285714285714297E-2</v>
      </c>
      <c r="K2629" t="s">
        <v>40</v>
      </c>
      <c r="L2629" t="s">
        <v>52</v>
      </c>
      <c r="M2629">
        <v>11</v>
      </c>
      <c r="N2629" t="s">
        <v>58</v>
      </c>
    </row>
    <row r="2630" spans="1:14" x14ac:dyDescent="0.3">
      <c r="A2630" s="1">
        <v>45024</v>
      </c>
      <c r="B2630" t="s">
        <v>35</v>
      </c>
      <c r="C2630" t="s">
        <v>33</v>
      </c>
      <c r="D2630" t="s">
        <v>12</v>
      </c>
      <c r="E2630">
        <v>8</v>
      </c>
      <c r="F2630">
        <v>1176</v>
      </c>
      <c r="G2630">
        <v>313.58</v>
      </c>
      <c r="H2630">
        <v>2023</v>
      </c>
      <c r="I2630" t="s">
        <v>23</v>
      </c>
      <c r="J2630" s="4">
        <v>0.26664965986394601</v>
      </c>
      <c r="K2630" t="s">
        <v>40</v>
      </c>
      <c r="L2630" t="s">
        <v>59</v>
      </c>
      <c r="M2630">
        <v>4</v>
      </c>
      <c r="N2630" t="s">
        <v>62</v>
      </c>
    </row>
    <row r="2631" spans="1:14" x14ac:dyDescent="0.3">
      <c r="A2631" s="1">
        <v>45057</v>
      </c>
      <c r="B2631" t="s">
        <v>35</v>
      </c>
      <c r="C2631" t="s">
        <v>33</v>
      </c>
      <c r="D2631" t="s">
        <v>22</v>
      </c>
      <c r="E2631">
        <v>9</v>
      </c>
      <c r="F2631">
        <v>1125</v>
      </c>
      <c r="G2631">
        <v>138.49</v>
      </c>
      <c r="H2631">
        <v>2023</v>
      </c>
      <c r="I2631" t="s">
        <v>20</v>
      </c>
      <c r="J2631" s="4">
        <v>0.123102222222222</v>
      </c>
      <c r="K2631" t="s">
        <v>40</v>
      </c>
      <c r="L2631" t="s">
        <v>59</v>
      </c>
      <c r="M2631">
        <v>5</v>
      </c>
      <c r="N2631" t="s">
        <v>20</v>
      </c>
    </row>
    <row r="2632" spans="1:14" x14ac:dyDescent="0.3">
      <c r="A2632" s="1">
        <v>45219</v>
      </c>
      <c r="B2632" t="s">
        <v>35</v>
      </c>
      <c r="C2632" t="s">
        <v>33</v>
      </c>
      <c r="D2632" t="s">
        <v>19</v>
      </c>
      <c r="E2632">
        <v>8</v>
      </c>
      <c r="F2632">
        <v>2256</v>
      </c>
      <c r="G2632">
        <v>316.77</v>
      </c>
      <c r="H2632">
        <v>2023</v>
      </c>
      <c r="I2632" t="s">
        <v>14</v>
      </c>
      <c r="J2632" s="4">
        <v>0.14041223404255301</v>
      </c>
      <c r="K2632" t="s">
        <v>40</v>
      </c>
      <c r="L2632" t="s">
        <v>52</v>
      </c>
      <c r="M2632">
        <v>10</v>
      </c>
      <c r="N2632" t="s">
        <v>54</v>
      </c>
    </row>
    <row r="2633" spans="1:14" x14ac:dyDescent="0.3">
      <c r="A2633" s="1">
        <v>45194</v>
      </c>
      <c r="B2633" t="s">
        <v>35</v>
      </c>
      <c r="C2633" t="s">
        <v>33</v>
      </c>
      <c r="D2633" t="s">
        <v>22</v>
      </c>
      <c r="E2633">
        <v>6</v>
      </c>
      <c r="F2633">
        <v>6408</v>
      </c>
      <c r="G2633">
        <v>885.71</v>
      </c>
      <c r="H2633">
        <v>2023</v>
      </c>
      <c r="I2633" t="s">
        <v>21</v>
      </c>
      <c r="J2633" s="4">
        <v>0.13821941323345799</v>
      </c>
      <c r="K2633" t="s">
        <v>40</v>
      </c>
      <c r="L2633" t="s">
        <v>60</v>
      </c>
      <c r="M2633">
        <v>9</v>
      </c>
      <c r="N2633" t="s">
        <v>61</v>
      </c>
    </row>
    <row r="2634" spans="1:14" x14ac:dyDescent="0.3">
      <c r="A2634" s="1">
        <v>45185</v>
      </c>
      <c r="B2634" t="s">
        <v>35</v>
      </c>
      <c r="C2634" t="s">
        <v>33</v>
      </c>
      <c r="D2634" t="s">
        <v>17</v>
      </c>
      <c r="E2634">
        <v>5</v>
      </c>
      <c r="F2634">
        <v>1510</v>
      </c>
      <c r="G2634">
        <v>331.76</v>
      </c>
      <c r="H2634">
        <v>2023</v>
      </c>
      <c r="I2634" t="s">
        <v>21</v>
      </c>
      <c r="J2634" s="4">
        <v>0.219708609271523</v>
      </c>
      <c r="K2634" t="s">
        <v>40</v>
      </c>
      <c r="L2634" t="s">
        <v>60</v>
      </c>
      <c r="M2634">
        <v>9</v>
      </c>
      <c r="N2634" t="s">
        <v>61</v>
      </c>
    </row>
    <row r="2635" spans="1:14" x14ac:dyDescent="0.3">
      <c r="A2635" s="1">
        <v>45002</v>
      </c>
      <c r="B2635" t="s">
        <v>35</v>
      </c>
      <c r="C2635" t="s">
        <v>33</v>
      </c>
      <c r="D2635" t="s">
        <v>17</v>
      </c>
      <c r="E2635">
        <v>1</v>
      </c>
      <c r="F2635">
        <v>947</v>
      </c>
      <c r="G2635">
        <v>77.209999999999994</v>
      </c>
      <c r="H2635">
        <v>2023</v>
      </c>
      <c r="I2635" t="s">
        <v>15</v>
      </c>
      <c r="J2635" s="4">
        <v>8.1531151003167907E-2</v>
      </c>
      <c r="K2635" t="s">
        <v>40</v>
      </c>
      <c r="L2635" t="s">
        <v>55</v>
      </c>
      <c r="M2635">
        <v>3</v>
      </c>
      <c r="N2635" t="s">
        <v>56</v>
      </c>
    </row>
    <row r="2636" spans="1:14" x14ac:dyDescent="0.3">
      <c r="A2636" s="1">
        <v>45101</v>
      </c>
      <c r="B2636" t="s">
        <v>35</v>
      </c>
      <c r="C2636" t="s">
        <v>33</v>
      </c>
      <c r="D2636" t="s">
        <v>22</v>
      </c>
      <c r="E2636">
        <v>5</v>
      </c>
      <c r="F2636">
        <v>725</v>
      </c>
      <c r="G2636">
        <v>77.91</v>
      </c>
      <c r="H2636">
        <v>2023</v>
      </c>
      <c r="I2636" t="s">
        <v>27</v>
      </c>
      <c r="J2636" s="4">
        <v>0.10746206896551699</v>
      </c>
      <c r="K2636" t="s">
        <v>40</v>
      </c>
      <c r="L2636" t="s">
        <v>59</v>
      </c>
      <c r="M2636">
        <v>6</v>
      </c>
      <c r="N2636" t="s">
        <v>66</v>
      </c>
    </row>
    <row r="2637" spans="1:14" x14ac:dyDescent="0.3">
      <c r="A2637" s="1">
        <v>45160</v>
      </c>
      <c r="B2637" t="s">
        <v>35</v>
      </c>
      <c r="C2637" t="s">
        <v>33</v>
      </c>
      <c r="D2637" t="s">
        <v>19</v>
      </c>
      <c r="E2637">
        <v>5</v>
      </c>
      <c r="F2637">
        <v>2495</v>
      </c>
      <c r="G2637">
        <v>164.56</v>
      </c>
      <c r="H2637">
        <v>2023</v>
      </c>
      <c r="I2637" t="s">
        <v>24</v>
      </c>
      <c r="J2637" s="4">
        <v>6.5955911823647295E-2</v>
      </c>
      <c r="K2637" t="s">
        <v>40</v>
      </c>
      <c r="L2637" t="s">
        <v>60</v>
      </c>
      <c r="M2637">
        <v>8</v>
      </c>
      <c r="N2637" t="s">
        <v>63</v>
      </c>
    </row>
    <row r="2638" spans="1:14" x14ac:dyDescent="0.3">
      <c r="A2638" s="1">
        <v>45081</v>
      </c>
      <c r="B2638" t="s">
        <v>35</v>
      </c>
      <c r="C2638" t="s">
        <v>33</v>
      </c>
      <c r="D2638" t="s">
        <v>17</v>
      </c>
      <c r="E2638">
        <v>2</v>
      </c>
      <c r="F2638">
        <v>1942</v>
      </c>
      <c r="G2638">
        <v>235.42</v>
      </c>
      <c r="H2638">
        <v>2023</v>
      </c>
      <c r="I2638" t="s">
        <v>27</v>
      </c>
      <c r="J2638" s="4">
        <v>0.121225540679712</v>
      </c>
      <c r="K2638" t="s">
        <v>40</v>
      </c>
      <c r="L2638" t="s">
        <v>59</v>
      </c>
      <c r="M2638">
        <v>6</v>
      </c>
      <c r="N2638" t="s">
        <v>66</v>
      </c>
    </row>
    <row r="2639" spans="1:14" x14ac:dyDescent="0.3">
      <c r="A2639" s="1">
        <v>45209</v>
      </c>
      <c r="B2639" t="s">
        <v>35</v>
      </c>
      <c r="C2639" t="s">
        <v>33</v>
      </c>
      <c r="D2639" t="s">
        <v>19</v>
      </c>
      <c r="E2639">
        <v>9</v>
      </c>
      <c r="F2639">
        <v>972</v>
      </c>
      <c r="G2639">
        <v>100</v>
      </c>
      <c r="H2639">
        <v>2023</v>
      </c>
      <c r="I2639" t="s">
        <v>14</v>
      </c>
      <c r="J2639" s="4">
        <v>0.102880658436214</v>
      </c>
      <c r="K2639" t="s">
        <v>40</v>
      </c>
      <c r="L2639" t="s">
        <v>52</v>
      </c>
      <c r="M2639">
        <v>10</v>
      </c>
      <c r="N2639" t="s">
        <v>54</v>
      </c>
    </row>
    <row r="2640" spans="1:14" x14ac:dyDescent="0.3">
      <c r="A2640" s="1">
        <v>45138</v>
      </c>
      <c r="B2640" t="s">
        <v>35</v>
      </c>
      <c r="C2640" t="s">
        <v>33</v>
      </c>
      <c r="D2640" t="s">
        <v>12</v>
      </c>
      <c r="E2640">
        <v>4</v>
      </c>
      <c r="F2640">
        <v>2828</v>
      </c>
      <c r="G2640">
        <v>539.42999999999995</v>
      </c>
      <c r="H2640">
        <v>2023</v>
      </c>
      <c r="I2640" t="s">
        <v>25</v>
      </c>
      <c r="J2640" s="4">
        <v>0.19074611032531799</v>
      </c>
      <c r="K2640" t="s">
        <v>40</v>
      </c>
      <c r="L2640" t="s">
        <v>60</v>
      </c>
      <c r="M2640">
        <v>7</v>
      </c>
      <c r="N2640" t="s">
        <v>64</v>
      </c>
    </row>
    <row r="2641" spans="1:14" x14ac:dyDescent="0.3">
      <c r="A2641" s="1">
        <v>44981</v>
      </c>
      <c r="B2641" t="s">
        <v>35</v>
      </c>
      <c r="C2641" t="s">
        <v>33</v>
      </c>
      <c r="D2641" t="s">
        <v>17</v>
      </c>
      <c r="E2641">
        <v>8</v>
      </c>
      <c r="F2641">
        <v>5312</v>
      </c>
      <c r="G2641">
        <v>841.13</v>
      </c>
      <c r="H2641">
        <v>2023</v>
      </c>
      <c r="I2641" t="s">
        <v>16</v>
      </c>
      <c r="J2641" s="4">
        <v>0.15834525602409599</v>
      </c>
      <c r="K2641" t="s">
        <v>40</v>
      </c>
      <c r="L2641" t="s">
        <v>55</v>
      </c>
      <c r="M2641">
        <v>2</v>
      </c>
      <c r="N2641" t="s">
        <v>57</v>
      </c>
    </row>
    <row r="2642" spans="1:14" x14ac:dyDescent="0.3">
      <c r="A2642" s="1">
        <v>45225</v>
      </c>
      <c r="B2642" t="s">
        <v>35</v>
      </c>
      <c r="C2642" t="s">
        <v>33</v>
      </c>
      <c r="D2642" t="s">
        <v>22</v>
      </c>
      <c r="E2642">
        <v>5</v>
      </c>
      <c r="F2642">
        <v>875</v>
      </c>
      <c r="G2642">
        <v>70.72</v>
      </c>
      <c r="H2642">
        <v>2023</v>
      </c>
      <c r="I2642" t="s">
        <v>14</v>
      </c>
      <c r="J2642" s="4">
        <v>8.0822857142857099E-2</v>
      </c>
      <c r="K2642" t="s">
        <v>40</v>
      </c>
      <c r="L2642" t="s">
        <v>52</v>
      </c>
      <c r="M2642">
        <v>10</v>
      </c>
      <c r="N2642" t="s">
        <v>54</v>
      </c>
    </row>
    <row r="2643" spans="1:14" x14ac:dyDescent="0.3">
      <c r="A2643" s="1">
        <v>45189</v>
      </c>
      <c r="B2643" t="s">
        <v>35</v>
      </c>
      <c r="C2643" t="s">
        <v>33</v>
      </c>
      <c r="D2643" t="s">
        <v>17</v>
      </c>
      <c r="E2643">
        <v>2</v>
      </c>
      <c r="F2643">
        <v>490</v>
      </c>
      <c r="G2643">
        <v>45.34</v>
      </c>
      <c r="H2643">
        <v>2023</v>
      </c>
      <c r="I2643" t="s">
        <v>21</v>
      </c>
      <c r="J2643" s="4">
        <v>9.2530612244898003E-2</v>
      </c>
      <c r="K2643" t="s">
        <v>40</v>
      </c>
      <c r="L2643" t="s">
        <v>60</v>
      </c>
      <c r="M2643">
        <v>9</v>
      </c>
      <c r="N2643" t="s">
        <v>61</v>
      </c>
    </row>
    <row r="2644" spans="1:14" x14ac:dyDescent="0.3">
      <c r="A2644" s="1">
        <v>45015</v>
      </c>
      <c r="B2644" t="s">
        <v>35</v>
      </c>
      <c r="C2644" t="s">
        <v>33</v>
      </c>
      <c r="D2644" t="s">
        <v>22</v>
      </c>
      <c r="E2644">
        <v>8</v>
      </c>
      <c r="F2644">
        <v>2960</v>
      </c>
      <c r="G2644">
        <v>878.11</v>
      </c>
      <c r="H2644">
        <v>2023</v>
      </c>
      <c r="I2644" t="s">
        <v>15</v>
      </c>
      <c r="J2644" s="4">
        <v>0.29665878378378402</v>
      </c>
      <c r="K2644" t="s">
        <v>40</v>
      </c>
      <c r="L2644" t="s">
        <v>55</v>
      </c>
      <c r="M2644">
        <v>3</v>
      </c>
      <c r="N2644" t="s">
        <v>56</v>
      </c>
    </row>
    <row r="2645" spans="1:14" x14ac:dyDescent="0.3">
      <c r="A2645" s="1">
        <v>45122</v>
      </c>
      <c r="B2645" t="s">
        <v>35</v>
      </c>
      <c r="C2645" t="s">
        <v>33</v>
      </c>
      <c r="D2645" t="s">
        <v>12</v>
      </c>
      <c r="E2645">
        <v>9</v>
      </c>
      <c r="F2645">
        <v>6309</v>
      </c>
      <c r="G2645">
        <v>801.15</v>
      </c>
      <c r="H2645">
        <v>2023</v>
      </c>
      <c r="I2645" t="s">
        <v>25</v>
      </c>
      <c r="J2645" s="4">
        <v>0.12698525915358999</v>
      </c>
      <c r="K2645" t="s">
        <v>40</v>
      </c>
      <c r="L2645" t="s">
        <v>60</v>
      </c>
      <c r="M2645">
        <v>7</v>
      </c>
      <c r="N2645" t="s">
        <v>64</v>
      </c>
    </row>
    <row r="2646" spans="1:14" x14ac:dyDescent="0.3">
      <c r="A2646" s="1">
        <v>45146</v>
      </c>
      <c r="B2646" t="s">
        <v>35</v>
      </c>
      <c r="C2646" t="s">
        <v>33</v>
      </c>
      <c r="D2646" t="s">
        <v>17</v>
      </c>
      <c r="E2646">
        <v>8</v>
      </c>
      <c r="F2646">
        <v>3400</v>
      </c>
      <c r="G2646">
        <v>758.57</v>
      </c>
      <c r="H2646">
        <v>2023</v>
      </c>
      <c r="I2646" t="s">
        <v>24</v>
      </c>
      <c r="J2646" s="4">
        <v>0.223108823529412</v>
      </c>
      <c r="K2646" t="s">
        <v>40</v>
      </c>
      <c r="L2646" t="s">
        <v>60</v>
      </c>
      <c r="M2646">
        <v>8</v>
      </c>
      <c r="N2646" t="s">
        <v>63</v>
      </c>
    </row>
    <row r="2647" spans="1:14" x14ac:dyDescent="0.3">
      <c r="A2647" s="1">
        <v>45167</v>
      </c>
      <c r="B2647" t="s">
        <v>35</v>
      </c>
      <c r="C2647" t="s">
        <v>33</v>
      </c>
      <c r="D2647" t="s">
        <v>22</v>
      </c>
      <c r="E2647">
        <v>5</v>
      </c>
      <c r="F2647">
        <v>5275</v>
      </c>
      <c r="G2647">
        <v>594.29</v>
      </c>
      <c r="H2647">
        <v>2023</v>
      </c>
      <c r="I2647" t="s">
        <v>24</v>
      </c>
      <c r="J2647" s="4">
        <v>0.112661611374408</v>
      </c>
      <c r="K2647" t="s">
        <v>40</v>
      </c>
      <c r="L2647" t="s">
        <v>60</v>
      </c>
      <c r="M2647">
        <v>8</v>
      </c>
      <c r="N2647" t="s">
        <v>63</v>
      </c>
    </row>
    <row r="2648" spans="1:14" x14ac:dyDescent="0.3">
      <c r="A2648" s="1">
        <v>45195</v>
      </c>
      <c r="B2648" t="s">
        <v>35</v>
      </c>
      <c r="C2648" t="s">
        <v>33</v>
      </c>
      <c r="D2648" t="s">
        <v>19</v>
      </c>
      <c r="E2648">
        <v>8</v>
      </c>
      <c r="F2648">
        <v>4800</v>
      </c>
      <c r="G2648">
        <v>606.19000000000005</v>
      </c>
      <c r="H2648">
        <v>2023</v>
      </c>
      <c r="I2648" t="s">
        <v>21</v>
      </c>
      <c r="J2648" s="4">
        <v>0.12628958333333301</v>
      </c>
      <c r="K2648" t="s">
        <v>40</v>
      </c>
      <c r="L2648" t="s">
        <v>60</v>
      </c>
      <c r="M2648">
        <v>9</v>
      </c>
      <c r="N2648" t="s">
        <v>61</v>
      </c>
    </row>
    <row r="2649" spans="1:14" x14ac:dyDescent="0.3">
      <c r="A2649" s="1">
        <v>45274</v>
      </c>
      <c r="B2649" t="s">
        <v>35</v>
      </c>
      <c r="C2649" t="s">
        <v>33</v>
      </c>
      <c r="D2649" t="s">
        <v>19</v>
      </c>
      <c r="E2649">
        <v>4</v>
      </c>
      <c r="F2649">
        <v>1720</v>
      </c>
      <c r="G2649">
        <v>360.78</v>
      </c>
      <c r="H2649">
        <v>2023</v>
      </c>
      <c r="I2649" t="s">
        <v>13</v>
      </c>
      <c r="J2649" s="4">
        <v>0.209755813953488</v>
      </c>
      <c r="K2649" t="s">
        <v>40</v>
      </c>
      <c r="L2649" t="s">
        <v>52</v>
      </c>
      <c r="M2649">
        <v>12</v>
      </c>
      <c r="N2649" t="s">
        <v>53</v>
      </c>
    </row>
    <row r="2650" spans="1:14" x14ac:dyDescent="0.3">
      <c r="A2650" s="1">
        <v>45193</v>
      </c>
      <c r="B2650" t="s">
        <v>35</v>
      </c>
      <c r="C2650" t="s">
        <v>33</v>
      </c>
      <c r="D2650" t="s">
        <v>22</v>
      </c>
      <c r="E2650">
        <v>5</v>
      </c>
      <c r="F2650">
        <v>4265</v>
      </c>
      <c r="G2650">
        <v>796.12</v>
      </c>
      <c r="H2650">
        <v>2023</v>
      </c>
      <c r="I2650" t="s">
        <v>21</v>
      </c>
      <c r="J2650" s="4">
        <v>0.186663540445487</v>
      </c>
      <c r="K2650" t="s">
        <v>40</v>
      </c>
      <c r="L2650" t="s">
        <v>60</v>
      </c>
      <c r="M2650">
        <v>9</v>
      </c>
      <c r="N2650" t="s">
        <v>61</v>
      </c>
    </row>
    <row r="2651" spans="1:14" x14ac:dyDescent="0.3">
      <c r="A2651" s="1">
        <v>45188</v>
      </c>
      <c r="B2651" t="s">
        <v>35</v>
      </c>
      <c r="C2651" t="s">
        <v>33</v>
      </c>
      <c r="D2651" t="s">
        <v>19</v>
      </c>
      <c r="E2651">
        <v>9</v>
      </c>
      <c r="F2651">
        <v>6741</v>
      </c>
      <c r="G2651">
        <v>823.17</v>
      </c>
      <c r="H2651">
        <v>2023</v>
      </c>
      <c r="I2651" t="s">
        <v>21</v>
      </c>
      <c r="J2651" s="4">
        <v>0.122113929684023</v>
      </c>
      <c r="K2651" t="s">
        <v>40</v>
      </c>
      <c r="L2651" t="s">
        <v>60</v>
      </c>
      <c r="M2651">
        <v>9</v>
      </c>
      <c r="N2651" t="s">
        <v>61</v>
      </c>
    </row>
    <row r="2652" spans="1:14" x14ac:dyDescent="0.3">
      <c r="A2652" s="1">
        <v>45196</v>
      </c>
      <c r="B2652" t="s">
        <v>35</v>
      </c>
      <c r="C2652" t="s">
        <v>33</v>
      </c>
      <c r="D2652" t="s">
        <v>12</v>
      </c>
      <c r="E2652">
        <v>1</v>
      </c>
      <c r="F2652">
        <v>920</v>
      </c>
      <c r="G2652">
        <v>118.24</v>
      </c>
      <c r="H2652">
        <v>2023</v>
      </c>
      <c r="I2652" t="s">
        <v>21</v>
      </c>
      <c r="J2652" s="4">
        <v>0.12852173913043499</v>
      </c>
      <c r="K2652" t="s">
        <v>40</v>
      </c>
      <c r="L2652" t="s">
        <v>60</v>
      </c>
      <c r="M2652">
        <v>9</v>
      </c>
      <c r="N2652" t="s">
        <v>61</v>
      </c>
    </row>
    <row r="2653" spans="1:14" x14ac:dyDescent="0.3">
      <c r="A2653" s="1">
        <v>45027</v>
      </c>
      <c r="B2653" t="s">
        <v>35</v>
      </c>
      <c r="C2653" t="s">
        <v>33</v>
      </c>
      <c r="D2653" t="s">
        <v>19</v>
      </c>
      <c r="E2653">
        <v>8</v>
      </c>
      <c r="F2653">
        <v>5768</v>
      </c>
      <c r="G2653">
        <v>368.49</v>
      </c>
      <c r="H2653">
        <v>2023</v>
      </c>
      <c r="I2653" t="s">
        <v>23</v>
      </c>
      <c r="J2653" s="4">
        <v>6.3885228848821099E-2</v>
      </c>
      <c r="K2653" t="s">
        <v>40</v>
      </c>
      <c r="L2653" t="s">
        <v>59</v>
      </c>
      <c r="M2653">
        <v>4</v>
      </c>
      <c r="N2653" t="s">
        <v>62</v>
      </c>
    </row>
    <row r="2654" spans="1:14" x14ac:dyDescent="0.3">
      <c r="A2654" s="1">
        <v>45002</v>
      </c>
      <c r="B2654" t="s">
        <v>35</v>
      </c>
      <c r="C2654" t="s">
        <v>33</v>
      </c>
      <c r="D2654" t="s">
        <v>17</v>
      </c>
      <c r="E2654">
        <v>3</v>
      </c>
      <c r="F2654">
        <v>2118</v>
      </c>
      <c r="G2654">
        <v>321.05</v>
      </c>
      <c r="H2654">
        <v>2023</v>
      </c>
      <c r="I2654" t="s">
        <v>15</v>
      </c>
      <c r="J2654" s="4">
        <v>0.15158168083097301</v>
      </c>
      <c r="K2654" t="s">
        <v>40</v>
      </c>
      <c r="L2654" t="s">
        <v>55</v>
      </c>
      <c r="M2654">
        <v>3</v>
      </c>
      <c r="N2654" t="s">
        <v>56</v>
      </c>
    </row>
    <row r="2655" spans="1:14" x14ac:dyDescent="0.3">
      <c r="A2655" s="1">
        <v>45264</v>
      </c>
      <c r="B2655" t="s">
        <v>35</v>
      </c>
      <c r="C2655" t="s">
        <v>33</v>
      </c>
      <c r="D2655" t="s">
        <v>22</v>
      </c>
      <c r="E2655">
        <v>1</v>
      </c>
      <c r="F2655">
        <v>612</v>
      </c>
      <c r="G2655">
        <v>136.25</v>
      </c>
      <c r="H2655">
        <v>2023</v>
      </c>
      <c r="I2655" t="s">
        <v>13</v>
      </c>
      <c r="J2655" s="4">
        <v>0.22263071895424799</v>
      </c>
      <c r="K2655" t="s">
        <v>40</v>
      </c>
      <c r="L2655" t="s">
        <v>52</v>
      </c>
      <c r="M2655">
        <v>12</v>
      </c>
      <c r="N2655" t="s">
        <v>53</v>
      </c>
    </row>
    <row r="2656" spans="1:14" x14ac:dyDescent="0.3">
      <c r="A2656" s="1">
        <v>45103</v>
      </c>
      <c r="B2656" t="s">
        <v>35</v>
      </c>
      <c r="C2656" t="s">
        <v>33</v>
      </c>
      <c r="D2656" t="s">
        <v>17</v>
      </c>
      <c r="E2656">
        <v>8</v>
      </c>
      <c r="F2656">
        <v>984</v>
      </c>
      <c r="G2656">
        <v>72.540000000000006</v>
      </c>
      <c r="H2656">
        <v>2023</v>
      </c>
      <c r="I2656" t="s">
        <v>27</v>
      </c>
      <c r="J2656" s="4">
        <v>7.3719512195122003E-2</v>
      </c>
      <c r="K2656" t="s">
        <v>40</v>
      </c>
      <c r="L2656" t="s">
        <v>59</v>
      </c>
      <c r="M2656">
        <v>6</v>
      </c>
      <c r="N2656" t="s">
        <v>66</v>
      </c>
    </row>
    <row r="2657" spans="1:14" x14ac:dyDescent="0.3">
      <c r="A2657" s="1">
        <v>45135</v>
      </c>
      <c r="B2657" t="s">
        <v>35</v>
      </c>
      <c r="C2657" t="s">
        <v>33</v>
      </c>
      <c r="D2657" t="s">
        <v>19</v>
      </c>
      <c r="E2657">
        <v>4</v>
      </c>
      <c r="F2657">
        <v>3628</v>
      </c>
      <c r="G2657">
        <v>717.81</v>
      </c>
      <c r="H2657">
        <v>2023</v>
      </c>
      <c r="I2657" t="s">
        <v>25</v>
      </c>
      <c r="J2657" s="4">
        <v>0.19785281146637301</v>
      </c>
      <c r="K2657" t="s">
        <v>40</v>
      </c>
      <c r="L2657" t="s">
        <v>60</v>
      </c>
      <c r="M2657">
        <v>7</v>
      </c>
      <c r="N2657" t="s">
        <v>64</v>
      </c>
    </row>
    <row r="2658" spans="1:14" x14ac:dyDescent="0.3">
      <c r="A2658" s="1">
        <v>44996</v>
      </c>
      <c r="B2658" t="s">
        <v>35</v>
      </c>
      <c r="C2658" t="s">
        <v>33</v>
      </c>
      <c r="D2658" t="s">
        <v>12</v>
      </c>
      <c r="E2658">
        <v>7</v>
      </c>
      <c r="F2658">
        <v>4347</v>
      </c>
      <c r="G2658">
        <v>712.79</v>
      </c>
      <c r="H2658">
        <v>2023</v>
      </c>
      <c r="I2658" t="s">
        <v>15</v>
      </c>
      <c r="J2658" s="4">
        <v>0.16397285484242</v>
      </c>
      <c r="K2658" t="s">
        <v>40</v>
      </c>
      <c r="L2658" t="s">
        <v>55</v>
      </c>
      <c r="M2658">
        <v>3</v>
      </c>
      <c r="N2658" t="s">
        <v>56</v>
      </c>
    </row>
    <row r="2659" spans="1:14" x14ac:dyDescent="0.3">
      <c r="A2659" s="1">
        <v>45277</v>
      </c>
      <c r="B2659" t="s">
        <v>35</v>
      </c>
      <c r="C2659" t="s">
        <v>33</v>
      </c>
      <c r="D2659" t="s">
        <v>19</v>
      </c>
      <c r="E2659">
        <v>1</v>
      </c>
      <c r="F2659">
        <v>190</v>
      </c>
      <c r="G2659">
        <v>27.43</v>
      </c>
      <c r="H2659">
        <v>2023</v>
      </c>
      <c r="I2659" t="s">
        <v>13</v>
      </c>
      <c r="J2659" s="4">
        <v>0.14436842105263201</v>
      </c>
      <c r="K2659" t="s">
        <v>40</v>
      </c>
      <c r="L2659" t="s">
        <v>52</v>
      </c>
      <c r="M2659">
        <v>12</v>
      </c>
      <c r="N2659" t="s">
        <v>53</v>
      </c>
    </row>
    <row r="2660" spans="1:14" x14ac:dyDescent="0.3">
      <c r="A2660" s="1">
        <v>45105</v>
      </c>
      <c r="B2660" t="s">
        <v>35</v>
      </c>
      <c r="C2660" t="s">
        <v>33</v>
      </c>
      <c r="D2660" t="s">
        <v>22</v>
      </c>
      <c r="E2660">
        <v>6</v>
      </c>
      <c r="F2660">
        <v>5718</v>
      </c>
      <c r="G2660">
        <v>1358.26</v>
      </c>
      <c r="H2660">
        <v>2023</v>
      </c>
      <c r="I2660" t="s">
        <v>27</v>
      </c>
      <c r="J2660" s="4">
        <v>0.237541098286114</v>
      </c>
      <c r="K2660" t="s">
        <v>40</v>
      </c>
      <c r="L2660" t="s">
        <v>59</v>
      </c>
      <c r="M2660">
        <v>6</v>
      </c>
      <c r="N2660" t="s">
        <v>66</v>
      </c>
    </row>
    <row r="2661" spans="1:14" x14ac:dyDescent="0.3">
      <c r="A2661" s="1">
        <v>45173</v>
      </c>
      <c r="B2661" t="s">
        <v>35</v>
      </c>
      <c r="C2661" t="s">
        <v>33</v>
      </c>
      <c r="D2661" t="s">
        <v>19</v>
      </c>
      <c r="E2661">
        <v>8</v>
      </c>
      <c r="F2661">
        <v>5888</v>
      </c>
      <c r="G2661">
        <v>354.27</v>
      </c>
      <c r="H2661">
        <v>2023</v>
      </c>
      <c r="I2661" t="s">
        <v>21</v>
      </c>
      <c r="J2661" s="4">
        <v>6.01681385869565E-2</v>
      </c>
      <c r="K2661" t="s">
        <v>40</v>
      </c>
      <c r="L2661" t="s">
        <v>60</v>
      </c>
      <c r="M2661">
        <v>9</v>
      </c>
      <c r="N2661" t="s">
        <v>61</v>
      </c>
    </row>
    <row r="2662" spans="1:14" x14ac:dyDescent="0.3">
      <c r="A2662" s="1">
        <v>45518</v>
      </c>
      <c r="B2662" t="s">
        <v>35</v>
      </c>
      <c r="C2662" t="s">
        <v>33</v>
      </c>
      <c r="D2662" t="s">
        <v>19</v>
      </c>
      <c r="E2662">
        <v>8</v>
      </c>
      <c r="F2662">
        <v>5912</v>
      </c>
      <c r="G2662">
        <v>1143.04</v>
      </c>
      <c r="H2662">
        <v>2024</v>
      </c>
      <c r="I2662" t="s">
        <v>24</v>
      </c>
      <c r="J2662" s="4">
        <v>0.19334235453315299</v>
      </c>
      <c r="K2662" t="s">
        <v>41</v>
      </c>
      <c r="L2662" t="s">
        <v>60</v>
      </c>
      <c r="M2662">
        <v>8</v>
      </c>
      <c r="N2662" t="s">
        <v>63</v>
      </c>
    </row>
    <row r="2663" spans="1:14" x14ac:dyDescent="0.3">
      <c r="A2663" s="1">
        <v>45627</v>
      </c>
      <c r="B2663" t="s">
        <v>35</v>
      </c>
      <c r="C2663" t="s">
        <v>33</v>
      </c>
      <c r="D2663" t="s">
        <v>22</v>
      </c>
      <c r="E2663">
        <v>5</v>
      </c>
      <c r="F2663">
        <v>3090</v>
      </c>
      <c r="G2663">
        <v>242.15</v>
      </c>
      <c r="H2663">
        <v>2024</v>
      </c>
      <c r="I2663" t="s">
        <v>13</v>
      </c>
      <c r="J2663" s="4">
        <v>7.8365695792880302E-2</v>
      </c>
      <c r="K2663" t="s">
        <v>41</v>
      </c>
      <c r="L2663" t="s">
        <v>52</v>
      </c>
      <c r="M2663">
        <v>12</v>
      </c>
      <c r="N2663" t="s">
        <v>53</v>
      </c>
    </row>
    <row r="2664" spans="1:14" x14ac:dyDescent="0.3">
      <c r="A2664" s="1">
        <v>45426</v>
      </c>
      <c r="B2664" t="s">
        <v>35</v>
      </c>
      <c r="C2664" t="s">
        <v>33</v>
      </c>
      <c r="D2664" t="s">
        <v>22</v>
      </c>
      <c r="E2664">
        <v>6</v>
      </c>
      <c r="F2664">
        <v>3396</v>
      </c>
      <c r="G2664">
        <v>914.17</v>
      </c>
      <c r="H2664">
        <v>2024</v>
      </c>
      <c r="I2664" t="s">
        <v>20</v>
      </c>
      <c r="J2664" s="4">
        <v>0.26919022379269703</v>
      </c>
      <c r="K2664" t="s">
        <v>41</v>
      </c>
      <c r="L2664" t="s">
        <v>59</v>
      </c>
      <c r="M2664">
        <v>5</v>
      </c>
      <c r="N2664" t="s">
        <v>20</v>
      </c>
    </row>
    <row r="2665" spans="1:14" x14ac:dyDescent="0.3">
      <c r="A2665" s="1">
        <v>45471</v>
      </c>
      <c r="B2665" t="s">
        <v>35</v>
      </c>
      <c r="C2665" t="s">
        <v>33</v>
      </c>
      <c r="D2665" t="s">
        <v>19</v>
      </c>
      <c r="E2665">
        <v>4</v>
      </c>
      <c r="F2665">
        <v>856</v>
      </c>
      <c r="G2665">
        <v>72.989999999999995</v>
      </c>
      <c r="H2665">
        <v>2024</v>
      </c>
      <c r="I2665" t="s">
        <v>27</v>
      </c>
      <c r="J2665" s="4">
        <v>8.5268691588785001E-2</v>
      </c>
      <c r="K2665" t="s">
        <v>41</v>
      </c>
      <c r="L2665" t="s">
        <v>59</v>
      </c>
      <c r="M2665">
        <v>6</v>
      </c>
      <c r="N2665" t="s">
        <v>66</v>
      </c>
    </row>
    <row r="2666" spans="1:14" x14ac:dyDescent="0.3">
      <c r="A2666" s="1">
        <v>45592</v>
      </c>
      <c r="B2666" t="s">
        <v>35</v>
      </c>
      <c r="C2666" t="s">
        <v>33</v>
      </c>
      <c r="D2666" t="s">
        <v>17</v>
      </c>
      <c r="E2666">
        <v>3</v>
      </c>
      <c r="F2666">
        <v>2991</v>
      </c>
      <c r="G2666">
        <v>716.54</v>
      </c>
      <c r="H2666">
        <v>2024</v>
      </c>
      <c r="I2666" t="s">
        <v>14</v>
      </c>
      <c r="J2666" s="4">
        <v>0.23956536275493101</v>
      </c>
      <c r="K2666" t="s">
        <v>41</v>
      </c>
      <c r="L2666" t="s">
        <v>52</v>
      </c>
      <c r="M2666">
        <v>10</v>
      </c>
      <c r="N2666" t="s">
        <v>54</v>
      </c>
    </row>
    <row r="2667" spans="1:14" x14ac:dyDescent="0.3">
      <c r="A2667" s="1">
        <v>45624</v>
      </c>
      <c r="B2667" t="s">
        <v>35</v>
      </c>
      <c r="C2667" t="s">
        <v>33</v>
      </c>
      <c r="D2667" t="s">
        <v>17</v>
      </c>
      <c r="E2667">
        <v>9</v>
      </c>
      <c r="F2667">
        <v>3591</v>
      </c>
      <c r="G2667">
        <v>342.18</v>
      </c>
      <c r="H2667">
        <v>2024</v>
      </c>
      <c r="I2667" t="s">
        <v>18</v>
      </c>
      <c r="J2667" s="4">
        <v>9.5288220551378394E-2</v>
      </c>
      <c r="K2667" t="s">
        <v>41</v>
      </c>
      <c r="L2667" t="s">
        <v>52</v>
      </c>
      <c r="M2667">
        <v>11</v>
      </c>
      <c r="N2667" t="s">
        <v>58</v>
      </c>
    </row>
    <row r="2668" spans="1:14" x14ac:dyDescent="0.3">
      <c r="A2668" s="1">
        <v>45448</v>
      </c>
      <c r="B2668" t="s">
        <v>35</v>
      </c>
      <c r="C2668" t="s">
        <v>33</v>
      </c>
      <c r="D2668" t="s">
        <v>22</v>
      </c>
      <c r="E2668">
        <v>6</v>
      </c>
      <c r="F2668">
        <v>3648</v>
      </c>
      <c r="G2668">
        <v>1050.08</v>
      </c>
      <c r="H2668">
        <v>2024</v>
      </c>
      <c r="I2668" t="s">
        <v>27</v>
      </c>
      <c r="J2668" s="4">
        <v>0.28785087719298202</v>
      </c>
      <c r="K2668" t="s">
        <v>41</v>
      </c>
      <c r="L2668" t="s">
        <v>59</v>
      </c>
      <c r="M2668">
        <v>6</v>
      </c>
      <c r="N2668" t="s">
        <v>66</v>
      </c>
    </row>
    <row r="2669" spans="1:14" x14ac:dyDescent="0.3">
      <c r="A2669" s="1">
        <v>45354</v>
      </c>
      <c r="B2669" t="s">
        <v>35</v>
      </c>
      <c r="C2669" t="s">
        <v>33</v>
      </c>
      <c r="D2669" t="s">
        <v>17</v>
      </c>
      <c r="E2669">
        <v>2</v>
      </c>
      <c r="F2669">
        <v>630</v>
      </c>
      <c r="G2669">
        <v>161.04</v>
      </c>
      <c r="H2669">
        <v>2024</v>
      </c>
      <c r="I2669" t="s">
        <v>15</v>
      </c>
      <c r="J2669" s="4">
        <v>0.25561904761904802</v>
      </c>
      <c r="K2669" t="s">
        <v>41</v>
      </c>
      <c r="L2669" t="s">
        <v>55</v>
      </c>
      <c r="M2669">
        <v>3</v>
      </c>
      <c r="N2669" t="s">
        <v>56</v>
      </c>
    </row>
    <row r="2670" spans="1:14" x14ac:dyDescent="0.3">
      <c r="A2670" s="1">
        <v>45381</v>
      </c>
      <c r="B2670" t="s">
        <v>35</v>
      </c>
      <c r="C2670" t="s">
        <v>33</v>
      </c>
      <c r="D2670" t="s">
        <v>17</v>
      </c>
      <c r="E2670">
        <v>7</v>
      </c>
      <c r="F2670">
        <v>5838</v>
      </c>
      <c r="G2670">
        <v>631.45000000000005</v>
      </c>
      <c r="H2670">
        <v>2024</v>
      </c>
      <c r="I2670" t="s">
        <v>15</v>
      </c>
      <c r="J2670" s="4">
        <v>0.108162041795135</v>
      </c>
      <c r="K2670" t="s">
        <v>41</v>
      </c>
      <c r="L2670" t="s">
        <v>55</v>
      </c>
      <c r="M2670">
        <v>3</v>
      </c>
      <c r="N2670" t="s">
        <v>56</v>
      </c>
    </row>
    <row r="2671" spans="1:14" x14ac:dyDescent="0.3">
      <c r="A2671" s="1">
        <v>45648</v>
      </c>
      <c r="B2671" t="s">
        <v>35</v>
      </c>
      <c r="C2671" t="s">
        <v>33</v>
      </c>
      <c r="D2671" t="s">
        <v>17</v>
      </c>
      <c r="E2671">
        <v>4</v>
      </c>
      <c r="F2671">
        <v>692</v>
      </c>
      <c r="G2671">
        <v>181.31</v>
      </c>
      <c r="H2671">
        <v>2024</v>
      </c>
      <c r="I2671" t="s">
        <v>13</v>
      </c>
      <c r="J2671" s="4">
        <v>0.26200867052023102</v>
      </c>
      <c r="K2671" t="s">
        <v>41</v>
      </c>
      <c r="L2671" t="s">
        <v>52</v>
      </c>
      <c r="M2671">
        <v>12</v>
      </c>
      <c r="N2671" t="s">
        <v>53</v>
      </c>
    </row>
    <row r="2672" spans="1:14" x14ac:dyDescent="0.3">
      <c r="A2672" s="1">
        <v>45543</v>
      </c>
      <c r="B2672" t="s">
        <v>35</v>
      </c>
      <c r="C2672" t="s">
        <v>33</v>
      </c>
      <c r="D2672" t="s">
        <v>22</v>
      </c>
      <c r="E2672">
        <v>3</v>
      </c>
      <c r="F2672">
        <v>1704</v>
      </c>
      <c r="G2672">
        <v>309.06</v>
      </c>
      <c r="H2672">
        <v>2024</v>
      </c>
      <c r="I2672" t="s">
        <v>21</v>
      </c>
      <c r="J2672" s="4">
        <v>0.18137323943662001</v>
      </c>
      <c r="K2672" t="s">
        <v>41</v>
      </c>
      <c r="L2672" t="s">
        <v>60</v>
      </c>
      <c r="M2672">
        <v>9</v>
      </c>
      <c r="N2672" t="s">
        <v>61</v>
      </c>
    </row>
    <row r="2673" spans="1:14" x14ac:dyDescent="0.3">
      <c r="A2673" s="1">
        <v>45392</v>
      </c>
      <c r="B2673" t="s">
        <v>35</v>
      </c>
      <c r="C2673" t="s">
        <v>33</v>
      </c>
      <c r="D2673" t="s">
        <v>12</v>
      </c>
      <c r="E2673">
        <v>7</v>
      </c>
      <c r="F2673">
        <v>1134</v>
      </c>
      <c r="G2673">
        <v>179.74</v>
      </c>
      <c r="H2673">
        <v>2024</v>
      </c>
      <c r="I2673" t="s">
        <v>23</v>
      </c>
      <c r="J2673" s="4">
        <v>0.15850088183421501</v>
      </c>
      <c r="K2673" t="s">
        <v>41</v>
      </c>
      <c r="L2673" t="s">
        <v>59</v>
      </c>
      <c r="M2673">
        <v>4</v>
      </c>
      <c r="N2673" t="s">
        <v>62</v>
      </c>
    </row>
    <row r="2674" spans="1:14" x14ac:dyDescent="0.3">
      <c r="A2674" s="1">
        <v>45487</v>
      </c>
      <c r="B2674" t="s">
        <v>35</v>
      </c>
      <c r="C2674" t="s">
        <v>33</v>
      </c>
      <c r="D2674" t="s">
        <v>12</v>
      </c>
      <c r="E2674">
        <v>8</v>
      </c>
      <c r="F2674">
        <v>8272</v>
      </c>
      <c r="G2674">
        <v>2391.88</v>
      </c>
      <c r="H2674">
        <v>2024</v>
      </c>
      <c r="I2674" t="s">
        <v>25</v>
      </c>
      <c r="J2674" s="4">
        <v>0.289153771760155</v>
      </c>
      <c r="K2674" t="s">
        <v>41</v>
      </c>
      <c r="L2674" t="s">
        <v>60</v>
      </c>
      <c r="M2674">
        <v>7</v>
      </c>
      <c r="N2674" t="s">
        <v>64</v>
      </c>
    </row>
    <row r="2675" spans="1:14" x14ac:dyDescent="0.3">
      <c r="A2675" s="1">
        <v>45436</v>
      </c>
      <c r="B2675" t="s">
        <v>35</v>
      </c>
      <c r="C2675" t="s">
        <v>33</v>
      </c>
      <c r="D2675" t="s">
        <v>17</v>
      </c>
      <c r="E2675">
        <v>8</v>
      </c>
      <c r="F2675">
        <v>5160</v>
      </c>
      <c r="G2675">
        <v>1057.4100000000001</v>
      </c>
      <c r="H2675">
        <v>2024</v>
      </c>
      <c r="I2675" t="s">
        <v>20</v>
      </c>
      <c r="J2675" s="4">
        <v>0.20492441860465099</v>
      </c>
      <c r="K2675" t="s">
        <v>41</v>
      </c>
      <c r="L2675" t="s">
        <v>59</v>
      </c>
      <c r="M2675">
        <v>5</v>
      </c>
      <c r="N2675" t="s">
        <v>20</v>
      </c>
    </row>
    <row r="2676" spans="1:14" x14ac:dyDescent="0.3">
      <c r="A2676" s="1">
        <v>45568</v>
      </c>
      <c r="B2676" t="s">
        <v>35</v>
      </c>
      <c r="C2676" t="s">
        <v>33</v>
      </c>
      <c r="D2676" t="s">
        <v>19</v>
      </c>
      <c r="E2676">
        <v>3</v>
      </c>
      <c r="F2676">
        <v>2889</v>
      </c>
      <c r="G2676">
        <v>604.45000000000005</v>
      </c>
      <c r="H2676">
        <v>2024</v>
      </c>
      <c r="I2676" t="s">
        <v>14</v>
      </c>
      <c r="J2676" s="4">
        <v>0.20922464520595399</v>
      </c>
      <c r="K2676" t="s">
        <v>41</v>
      </c>
      <c r="L2676" t="s">
        <v>52</v>
      </c>
      <c r="M2676">
        <v>10</v>
      </c>
      <c r="N2676" t="s">
        <v>54</v>
      </c>
    </row>
    <row r="2677" spans="1:14" x14ac:dyDescent="0.3">
      <c r="A2677" s="1">
        <v>45398</v>
      </c>
      <c r="B2677" t="s">
        <v>35</v>
      </c>
      <c r="C2677" t="s">
        <v>33</v>
      </c>
      <c r="D2677" t="s">
        <v>22</v>
      </c>
      <c r="E2677">
        <v>8</v>
      </c>
      <c r="F2677">
        <v>7056</v>
      </c>
      <c r="G2677">
        <v>538.48</v>
      </c>
      <c r="H2677">
        <v>2024</v>
      </c>
      <c r="I2677" t="s">
        <v>23</v>
      </c>
      <c r="J2677" s="4">
        <v>7.6315192743764207E-2</v>
      </c>
      <c r="K2677" t="s">
        <v>41</v>
      </c>
      <c r="L2677" t="s">
        <v>59</v>
      </c>
      <c r="M2677">
        <v>4</v>
      </c>
      <c r="N2677" t="s">
        <v>62</v>
      </c>
    </row>
    <row r="2678" spans="1:14" x14ac:dyDescent="0.3">
      <c r="A2678" s="1">
        <v>45471</v>
      </c>
      <c r="B2678" t="s">
        <v>35</v>
      </c>
      <c r="C2678" t="s">
        <v>33</v>
      </c>
      <c r="D2678" t="s">
        <v>12</v>
      </c>
      <c r="E2678">
        <v>6</v>
      </c>
      <c r="F2678">
        <v>6888</v>
      </c>
      <c r="G2678">
        <v>945.07</v>
      </c>
      <c r="H2678">
        <v>2024</v>
      </c>
      <c r="I2678" t="s">
        <v>27</v>
      </c>
      <c r="J2678" s="4">
        <v>0.137205284552846</v>
      </c>
      <c r="K2678" t="s">
        <v>41</v>
      </c>
      <c r="L2678" t="s">
        <v>59</v>
      </c>
      <c r="M2678">
        <v>6</v>
      </c>
      <c r="N2678" t="s">
        <v>66</v>
      </c>
    </row>
    <row r="2679" spans="1:14" x14ac:dyDescent="0.3">
      <c r="A2679" s="1">
        <v>45615</v>
      </c>
      <c r="B2679" t="s">
        <v>35</v>
      </c>
      <c r="C2679" t="s">
        <v>33</v>
      </c>
      <c r="D2679" t="s">
        <v>19</v>
      </c>
      <c r="E2679">
        <v>5</v>
      </c>
      <c r="F2679">
        <v>2285</v>
      </c>
      <c r="G2679">
        <v>279.89999999999998</v>
      </c>
      <c r="H2679">
        <v>2024</v>
      </c>
      <c r="I2679" t="s">
        <v>18</v>
      </c>
      <c r="J2679" s="4">
        <v>0.122494529540481</v>
      </c>
      <c r="K2679" t="s">
        <v>41</v>
      </c>
      <c r="L2679" t="s">
        <v>52</v>
      </c>
      <c r="M2679">
        <v>11</v>
      </c>
      <c r="N2679" t="s">
        <v>58</v>
      </c>
    </row>
    <row r="2680" spans="1:14" x14ac:dyDescent="0.3">
      <c r="A2680" s="1">
        <v>45411</v>
      </c>
      <c r="B2680" t="s">
        <v>35</v>
      </c>
      <c r="C2680" t="s">
        <v>33</v>
      </c>
      <c r="D2680" t="s">
        <v>12</v>
      </c>
      <c r="E2680">
        <v>7</v>
      </c>
      <c r="F2680">
        <v>5775</v>
      </c>
      <c r="G2680">
        <v>680.6</v>
      </c>
      <c r="H2680">
        <v>2024</v>
      </c>
      <c r="I2680" t="s">
        <v>23</v>
      </c>
      <c r="J2680" s="4">
        <v>0.117852813852814</v>
      </c>
      <c r="K2680" t="s">
        <v>41</v>
      </c>
      <c r="L2680" t="s">
        <v>59</v>
      </c>
      <c r="M2680">
        <v>4</v>
      </c>
      <c r="N2680" t="s">
        <v>62</v>
      </c>
    </row>
    <row r="2681" spans="1:14" x14ac:dyDescent="0.3">
      <c r="A2681" s="1">
        <v>45507</v>
      </c>
      <c r="B2681" t="s">
        <v>35</v>
      </c>
      <c r="C2681" t="s">
        <v>33</v>
      </c>
      <c r="D2681" t="s">
        <v>22</v>
      </c>
      <c r="E2681">
        <v>9</v>
      </c>
      <c r="F2681">
        <v>4572</v>
      </c>
      <c r="G2681">
        <v>279.54000000000002</v>
      </c>
      <c r="H2681">
        <v>2024</v>
      </c>
      <c r="I2681" t="s">
        <v>24</v>
      </c>
      <c r="J2681" s="4">
        <v>6.1141732283464603E-2</v>
      </c>
      <c r="K2681" t="s">
        <v>41</v>
      </c>
      <c r="L2681" t="s">
        <v>60</v>
      </c>
      <c r="M2681">
        <v>8</v>
      </c>
      <c r="N2681" t="s">
        <v>63</v>
      </c>
    </row>
    <row r="2682" spans="1:14" x14ac:dyDescent="0.3">
      <c r="A2682" s="1">
        <v>45315</v>
      </c>
      <c r="B2682" t="s">
        <v>35</v>
      </c>
      <c r="C2682" t="s">
        <v>33</v>
      </c>
      <c r="D2682" t="s">
        <v>22</v>
      </c>
      <c r="E2682">
        <v>1</v>
      </c>
      <c r="F2682">
        <v>1112</v>
      </c>
      <c r="G2682">
        <v>272.81</v>
      </c>
      <c r="H2682">
        <v>2024</v>
      </c>
      <c r="I2682" t="s">
        <v>26</v>
      </c>
      <c r="J2682" s="4">
        <v>0.24533273381295001</v>
      </c>
      <c r="K2682" t="s">
        <v>41</v>
      </c>
      <c r="L2682" t="s">
        <v>55</v>
      </c>
      <c r="M2682">
        <v>1</v>
      </c>
      <c r="N2682" t="s">
        <v>65</v>
      </c>
    </row>
    <row r="2683" spans="1:14" x14ac:dyDescent="0.3">
      <c r="A2683" s="1">
        <v>45394</v>
      </c>
      <c r="B2683" t="s">
        <v>35</v>
      </c>
      <c r="C2683" t="s">
        <v>33</v>
      </c>
      <c r="D2683" t="s">
        <v>19</v>
      </c>
      <c r="E2683">
        <v>8</v>
      </c>
      <c r="F2683">
        <v>3488</v>
      </c>
      <c r="G2683">
        <v>712.24</v>
      </c>
      <c r="H2683">
        <v>2024</v>
      </c>
      <c r="I2683" t="s">
        <v>23</v>
      </c>
      <c r="J2683" s="4">
        <v>0.204197247706422</v>
      </c>
      <c r="K2683" t="s">
        <v>41</v>
      </c>
      <c r="L2683" t="s">
        <v>59</v>
      </c>
      <c r="M2683">
        <v>4</v>
      </c>
      <c r="N2683" t="s">
        <v>62</v>
      </c>
    </row>
    <row r="2684" spans="1:14" x14ac:dyDescent="0.3">
      <c r="A2684" s="1">
        <v>45643</v>
      </c>
      <c r="B2684" t="s">
        <v>35</v>
      </c>
      <c r="C2684" t="s">
        <v>33</v>
      </c>
      <c r="D2684" t="s">
        <v>12</v>
      </c>
      <c r="E2684">
        <v>1</v>
      </c>
      <c r="F2684">
        <v>960</v>
      </c>
      <c r="G2684">
        <v>95.88</v>
      </c>
      <c r="H2684">
        <v>2024</v>
      </c>
      <c r="I2684" t="s">
        <v>13</v>
      </c>
      <c r="J2684" s="4">
        <v>9.9875000000000005E-2</v>
      </c>
      <c r="K2684" t="s">
        <v>41</v>
      </c>
      <c r="L2684" t="s">
        <v>52</v>
      </c>
      <c r="M2684">
        <v>12</v>
      </c>
      <c r="N2684" t="s">
        <v>53</v>
      </c>
    </row>
    <row r="2685" spans="1:14" x14ac:dyDescent="0.3">
      <c r="A2685" s="1">
        <v>45487</v>
      </c>
      <c r="B2685" t="s">
        <v>35</v>
      </c>
      <c r="C2685" t="s">
        <v>33</v>
      </c>
      <c r="D2685" t="s">
        <v>17</v>
      </c>
      <c r="E2685">
        <v>5</v>
      </c>
      <c r="F2685">
        <v>2600</v>
      </c>
      <c r="G2685">
        <v>537.11</v>
      </c>
      <c r="H2685">
        <v>2024</v>
      </c>
      <c r="I2685" t="s">
        <v>25</v>
      </c>
      <c r="J2685" s="4">
        <v>0.20658076923076901</v>
      </c>
      <c r="K2685" t="s">
        <v>41</v>
      </c>
      <c r="L2685" t="s">
        <v>60</v>
      </c>
      <c r="M2685">
        <v>7</v>
      </c>
      <c r="N2685" t="s">
        <v>64</v>
      </c>
    </row>
    <row r="2686" spans="1:14" x14ac:dyDescent="0.3">
      <c r="A2686" s="1">
        <v>45451</v>
      </c>
      <c r="B2686" t="s">
        <v>35</v>
      </c>
      <c r="C2686" t="s">
        <v>33</v>
      </c>
      <c r="D2686" t="s">
        <v>17</v>
      </c>
      <c r="E2686">
        <v>9</v>
      </c>
      <c r="F2686">
        <v>7542</v>
      </c>
      <c r="G2686">
        <v>1477.49</v>
      </c>
      <c r="H2686">
        <v>2024</v>
      </c>
      <c r="I2686" t="s">
        <v>27</v>
      </c>
      <c r="J2686" s="4">
        <v>0.19590161760806199</v>
      </c>
      <c r="K2686" t="s">
        <v>41</v>
      </c>
      <c r="L2686" t="s">
        <v>59</v>
      </c>
      <c r="M2686">
        <v>6</v>
      </c>
      <c r="N2686" t="s">
        <v>66</v>
      </c>
    </row>
    <row r="2687" spans="1:14" x14ac:dyDescent="0.3">
      <c r="A2687" s="1">
        <v>45353</v>
      </c>
      <c r="B2687" t="s">
        <v>35</v>
      </c>
      <c r="C2687" t="s">
        <v>33</v>
      </c>
      <c r="D2687" t="s">
        <v>19</v>
      </c>
      <c r="E2687">
        <v>2</v>
      </c>
      <c r="F2687">
        <v>1640</v>
      </c>
      <c r="G2687">
        <v>176.87</v>
      </c>
      <c r="H2687">
        <v>2024</v>
      </c>
      <c r="I2687" t="s">
        <v>15</v>
      </c>
      <c r="J2687" s="4">
        <v>0.10784756097561</v>
      </c>
      <c r="K2687" t="s">
        <v>41</v>
      </c>
      <c r="L2687" t="s">
        <v>55</v>
      </c>
      <c r="M2687">
        <v>3</v>
      </c>
      <c r="N2687" t="s">
        <v>56</v>
      </c>
    </row>
    <row r="2688" spans="1:14" x14ac:dyDescent="0.3">
      <c r="A2688" s="1">
        <v>45526</v>
      </c>
      <c r="B2688" t="s">
        <v>35</v>
      </c>
      <c r="C2688" t="s">
        <v>33</v>
      </c>
      <c r="D2688" t="s">
        <v>22</v>
      </c>
      <c r="E2688">
        <v>2</v>
      </c>
      <c r="F2688">
        <v>1934</v>
      </c>
      <c r="G2688">
        <v>157.41</v>
      </c>
      <c r="H2688">
        <v>2024</v>
      </c>
      <c r="I2688" t="s">
        <v>24</v>
      </c>
      <c r="J2688" s="4">
        <v>8.1390899689762194E-2</v>
      </c>
      <c r="K2688" t="s">
        <v>41</v>
      </c>
      <c r="L2688" t="s">
        <v>60</v>
      </c>
      <c r="M2688">
        <v>8</v>
      </c>
      <c r="N2688" t="s">
        <v>63</v>
      </c>
    </row>
    <row r="2689" spans="1:14" x14ac:dyDescent="0.3">
      <c r="A2689" s="1">
        <v>45391</v>
      </c>
      <c r="B2689" t="s">
        <v>35</v>
      </c>
      <c r="C2689" t="s">
        <v>33</v>
      </c>
      <c r="D2689" t="s">
        <v>22</v>
      </c>
      <c r="E2689">
        <v>3</v>
      </c>
      <c r="F2689">
        <v>1560</v>
      </c>
      <c r="G2689">
        <v>391.11</v>
      </c>
      <c r="H2689">
        <v>2024</v>
      </c>
      <c r="I2689" t="s">
        <v>23</v>
      </c>
      <c r="J2689" s="4">
        <v>0.25071153846153799</v>
      </c>
      <c r="K2689" t="s">
        <v>41</v>
      </c>
      <c r="L2689" t="s">
        <v>59</v>
      </c>
      <c r="M2689">
        <v>4</v>
      </c>
      <c r="N2689" t="s">
        <v>62</v>
      </c>
    </row>
    <row r="2690" spans="1:14" x14ac:dyDescent="0.3">
      <c r="A2690" s="1">
        <v>45493</v>
      </c>
      <c r="B2690" t="s">
        <v>35</v>
      </c>
      <c r="C2690" t="s">
        <v>33</v>
      </c>
      <c r="D2690" t="s">
        <v>17</v>
      </c>
      <c r="E2690">
        <v>6</v>
      </c>
      <c r="F2690">
        <v>4446</v>
      </c>
      <c r="G2690">
        <v>1217.8599999999999</v>
      </c>
      <c r="H2690">
        <v>2024</v>
      </c>
      <c r="I2690" t="s">
        <v>25</v>
      </c>
      <c r="J2690" s="4">
        <v>0.27392262708052201</v>
      </c>
      <c r="K2690" t="s">
        <v>41</v>
      </c>
      <c r="L2690" t="s">
        <v>60</v>
      </c>
      <c r="M2690">
        <v>7</v>
      </c>
      <c r="N2690" t="s">
        <v>64</v>
      </c>
    </row>
    <row r="2691" spans="1:14" x14ac:dyDescent="0.3">
      <c r="A2691" s="1">
        <v>45502</v>
      </c>
      <c r="B2691" t="s">
        <v>35</v>
      </c>
      <c r="C2691" t="s">
        <v>33</v>
      </c>
      <c r="D2691" t="s">
        <v>12</v>
      </c>
      <c r="E2691">
        <v>8</v>
      </c>
      <c r="F2691">
        <v>6224</v>
      </c>
      <c r="G2691">
        <v>790.27</v>
      </c>
      <c r="H2691">
        <v>2024</v>
      </c>
      <c r="I2691" t="s">
        <v>25</v>
      </c>
      <c r="J2691" s="4">
        <v>0.126971401028278</v>
      </c>
      <c r="K2691" t="s">
        <v>41</v>
      </c>
      <c r="L2691" t="s">
        <v>60</v>
      </c>
      <c r="M2691">
        <v>7</v>
      </c>
      <c r="N2691" t="s">
        <v>64</v>
      </c>
    </row>
    <row r="2692" spans="1:14" x14ac:dyDescent="0.3">
      <c r="A2692" s="1">
        <v>45548</v>
      </c>
      <c r="B2692" t="s">
        <v>35</v>
      </c>
      <c r="C2692" t="s">
        <v>33</v>
      </c>
      <c r="D2692" t="s">
        <v>17</v>
      </c>
      <c r="E2692">
        <v>9</v>
      </c>
      <c r="F2692">
        <v>2628</v>
      </c>
      <c r="G2692">
        <v>459.87</v>
      </c>
      <c r="H2692">
        <v>2024</v>
      </c>
      <c r="I2692" t="s">
        <v>21</v>
      </c>
      <c r="J2692" s="4">
        <v>0.17498858447488599</v>
      </c>
      <c r="K2692" t="s">
        <v>41</v>
      </c>
      <c r="L2692" t="s">
        <v>60</v>
      </c>
      <c r="M2692">
        <v>9</v>
      </c>
      <c r="N2692" t="s">
        <v>61</v>
      </c>
    </row>
    <row r="2693" spans="1:14" x14ac:dyDescent="0.3">
      <c r="A2693" s="1">
        <v>45624</v>
      </c>
      <c r="B2693" t="s">
        <v>35</v>
      </c>
      <c r="C2693" t="s">
        <v>33</v>
      </c>
      <c r="D2693" t="s">
        <v>17</v>
      </c>
      <c r="E2693">
        <v>5</v>
      </c>
      <c r="F2693">
        <v>1765</v>
      </c>
      <c r="G2693">
        <v>229.06</v>
      </c>
      <c r="H2693">
        <v>2024</v>
      </c>
      <c r="I2693" t="s">
        <v>18</v>
      </c>
      <c r="J2693" s="4">
        <v>0.12977903682719499</v>
      </c>
      <c r="K2693" t="s">
        <v>41</v>
      </c>
      <c r="L2693" t="s">
        <v>52</v>
      </c>
      <c r="M2693">
        <v>11</v>
      </c>
      <c r="N2693" t="s">
        <v>58</v>
      </c>
    </row>
    <row r="2694" spans="1:14" x14ac:dyDescent="0.3">
      <c r="A2694" s="1">
        <v>45352</v>
      </c>
      <c r="B2694" t="s">
        <v>35</v>
      </c>
      <c r="C2694" t="s">
        <v>33</v>
      </c>
      <c r="D2694" t="s">
        <v>17</v>
      </c>
      <c r="E2694">
        <v>8</v>
      </c>
      <c r="F2694">
        <v>6360</v>
      </c>
      <c r="G2694">
        <v>1871.88</v>
      </c>
      <c r="H2694">
        <v>2024</v>
      </c>
      <c r="I2694" t="s">
        <v>15</v>
      </c>
      <c r="J2694" s="4">
        <v>0.29432075471698099</v>
      </c>
      <c r="K2694" t="s">
        <v>41</v>
      </c>
      <c r="L2694" t="s">
        <v>55</v>
      </c>
      <c r="M2694">
        <v>3</v>
      </c>
      <c r="N2694" t="s">
        <v>56</v>
      </c>
    </row>
    <row r="2695" spans="1:14" x14ac:dyDescent="0.3">
      <c r="A2695" s="1">
        <v>45411</v>
      </c>
      <c r="B2695" t="s">
        <v>35</v>
      </c>
      <c r="C2695" t="s">
        <v>33</v>
      </c>
      <c r="D2695" t="s">
        <v>17</v>
      </c>
      <c r="E2695">
        <v>2</v>
      </c>
      <c r="F2695">
        <v>310</v>
      </c>
      <c r="G2695">
        <v>70.66</v>
      </c>
      <c r="H2695">
        <v>2024</v>
      </c>
      <c r="I2695" t="s">
        <v>23</v>
      </c>
      <c r="J2695" s="4">
        <v>0.22793548387096799</v>
      </c>
      <c r="K2695" t="s">
        <v>41</v>
      </c>
      <c r="L2695" t="s">
        <v>59</v>
      </c>
      <c r="M2695">
        <v>4</v>
      </c>
      <c r="N2695" t="s">
        <v>62</v>
      </c>
    </row>
    <row r="2696" spans="1:14" x14ac:dyDescent="0.3">
      <c r="A2696" s="1">
        <v>45435</v>
      </c>
      <c r="B2696" t="s">
        <v>35</v>
      </c>
      <c r="C2696" t="s">
        <v>33</v>
      </c>
      <c r="D2696" t="s">
        <v>17</v>
      </c>
      <c r="E2696">
        <v>8</v>
      </c>
      <c r="F2696">
        <v>3080</v>
      </c>
      <c r="G2696">
        <v>776.6</v>
      </c>
      <c r="H2696">
        <v>2024</v>
      </c>
      <c r="I2696" t="s">
        <v>20</v>
      </c>
      <c r="J2696" s="4">
        <v>0.252142857142857</v>
      </c>
      <c r="K2696" t="s">
        <v>41</v>
      </c>
      <c r="L2696" t="s">
        <v>59</v>
      </c>
      <c r="M2696">
        <v>5</v>
      </c>
      <c r="N2696" t="s">
        <v>20</v>
      </c>
    </row>
    <row r="2697" spans="1:14" x14ac:dyDescent="0.3">
      <c r="A2697" s="1">
        <v>45613</v>
      </c>
      <c r="B2697" t="s">
        <v>35</v>
      </c>
      <c r="C2697" t="s">
        <v>33</v>
      </c>
      <c r="D2697" t="s">
        <v>22</v>
      </c>
      <c r="E2697">
        <v>9</v>
      </c>
      <c r="F2697">
        <v>4302</v>
      </c>
      <c r="G2697">
        <v>475.96</v>
      </c>
      <c r="H2697">
        <v>2024</v>
      </c>
      <c r="I2697" t="s">
        <v>18</v>
      </c>
      <c r="J2697" s="4">
        <v>0.110636913063691</v>
      </c>
      <c r="K2697" t="s">
        <v>41</v>
      </c>
      <c r="L2697" t="s">
        <v>52</v>
      </c>
      <c r="M2697">
        <v>11</v>
      </c>
      <c r="N2697" t="s">
        <v>58</v>
      </c>
    </row>
    <row r="2698" spans="1:14" x14ac:dyDescent="0.3">
      <c r="A2698" s="1">
        <v>45425</v>
      </c>
      <c r="B2698" t="s">
        <v>35</v>
      </c>
      <c r="C2698" t="s">
        <v>33</v>
      </c>
      <c r="D2698" t="s">
        <v>22</v>
      </c>
      <c r="E2698">
        <v>5</v>
      </c>
      <c r="F2698">
        <v>4575</v>
      </c>
      <c r="G2698">
        <v>771.24</v>
      </c>
      <c r="H2698">
        <v>2024</v>
      </c>
      <c r="I2698" t="s">
        <v>20</v>
      </c>
      <c r="J2698" s="4">
        <v>0.16857704918032801</v>
      </c>
      <c r="K2698" t="s">
        <v>41</v>
      </c>
      <c r="L2698" t="s">
        <v>59</v>
      </c>
      <c r="M2698">
        <v>5</v>
      </c>
      <c r="N2698" t="s">
        <v>20</v>
      </c>
    </row>
    <row r="2699" spans="1:14" x14ac:dyDescent="0.3">
      <c r="A2699" s="1">
        <v>45415</v>
      </c>
      <c r="B2699" t="s">
        <v>35</v>
      </c>
      <c r="C2699" t="s">
        <v>33</v>
      </c>
      <c r="D2699" t="s">
        <v>22</v>
      </c>
      <c r="E2699">
        <v>4</v>
      </c>
      <c r="F2699">
        <v>3024</v>
      </c>
      <c r="G2699">
        <v>678.26</v>
      </c>
      <c r="H2699">
        <v>2024</v>
      </c>
      <c r="I2699" t="s">
        <v>20</v>
      </c>
      <c r="J2699" s="4">
        <v>0.22429232804232799</v>
      </c>
      <c r="K2699" t="s">
        <v>41</v>
      </c>
      <c r="L2699" t="s">
        <v>59</v>
      </c>
      <c r="M2699">
        <v>5</v>
      </c>
      <c r="N2699" t="s">
        <v>20</v>
      </c>
    </row>
    <row r="2700" spans="1:14" x14ac:dyDescent="0.3">
      <c r="A2700" s="1">
        <v>45319</v>
      </c>
      <c r="B2700" t="s">
        <v>35</v>
      </c>
      <c r="C2700" t="s">
        <v>33</v>
      </c>
      <c r="D2700" t="s">
        <v>19</v>
      </c>
      <c r="E2700">
        <v>3</v>
      </c>
      <c r="F2700">
        <v>2658</v>
      </c>
      <c r="G2700">
        <v>794.36</v>
      </c>
      <c r="H2700">
        <v>2024</v>
      </c>
      <c r="I2700" t="s">
        <v>26</v>
      </c>
      <c r="J2700" s="4">
        <v>0.29885628291948801</v>
      </c>
      <c r="K2700" t="s">
        <v>41</v>
      </c>
      <c r="L2700" t="s">
        <v>55</v>
      </c>
      <c r="M2700">
        <v>1</v>
      </c>
      <c r="N2700" t="s">
        <v>65</v>
      </c>
    </row>
    <row r="2701" spans="1:14" x14ac:dyDescent="0.3">
      <c r="A2701" s="1">
        <v>45614</v>
      </c>
      <c r="B2701" t="s">
        <v>35</v>
      </c>
      <c r="C2701" t="s">
        <v>33</v>
      </c>
      <c r="D2701" t="s">
        <v>17</v>
      </c>
      <c r="E2701">
        <v>2</v>
      </c>
      <c r="F2701">
        <v>116</v>
      </c>
      <c r="G2701">
        <v>13.67</v>
      </c>
      <c r="H2701">
        <v>2024</v>
      </c>
      <c r="I2701" t="s">
        <v>18</v>
      </c>
      <c r="J2701" s="4">
        <v>0.117844827586207</v>
      </c>
      <c r="K2701" t="s">
        <v>41</v>
      </c>
      <c r="L2701" t="s">
        <v>52</v>
      </c>
      <c r="M2701">
        <v>11</v>
      </c>
      <c r="N2701" t="s">
        <v>58</v>
      </c>
    </row>
    <row r="2702" spans="1:14" x14ac:dyDescent="0.3">
      <c r="A2702" s="1">
        <v>45453</v>
      </c>
      <c r="B2702" t="s">
        <v>35</v>
      </c>
      <c r="C2702" t="s">
        <v>33</v>
      </c>
      <c r="D2702" t="s">
        <v>22</v>
      </c>
      <c r="E2702">
        <v>6</v>
      </c>
      <c r="F2702">
        <v>3240</v>
      </c>
      <c r="G2702">
        <v>758.19</v>
      </c>
      <c r="H2702">
        <v>2024</v>
      </c>
      <c r="I2702" t="s">
        <v>27</v>
      </c>
      <c r="J2702" s="4">
        <v>0.234009259259259</v>
      </c>
      <c r="K2702" t="s">
        <v>41</v>
      </c>
      <c r="L2702" t="s">
        <v>59</v>
      </c>
      <c r="M2702">
        <v>6</v>
      </c>
      <c r="N2702" t="s">
        <v>66</v>
      </c>
    </row>
    <row r="2703" spans="1:14" x14ac:dyDescent="0.3">
      <c r="A2703" s="1">
        <v>45523</v>
      </c>
      <c r="B2703" t="s">
        <v>35</v>
      </c>
      <c r="C2703" t="s">
        <v>33</v>
      </c>
      <c r="D2703" t="s">
        <v>12</v>
      </c>
      <c r="E2703">
        <v>3</v>
      </c>
      <c r="F2703">
        <v>375</v>
      </c>
      <c r="G2703">
        <v>95.04</v>
      </c>
      <c r="H2703">
        <v>2024</v>
      </c>
      <c r="I2703" t="s">
        <v>24</v>
      </c>
      <c r="J2703" s="4">
        <v>0.25344</v>
      </c>
      <c r="K2703" t="s">
        <v>41</v>
      </c>
      <c r="L2703" t="s">
        <v>60</v>
      </c>
      <c r="M2703">
        <v>8</v>
      </c>
      <c r="N2703" t="s">
        <v>63</v>
      </c>
    </row>
    <row r="2704" spans="1:14" x14ac:dyDescent="0.3">
      <c r="A2704" s="1">
        <v>45503</v>
      </c>
      <c r="B2704" t="s">
        <v>35</v>
      </c>
      <c r="C2704" t="s">
        <v>33</v>
      </c>
      <c r="D2704" t="s">
        <v>12</v>
      </c>
      <c r="E2704">
        <v>2</v>
      </c>
      <c r="F2704">
        <v>1626</v>
      </c>
      <c r="G2704">
        <v>354.49</v>
      </c>
      <c r="H2704">
        <v>2024</v>
      </c>
      <c r="I2704" t="s">
        <v>25</v>
      </c>
      <c r="J2704" s="4">
        <v>0.218013530135301</v>
      </c>
      <c r="K2704" t="s">
        <v>41</v>
      </c>
      <c r="L2704" t="s">
        <v>60</v>
      </c>
      <c r="M2704">
        <v>7</v>
      </c>
      <c r="N2704" t="s">
        <v>64</v>
      </c>
    </row>
    <row r="2705" spans="1:14" x14ac:dyDescent="0.3">
      <c r="A2705" s="1">
        <v>45313</v>
      </c>
      <c r="B2705" t="s">
        <v>35</v>
      </c>
      <c r="C2705" t="s">
        <v>33</v>
      </c>
      <c r="D2705" t="s">
        <v>12</v>
      </c>
      <c r="E2705">
        <v>1</v>
      </c>
      <c r="F2705">
        <v>386</v>
      </c>
      <c r="G2705">
        <v>114.9</v>
      </c>
      <c r="H2705">
        <v>2024</v>
      </c>
      <c r="I2705" t="s">
        <v>26</v>
      </c>
      <c r="J2705" s="4">
        <v>0.29766839378238302</v>
      </c>
      <c r="K2705" t="s">
        <v>41</v>
      </c>
      <c r="L2705" t="s">
        <v>55</v>
      </c>
      <c r="M2705">
        <v>1</v>
      </c>
      <c r="N2705" t="s">
        <v>65</v>
      </c>
    </row>
    <row r="2706" spans="1:14" x14ac:dyDescent="0.3">
      <c r="A2706" s="1">
        <v>45437</v>
      </c>
      <c r="B2706" t="s">
        <v>35</v>
      </c>
      <c r="C2706" t="s">
        <v>33</v>
      </c>
      <c r="D2706" t="s">
        <v>22</v>
      </c>
      <c r="E2706">
        <v>2</v>
      </c>
      <c r="F2706">
        <v>2372</v>
      </c>
      <c r="G2706">
        <v>275.88</v>
      </c>
      <c r="H2706">
        <v>2024</v>
      </c>
      <c r="I2706" t="s">
        <v>20</v>
      </c>
      <c r="J2706" s="4">
        <v>0.116306913996627</v>
      </c>
      <c r="K2706" t="s">
        <v>41</v>
      </c>
      <c r="L2706" t="s">
        <v>59</v>
      </c>
      <c r="M2706">
        <v>5</v>
      </c>
      <c r="N2706" t="s">
        <v>20</v>
      </c>
    </row>
    <row r="2707" spans="1:14" x14ac:dyDescent="0.3">
      <c r="A2707" s="1">
        <v>45564</v>
      </c>
      <c r="B2707" t="s">
        <v>35</v>
      </c>
      <c r="C2707" t="s">
        <v>33</v>
      </c>
      <c r="D2707" t="s">
        <v>17</v>
      </c>
      <c r="E2707">
        <v>5</v>
      </c>
      <c r="F2707">
        <v>1130</v>
      </c>
      <c r="G2707">
        <v>254.99</v>
      </c>
      <c r="H2707">
        <v>2024</v>
      </c>
      <c r="I2707" t="s">
        <v>21</v>
      </c>
      <c r="J2707" s="4">
        <v>0.225654867256637</v>
      </c>
      <c r="K2707" t="s">
        <v>41</v>
      </c>
      <c r="L2707" t="s">
        <v>60</v>
      </c>
      <c r="M2707">
        <v>9</v>
      </c>
      <c r="N2707" t="s">
        <v>61</v>
      </c>
    </row>
    <row r="2708" spans="1:14" x14ac:dyDescent="0.3">
      <c r="A2708" s="1">
        <v>45386</v>
      </c>
      <c r="B2708" t="s">
        <v>35</v>
      </c>
      <c r="C2708" t="s">
        <v>33</v>
      </c>
      <c r="D2708" t="s">
        <v>19</v>
      </c>
      <c r="E2708">
        <v>1</v>
      </c>
      <c r="F2708">
        <v>607</v>
      </c>
      <c r="G2708">
        <v>79.78</v>
      </c>
      <c r="H2708">
        <v>2024</v>
      </c>
      <c r="I2708" t="s">
        <v>23</v>
      </c>
      <c r="J2708" s="4">
        <v>0.13143327841845101</v>
      </c>
      <c r="K2708" t="s">
        <v>41</v>
      </c>
      <c r="L2708" t="s">
        <v>59</v>
      </c>
      <c r="M2708">
        <v>4</v>
      </c>
      <c r="N2708" t="s">
        <v>62</v>
      </c>
    </row>
    <row r="2709" spans="1:14" x14ac:dyDescent="0.3">
      <c r="A2709" s="1">
        <v>45596</v>
      </c>
      <c r="B2709" t="s">
        <v>35</v>
      </c>
      <c r="C2709" t="s">
        <v>33</v>
      </c>
      <c r="D2709" t="s">
        <v>12</v>
      </c>
      <c r="E2709">
        <v>9</v>
      </c>
      <c r="F2709">
        <v>2853</v>
      </c>
      <c r="G2709">
        <v>564.04999999999995</v>
      </c>
      <c r="H2709">
        <v>2024</v>
      </c>
      <c r="I2709" t="s">
        <v>14</v>
      </c>
      <c r="J2709" s="4">
        <v>0.19770417104801999</v>
      </c>
      <c r="K2709" t="s">
        <v>41</v>
      </c>
      <c r="L2709" t="s">
        <v>52</v>
      </c>
      <c r="M2709">
        <v>10</v>
      </c>
      <c r="N2709" t="s">
        <v>54</v>
      </c>
    </row>
    <row r="2710" spans="1:14" x14ac:dyDescent="0.3">
      <c r="A2710" s="1">
        <v>45598</v>
      </c>
      <c r="B2710" t="s">
        <v>35</v>
      </c>
      <c r="C2710" t="s">
        <v>33</v>
      </c>
      <c r="D2710" t="s">
        <v>19</v>
      </c>
      <c r="E2710">
        <v>7</v>
      </c>
      <c r="F2710">
        <v>7252</v>
      </c>
      <c r="G2710">
        <v>1357.27</v>
      </c>
      <c r="H2710">
        <v>2024</v>
      </c>
      <c r="I2710" t="s">
        <v>18</v>
      </c>
      <c r="J2710" s="4">
        <v>0.18715802537231099</v>
      </c>
      <c r="K2710" t="s">
        <v>41</v>
      </c>
      <c r="L2710" t="s">
        <v>52</v>
      </c>
      <c r="M2710">
        <v>11</v>
      </c>
      <c r="N2710" t="s">
        <v>58</v>
      </c>
    </row>
    <row r="2711" spans="1:14" x14ac:dyDescent="0.3">
      <c r="A2711" s="1">
        <v>45525</v>
      </c>
      <c r="B2711" t="s">
        <v>35</v>
      </c>
      <c r="C2711" t="s">
        <v>33</v>
      </c>
      <c r="D2711" t="s">
        <v>17</v>
      </c>
      <c r="E2711">
        <v>2</v>
      </c>
      <c r="F2711">
        <v>1384</v>
      </c>
      <c r="G2711">
        <v>316.20999999999998</v>
      </c>
      <c r="H2711">
        <v>2024</v>
      </c>
      <c r="I2711" t="s">
        <v>24</v>
      </c>
      <c r="J2711" s="4">
        <v>0.22847543352601199</v>
      </c>
      <c r="K2711" t="s">
        <v>41</v>
      </c>
      <c r="L2711" t="s">
        <v>60</v>
      </c>
      <c r="M2711">
        <v>8</v>
      </c>
      <c r="N2711" t="s">
        <v>63</v>
      </c>
    </row>
    <row r="2712" spans="1:14" x14ac:dyDescent="0.3">
      <c r="A2712" s="1">
        <v>45487</v>
      </c>
      <c r="B2712" t="s">
        <v>35</v>
      </c>
      <c r="C2712" t="s">
        <v>33</v>
      </c>
      <c r="D2712" t="s">
        <v>19</v>
      </c>
      <c r="E2712">
        <v>6</v>
      </c>
      <c r="F2712">
        <v>2592</v>
      </c>
      <c r="G2712">
        <v>404.89</v>
      </c>
      <c r="H2712">
        <v>2024</v>
      </c>
      <c r="I2712" t="s">
        <v>25</v>
      </c>
      <c r="J2712" s="4">
        <v>0.15620756172839501</v>
      </c>
      <c r="K2712" t="s">
        <v>41</v>
      </c>
      <c r="L2712" t="s">
        <v>60</v>
      </c>
      <c r="M2712">
        <v>7</v>
      </c>
      <c r="N2712" t="s">
        <v>64</v>
      </c>
    </row>
    <row r="2713" spans="1:14" x14ac:dyDescent="0.3">
      <c r="A2713" s="1">
        <v>45461</v>
      </c>
      <c r="B2713" t="s">
        <v>35</v>
      </c>
      <c r="C2713" t="s">
        <v>33</v>
      </c>
      <c r="D2713" t="s">
        <v>22</v>
      </c>
      <c r="E2713">
        <v>7</v>
      </c>
      <c r="F2713">
        <v>2716</v>
      </c>
      <c r="G2713">
        <v>512.09</v>
      </c>
      <c r="H2713">
        <v>2024</v>
      </c>
      <c r="I2713" t="s">
        <v>27</v>
      </c>
      <c r="J2713" s="4">
        <v>0.18854565537555201</v>
      </c>
      <c r="K2713" t="s">
        <v>41</v>
      </c>
      <c r="L2713" t="s">
        <v>59</v>
      </c>
      <c r="M2713">
        <v>6</v>
      </c>
      <c r="N2713" t="s">
        <v>66</v>
      </c>
    </row>
    <row r="2714" spans="1:14" x14ac:dyDescent="0.3">
      <c r="A2714" s="1">
        <v>45477</v>
      </c>
      <c r="B2714" t="s">
        <v>35</v>
      </c>
      <c r="C2714" t="s">
        <v>33</v>
      </c>
      <c r="D2714" t="s">
        <v>19</v>
      </c>
      <c r="E2714">
        <v>6</v>
      </c>
      <c r="F2714">
        <v>2670</v>
      </c>
      <c r="G2714">
        <v>782.28</v>
      </c>
      <c r="H2714">
        <v>2024</v>
      </c>
      <c r="I2714" t="s">
        <v>25</v>
      </c>
      <c r="J2714" s="4">
        <v>0.29298876404494401</v>
      </c>
      <c r="K2714" t="s">
        <v>41</v>
      </c>
      <c r="L2714" t="s">
        <v>60</v>
      </c>
      <c r="M2714">
        <v>7</v>
      </c>
      <c r="N2714" t="s">
        <v>64</v>
      </c>
    </row>
    <row r="2715" spans="1:14" x14ac:dyDescent="0.3">
      <c r="A2715" s="1">
        <v>45358</v>
      </c>
      <c r="B2715" t="s">
        <v>35</v>
      </c>
      <c r="C2715" t="s">
        <v>33</v>
      </c>
      <c r="D2715" t="s">
        <v>19</v>
      </c>
      <c r="E2715">
        <v>3</v>
      </c>
      <c r="F2715">
        <v>330</v>
      </c>
      <c r="G2715">
        <v>81.86</v>
      </c>
      <c r="H2715">
        <v>2024</v>
      </c>
      <c r="I2715" t="s">
        <v>15</v>
      </c>
      <c r="J2715" s="4">
        <v>0.24806060606060601</v>
      </c>
      <c r="K2715" t="s">
        <v>41</v>
      </c>
      <c r="L2715" t="s">
        <v>55</v>
      </c>
      <c r="M2715">
        <v>3</v>
      </c>
      <c r="N2715" t="s">
        <v>56</v>
      </c>
    </row>
    <row r="2716" spans="1:14" x14ac:dyDescent="0.3">
      <c r="A2716" s="1">
        <v>45597</v>
      </c>
      <c r="B2716" t="s">
        <v>35</v>
      </c>
      <c r="C2716" t="s">
        <v>33</v>
      </c>
      <c r="D2716" t="s">
        <v>17</v>
      </c>
      <c r="E2716">
        <v>7</v>
      </c>
      <c r="F2716">
        <v>8071</v>
      </c>
      <c r="G2716">
        <v>435.51</v>
      </c>
      <c r="H2716">
        <v>2024</v>
      </c>
      <c r="I2716" t="s">
        <v>18</v>
      </c>
      <c r="J2716" s="4">
        <v>5.3959856275554503E-2</v>
      </c>
      <c r="K2716" t="s">
        <v>41</v>
      </c>
      <c r="L2716" t="s">
        <v>52</v>
      </c>
      <c r="M2716">
        <v>11</v>
      </c>
      <c r="N2716" t="s">
        <v>58</v>
      </c>
    </row>
    <row r="2717" spans="1:14" x14ac:dyDescent="0.3">
      <c r="A2717" s="1">
        <v>45399</v>
      </c>
      <c r="B2717" t="s">
        <v>35</v>
      </c>
      <c r="C2717" t="s">
        <v>33</v>
      </c>
      <c r="D2717" t="s">
        <v>19</v>
      </c>
      <c r="E2717">
        <v>9</v>
      </c>
      <c r="F2717">
        <v>2745</v>
      </c>
      <c r="G2717">
        <v>660.56</v>
      </c>
      <c r="H2717">
        <v>2024</v>
      </c>
      <c r="I2717" t="s">
        <v>23</v>
      </c>
      <c r="J2717" s="4">
        <v>0.24064116575592001</v>
      </c>
      <c r="K2717" t="s">
        <v>41</v>
      </c>
      <c r="L2717" t="s">
        <v>59</v>
      </c>
      <c r="M2717">
        <v>4</v>
      </c>
      <c r="N2717" t="s">
        <v>62</v>
      </c>
    </row>
    <row r="2718" spans="1:14" x14ac:dyDescent="0.3">
      <c r="A2718" s="1">
        <v>45318</v>
      </c>
      <c r="B2718" t="s">
        <v>35</v>
      </c>
      <c r="C2718" t="s">
        <v>33</v>
      </c>
      <c r="D2718" t="s">
        <v>17</v>
      </c>
      <c r="E2718">
        <v>4</v>
      </c>
      <c r="F2718">
        <v>4196</v>
      </c>
      <c r="G2718">
        <v>1152.45</v>
      </c>
      <c r="H2718">
        <v>2024</v>
      </c>
      <c r="I2718" t="s">
        <v>26</v>
      </c>
      <c r="J2718" s="4">
        <v>0.27465443279313601</v>
      </c>
      <c r="K2718" t="s">
        <v>41</v>
      </c>
      <c r="L2718" t="s">
        <v>55</v>
      </c>
      <c r="M2718">
        <v>1</v>
      </c>
      <c r="N2718" t="s">
        <v>65</v>
      </c>
    </row>
    <row r="2719" spans="1:14" x14ac:dyDescent="0.3">
      <c r="A2719" s="1">
        <v>45308</v>
      </c>
      <c r="B2719" t="s">
        <v>35</v>
      </c>
      <c r="C2719" t="s">
        <v>33</v>
      </c>
      <c r="D2719" t="s">
        <v>12</v>
      </c>
      <c r="E2719">
        <v>5</v>
      </c>
      <c r="F2719">
        <v>2675</v>
      </c>
      <c r="G2719">
        <v>671.6</v>
      </c>
      <c r="H2719">
        <v>2024</v>
      </c>
      <c r="I2719" t="s">
        <v>26</v>
      </c>
      <c r="J2719" s="4">
        <v>0.25106542056074799</v>
      </c>
      <c r="K2719" t="s">
        <v>41</v>
      </c>
      <c r="L2719" t="s">
        <v>55</v>
      </c>
      <c r="M2719">
        <v>1</v>
      </c>
      <c r="N2719" t="s">
        <v>65</v>
      </c>
    </row>
    <row r="2720" spans="1:14" x14ac:dyDescent="0.3">
      <c r="A2720" s="1">
        <v>45436</v>
      </c>
      <c r="B2720" t="s">
        <v>35</v>
      </c>
      <c r="C2720" t="s">
        <v>33</v>
      </c>
      <c r="D2720" t="s">
        <v>19</v>
      </c>
      <c r="E2720">
        <v>9</v>
      </c>
      <c r="F2720">
        <v>2070</v>
      </c>
      <c r="G2720">
        <v>457.39</v>
      </c>
      <c r="H2720">
        <v>2024</v>
      </c>
      <c r="I2720" t="s">
        <v>20</v>
      </c>
      <c r="J2720" s="4">
        <v>0.22096135265700501</v>
      </c>
      <c r="K2720" t="s">
        <v>41</v>
      </c>
      <c r="L2720" t="s">
        <v>59</v>
      </c>
      <c r="M2720">
        <v>5</v>
      </c>
      <c r="N2720" t="s">
        <v>20</v>
      </c>
    </row>
    <row r="2721" spans="1:14" x14ac:dyDescent="0.3">
      <c r="A2721" s="1">
        <v>45633</v>
      </c>
      <c r="B2721" t="s">
        <v>35</v>
      </c>
      <c r="C2721" t="s">
        <v>33</v>
      </c>
      <c r="D2721" t="s">
        <v>22</v>
      </c>
      <c r="E2721">
        <v>6</v>
      </c>
      <c r="F2721">
        <v>3198</v>
      </c>
      <c r="G2721">
        <v>913.76</v>
      </c>
      <c r="H2721">
        <v>2024</v>
      </c>
      <c r="I2721" t="s">
        <v>13</v>
      </c>
      <c r="J2721" s="4">
        <v>0.28572858036272702</v>
      </c>
      <c r="K2721" t="s">
        <v>41</v>
      </c>
      <c r="L2721" t="s">
        <v>52</v>
      </c>
      <c r="M2721">
        <v>12</v>
      </c>
      <c r="N2721" t="s">
        <v>53</v>
      </c>
    </row>
    <row r="2722" spans="1:14" x14ac:dyDescent="0.3">
      <c r="A2722" s="1">
        <v>45528</v>
      </c>
      <c r="B2722" t="s">
        <v>35</v>
      </c>
      <c r="C2722" t="s">
        <v>33</v>
      </c>
      <c r="D2722" t="s">
        <v>17</v>
      </c>
      <c r="E2722">
        <v>7</v>
      </c>
      <c r="F2722">
        <v>812</v>
      </c>
      <c r="G2722">
        <v>175.55</v>
      </c>
      <c r="H2722">
        <v>2024</v>
      </c>
      <c r="I2722" t="s">
        <v>24</v>
      </c>
      <c r="J2722" s="4">
        <v>0.216194581280788</v>
      </c>
      <c r="K2722" t="s">
        <v>41</v>
      </c>
      <c r="L2722" t="s">
        <v>60</v>
      </c>
      <c r="M2722">
        <v>8</v>
      </c>
      <c r="N2722" t="s">
        <v>63</v>
      </c>
    </row>
    <row r="2723" spans="1:14" x14ac:dyDescent="0.3">
      <c r="A2723" s="1">
        <v>45560</v>
      </c>
      <c r="B2723" t="s">
        <v>35</v>
      </c>
      <c r="C2723" t="s">
        <v>33</v>
      </c>
      <c r="D2723" t="s">
        <v>19</v>
      </c>
      <c r="E2723">
        <v>2</v>
      </c>
      <c r="F2723">
        <v>876</v>
      </c>
      <c r="G2723">
        <v>224.01</v>
      </c>
      <c r="H2723">
        <v>2024</v>
      </c>
      <c r="I2723" t="s">
        <v>21</v>
      </c>
      <c r="J2723" s="4">
        <v>0.25571917808219202</v>
      </c>
      <c r="K2723" t="s">
        <v>41</v>
      </c>
      <c r="L2723" t="s">
        <v>60</v>
      </c>
      <c r="M2723">
        <v>9</v>
      </c>
      <c r="N2723" t="s">
        <v>61</v>
      </c>
    </row>
    <row r="2724" spans="1:14" x14ac:dyDescent="0.3">
      <c r="A2724" s="1">
        <v>45580</v>
      </c>
      <c r="B2724" t="s">
        <v>35</v>
      </c>
      <c r="C2724" t="s">
        <v>33</v>
      </c>
      <c r="D2724" t="s">
        <v>22</v>
      </c>
      <c r="E2724">
        <v>8</v>
      </c>
      <c r="F2724">
        <v>5040</v>
      </c>
      <c r="G2724">
        <v>465.36</v>
      </c>
      <c r="H2724">
        <v>2024</v>
      </c>
      <c r="I2724" t="s">
        <v>14</v>
      </c>
      <c r="J2724" s="4">
        <v>9.2333333333333406E-2</v>
      </c>
      <c r="K2724" t="s">
        <v>41</v>
      </c>
      <c r="L2724" t="s">
        <v>52</v>
      </c>
      <c r="M2724">
        <v>10</v>
      </c>
      <c r="N2724" t="s">
        <v>54</v>
      </c>
    </row>
    <row r="2725" spans="1:14" x14ac:dyDescent="0.3">
      <c r="A2725" s="1">
        <v>45536</v>
      </c>
      <c r="B2725" t="s">
        <v>35</v>
      </c>
      <c r="C2725" t="s">
        <v>33</v>
      </c>
      <c r="D2725" t="s">
        <v>22</v>
      </c>
      <c r="E2725">
        <v>8</v>
      </c>
      <c r="F2725">
        <v>904</v>
      </c>
      <c r="G2725">
        <v>202.35</v>
      </c>
      <c r="H2725">
        <v>2024</v>
      </c>
      <c r="I2725" t="s">
        <v>21</v>
      </c>
      <c r="J2725" s="4">
        <v>0.22383849557522101</v>
      </c>
      <c r="K2725" t="s">
        <v>41</v>
      </c>
      <c r="L2725" t="s">
        <v>60</v>
      </c>
      <c r="M2725">
        <v>9</v>
      </c>
      <c r="N2725" t="s">
        <v>61</v>
      </c>
    </row>
    <row r="2726" spans="1:14" x14ac:dyDescent="0.3">
      <c r="A2726" s="1">
        <v>45578</v>
      </c>
      <c r="B2726" t="s">
        <v>35</v>
      </c>
      <c r="C2726" t="s">
        <v>33</v>
      </c>
      <c r="D2726" t="s">
        <v>17</v>
      </c>
      <c r="E2726">
        <v>9</v>
      </c>
      <c r="F2726">
        <v>9900</v>
      </c>
      <c r="G2726">
        <v>576.79999999999995</v>
      </c>
      <c r="H2726">
        <v>2024</v>
      </c>
      <c r="I2726" t="s">
        <v>14</v>
      </c>
      <c r="J2726" s="4">
        <v>5.8262626262626301E-2</v>
      </c>
      <c r="K2726" t="s">
        <v>41</v>
      </c>
      <c r="L2726" t="s">
        <v>52</v>
      </c>
      <c r="M2726">
        <v>10</v>
      </c>
      <c r="N2726" t="s">
        <v>54</v>
      </c>
    </row>
    <row r="2727" spans="1:14" x14ac:dyDescent="0.3">
      <c r="A2727" s="1">
        <v>45581</v>
      </c>
      <c r="B2727" t="s">
        <v>35</v>
      </c>
      <c r="C2727" t="s">
        <v>33</v>
      </c>
      <c r="D2727" t="s">
        <v>17</v>
      </c>
      <c r="E2727">
        <v>2</v>
      </c>
      <c r="F2727">
        <v>430</v>
      </c>
      <c r="G2727">
        <v>114.91</v>
      </c>
      <c r="H2727">
        <v>2024</v>
      </c>
      <c r="I2727" t="s">
        <v>14</v>
      </c>
      <c r="J2727" s="4">
        <v>0.267232558139535</v>
      </c>
      <c r="K2727" t="s">
        <v>41</v>
      </c>
      <c r="L2727" t="s">
        <v>52</v>
      </c>
      <c r="M2727">
        <v>10</v>
      </c>
      <c r="N2727" t="s">
        <v>54</v>
      </c>
    </row>
    <row r="2728" spans="1:14" x14ac:dyDescent="0.3">
      <c r="A2728" s="1">
        <v>45491</v>
      </c>
      <c r="B2728" t="s">
        <v>35</v>
      </c>
      <c r="C2728" t="s">
        <v>33</v>
      </c>
      <c r="D2728" t="s">
        <v>19</v>
      </c>
      <c r="E2728">
        <v>2</v>
      </c>
      <c r="F2728">
        <v>1340</v>
      </c>
      <c r="G2728">
        <v>129.88999999999999</v>
      </c>
      <c r="H2728">
        <v>2024</v>
      </c>
      <c r="I2728" t="s">
        <v>25</v>
      </c>
      <c r="J2728" s="4">
        <v>9.6932835820895499E-2</v>
      </c>
      <c r="K2728" t="s">
        <v>41</v>
      </c>
      <c r="L2728" t="s">
        <v>60</v>
      </c>
      <c r="M2728">
        <v>7</v>
      </c>
      <c r="N2728" t="s">
        <v>64</v>
      </c>
    </row>
    <row r="2729" spans="1:14" x14ac:dyDescent="0.3">
      <c r="A2729" s="1">
        <v>45579</v>
      </c>
      <c r="B2729" t="s">
        <v>35</v>
      </c>
      <c r="C2729" t="s">
        <v>33</v>
      </c>
      <c r="D2729" t="s">
        <v>22</v>
      </c>
      <c r="E2729">
        <v>1</v>
      </c>
      <c r="F2729">
        <v>551</v>
      </c>
      <c r="G2729">
        <v>86.84</v>
      </c>
      <c r="H2729">
        <v>2024</v>
      </c>
      <c r="I2729" t="s">
        <v>14</v>
      </c>
      <c r="J2729" s="4">
        <v>0.157604355716878</v>
      </c>
      <c r="K2729" t="s">
        <v>41</v>
      </c>
      <c r="L2729" t="s">
        <v>52</v>
      </c>
      <c r="M2729">
        <v>10</v>
      </c>
      <c r="N2729" t="s">
        <v>54</v>
      </c>
    </row>
    <row r="2730" spans="1:14" x14ac:dyDescent="0.3">
      <c r="A2730" s="1">
        <v>45608</v>
      </c>
      <c r="B2730" t="s">
        <v>35</v>
      </c>
      <c r="C2730" t="s">
        <v>33</v>
      </c>
      <c r="D2730" t="s">
        <v>19</v>
      </c>
      <c r="E2730">
        <v>4</v>
      </c>
      <c r="F2730">
        <v>2424</v>
      </c>
      <c r="G2730">
        <v>544.07000000000005</v>
      </c>
      <c r="H2730">
        <v>2024</v>
      </c>
      <c r="I2730" t="s">
        <v>18</v>
      </c>
      <c r="J2730" s="4">
        <v>0.22445132013201299</v>
      </c>
      <c r="K2730" t="s">
        <v>41</v>
      </c>
      <c r="L2730" t="s">
        <v>52</v>
      </c>
      <c r="M2730">
        <v>11</v>
      </c>
      <c r="N2730" t="s">
        <v>58</v>
      </c>
    </row>
    <row r="2731" spans="1:14" x14ac:dyDescent="0.3">
      <c r="A2731" s="1">
        <v>45623</v>
      </c>
      <c r="B2731" t="s">
        <v>35</v>
      </c>
      <c r="C2731" t="s">
        <v>33</v>
      </c>
      <c r="D2731" t="s">
        <v>17</v>
      </c>
      <c r="E2731">
        <v>6</v>
      </c>
      <c r="F2731">
        <v>3594</v>
      </c>
      <c r="G2731">
        <v>610.77</v>
      </c>
      <c r="H2731">
        <v>2024</v>
      </c>
      <c r="I2731" t="s">
        <v>18</v>
      </c>
      <c r="J2731" s="4">
        <v>0.16994156928213699</v>
      </c>
      <c r="K2731" t="s">
        <v>41</v>
      </c>
      <c r="L2731" t="s">
        <v>52</v>
      </c>
      <c r="M2731">
        <v>11</v>
      </c>
      <c r="N2731" t="s">
        <v>58</v>
      </c>
    </row>
    <row r="2732" spans="1:14" x14ac:dyDescent="0.3">
      <c r="A2732" s="1">
        <v>45362</v>
      </c>
      <c r="B2732" t="s">
        <v>35</v>
      </c>
      <c r="C2732" t="s">
        <v>33</v>
      </c>
      <c r="D2732" t="s">
        <v>12</v>
      </c>
      <c r="E2732">
        <v>7</v>
      </c>
      <c r="F2732">
        <v>532</v>
      </c>
      <c r="G2732">
        <v>121.03</v>
      </c>
      <c r="H2732">
        <v>2024</v>
      </c>
      <c r="I2732" t="s">
        <v>15</v>
      </c>
      <c r="J2732" s="4">
        <v>0.22750000000000001</v>
      </c>
      <c r="K2732" t="s">
        <v>41</v>
      </c>
      <c r="L2732" t="s">
        <v>55</v>
      </c>
      <c r="M2732">
        <v>3</v>
      </c>
      <c r="N2732" t="s">
        <v>56</v>
      </c>
    </row>
    <row r="2733" spans="1:14" x14ac:dyDescent="0.3">
      <c r="A2733" s="1">
        <v>45484</v>
      </c>
      <c r="B2733" t="s">
        <v>35</v>
      </c>
      <c r="C2733" t="s">
        <v>33</v>
      </c>
      <c r="D2733" t="s">
        <v>12</v>
      </c>
      <c r="E2733">
        <v>8</v>
      </c>
      <c r="F2733">
        <v>2712</v>
      </c>
      <c r="G2733">
        <v>247.84</v>
      </c>
      <c r="H2733">
        <v>2024</v>
      </c>
      <c r="I2733" t="s">
        <v>25</v>
      </c>
      <c r="J2733" s="4">
        <v>9.1386430678466093E-2</v>
      </c>
      <c r="K2733" t="s">
        <v>41</v>
      </c>
      <c r="L2733" t="s">
        <v>60</v>
      </c>
      <c r="M2733">
        <v>7</v>
      </c>
      <c r="N2733" t="s">
        <v>64</v>
      </c>
    </row>
    <row r="2734" spans="1:14" x14ac:dyDescent="0.3">
      <c r="A2734" s="1">
        <v>45594</v>
      </c>
      <c r="B2734" t="s">
        <v>35</v>
      </c>
      <c r="C2734" t="s">
        <v>33</v>
      </c>
      <c r="D2734" t="s">
        <v>19</v>
      </c>
      <c r="E2734">
        <v>2</v>
      </c>
      <c r="F2734">
        <v>226</v>
      </c>
      <c r="G2734">
        <v>38.520000000000003</v>
      </c>
      <c r="H2734">
        <v>2024</v>
      </c>
      <c r="I2734" t="s">
        <v>14</v>
      </c>
      <c r="J2734" s="4">
        <v>0.170442477876106</v>
      </c>
      <c r="K2734" t="s">
        <v>41</v>
      </c>
      <c r="L2734" t="s">
        <v>52</v>
      </c>
      <c r="M2734">
        <v>10</v>
      </c>
      <c r="N2734" t="s">
        <v>54</v>
      </c>
    </row>
    <row r="2735" spans="1:14" x14ac:dyDescent="0.3">
      <c r="A2735" s="1">
        <v>45416</v>
      </c>
      <c r="B2735" t="s">
        <v>35</v>
      </c>
      <c r="C2735" t="s">
        <v>33</v>
      </c>
      <c r="D2735" t="s">
        <v>12</v>
      </c>
      <c r="E2735">
        <v>4</v>
      </c>
      <c r="F2735">
        <v>4312</v>
      </c>
      <c r="G2735">
        <v>388.48</v>
      </c>
      <c r="H2735">
        <v>2024</v>
      </c>
      <c r="I2735" t="s">
        <v>20</v>
      </c>
      <c r="J2735" s="4">
        <v>9.0092764378478699E-2</v>
      </c>
      <c r="K2735" t="s">
        <v>41</v>
      </c>
      <c r="L2735" t="s">
        <v>59</v>
      </c>
      <c r="M2735">
        <v>5</v>
      </c>
      <c r="N2735" t="s">
        <v>20</v>
      </c>
    </row>
    <row r="2736" spans="1:14" x14ac:dyDescent="0.3">
      <c r="A2736" s="1">
        <v>45548</v>
      </c>
      <c r="B2736" t="s">
        <v>35</v>
      </c>
      <c r="C2736" t="s">
        <v>33</v>
      </c>
      <c r="D2736" t="s">
        <v>19</v>
      </c>
      <c r="E2736">
        <v>3</v>
      </c>
      <c r="F2736">
        <v>2478</v>
      </c>
      <c r="G2736">
        <v>584.37</v>
      </c>
      <c r="H2736">
        <v>2024</v>
      </c>
      <c r="I2736" t="s">
        <v>21</v>
      </c>
      <c r="J2736" s="4">
        <v>0.235823244552058</v>
      </c>
      <c r="K2736" t="s">
        <v>41</v>
      </c>
      <c r="L2736" t="s">
        <v>60</v>
      </c>
      <c r="M2736">
        <v>9</v>
      </c>
      <c r="N2736" t="s">
        <v>61</v>
      </c>
    </row>
    <row r="2737" spans="1:14" x14ac:dyDescent="0.3">
      <c r="A2737" s="1">
        <v>45616</v>
      </c>
      <c r="B2737" t="s">
        <v>35</v>
      </c>
      <c r="C2737" t="s">
        <v>33</v>
      </c>
      <c r="D2737" t="s">
        <v>22</v>
      </c>
      <c r="E2737">
        <v>8</v>
      </c>
      <c r="F2737">
        <v>4536</v>
      </c>
      <c r="G2737">
        <v>627.13</v>
      </c>
      <c r="H2737">
        <v>2024</v>
      </c>
      <c r="I2737" t="s">
        <v>18</v>
      </c>
      <c r="J2737" s="4">
        <v>0.138256172839506</v>
      </c>
      <c r="K2737" t="s">
        <v>41</v>
      </c>
      <c r="L2737" t="s">
        <v>52</v>
      </c>
      <c r="M2737">
        <v>11</v>
      </c>
      <c r="N2737" t="s">
        <v>58</v>
      </c>
    </row>
    <row r="2738" spans="1:14" x14ac:dyDescent="0.3">
      <c r="A2738" s="1">
        <v>45344</v>
      </c>
      <c r="B2738" t="s">
        <v>35</v>
      </c>
      <c r="C2738" t="s">
        <v>33</v>
      </c>
      <c r="D2738" t="s">
        <v>22</v>
      </c>
      <c r="E2738">
        <v>1</v>
      </c>
      <c r="F2738">
        <v>725</v>
      </c>
      <c r="G2738">
        <v>81.96</v>
      </c>
      <c r="H2738">
        <v>2024</v>
      </c>
      <c r="I2738" t="s">
        <v>16</v>
      </c>
      <c r="J2738" s="4">
        <v>0.113048275862069</v>
      </c>
      <c r="K2738" t="s">
        <v>41</v>
      </c>
      <c r="L2738" t="s">
        <v>55</v>
      </c>
      <c r="M2738">
        <v>2</v>
      </c>
      <c r="N2738" t="s">
        <v>57</v>
      </c>
    </row>
    <row r="2739" spans="1:14" x14ac:dyDescent="0.3">
      <c r="A2739" s="1">
        <v>45341</v>
      </c>
      <c r="B2739" t="s">
        <v>35</v>
      </c>
      <c r="C2739" t="s">
        <v>33</v>
      </c>
      <c r="D2739" t="s">
        <v>22</v>
      </c>
      <c r="E2739">
        <v>3</v>
      </c>
      <c r="F2739">
        <v>2070</v>
      </c>
      <c r="G2739">
        <v>163.22999999999999</v>
      </c>
      <c r="H2739">
        <v>2024</v>
      </c>
      <c r="I2739" t="s">
        <v>16</v>
      </c>
      <c r="J2739" s="4">
        <v>7.8855072463768106E-2</v>
      </c>
      <c r="K2739" t="s">
        <v>41</v>
      </c>
      <c r="L2739" t="s">
        <v>55</v>
      </c>
      <c r="M2739">
        <v>2</v>
      </c>
      <c r="N2739" t="s">
        <v>57</v>
      </c>
    </row>
    <row r="2740" spans="1:14" x14ac:dyDescent="0.3">
      <c r="A2740" s="1">
        <v>45541</v>
      </c>
      <c r="B2740" t="s">
        <v>35</v>
      </c>
      <c r="C2740" t="s">
        <v>33</v>
      </c>
      <c r="D2740" t="s">
        <v>22</v>
      </c>
      <c r="E2740">
        <v>5</v>
      </c>
      <c r="F2740">
        <v>1400</v>
      </c>
      <c r="G2740">
        <v>273.39</v>
      </c>
      <c r="H2740">
        <v>2024</v>
      </c>
      <c r="I2740" t="s">
        <v>21</v>
      </c>
      <c r="J2740" s="4">
        <v>0.195278571428571</v>
      </c>
      <c r="K2740" t="s">
        <v>41</v>
      </c>
      <c r="L2740" t="s">
        <v>60</v>
      </c>
      <c r="M2740">
        <v>9</v>
      </c>
      <c r="N2740" t="s">
        <v>61</v>
      </c>
    </row>
    <row r="2741" spans="1:14" x14ac:dyDescent="0.3">
      <c r="A2741" s="1">
        <v>45445</v>
      </c>
      <c r="B2741" t="s">
        <v>35</v>
      </c>
      <c r="C2741" t="s">
        <v>33</v>
      </c>
      <c r="D2741" t="s">
        <v>19</v>
      </c>
      <c r="E2741">
        <v>2</v>
      </c>
      <c r="F2741">
        <v>252</v>
      </c>
      <c r="G2741">
        <v>67.37</v>
      </c>
      <c r="H2741">
        <v>2024</v>
      </c>
      <c r="I2741" t="s">
        <v>27</v>
      </c>
      <c r="J2741" s="4">
        <v>0.26734126984126999</v>
      </c>
      <c r="K2741" t="s">
        <v>41</v>
      </c>
      <c r="L2741" t="s">
        <v>59</v>
      </c>
      <c r="M2741">
        <v>6</v>
      </c>
      <c r="N2741" t="s">
        <v>66</v>
      </c>
    </row>
    <row r="2742" spans="1:14" x14ac:dyDescent="0.3">
      <c r="A2742" s="1">
        <v>45365</v>
      </c>
      <c r="B2742" t="s">
        <v>35</v>
      </c>
      <c r="C2742" t="s">
        <v>33</v>
      </c>
      <c r="D2742" t="s">
        <v>19</v>
      </c>
      <c r="E2742">
        <v>8</v>
      </c>
      <c r="F2742">
        <v>832</v>
      </c>
      <c r="G2742">
        <v>214.81</v>
      </c>
      <c r="H2742">
        <v>2024</v>
      </c>
      <c r="I2742" t="s">
        <v>15</v>
      </c>
      <c r="J2742" s="4">
        <v>0.25818509615384599</v>
      </c>
      <c r="K2742" t="s">
        <v>41</v>
      </c>
      <c r="L2742" t="s">
        <v>55</v>
      </c>
      <c r="M2742">
        <v>3</v>
      </c>
      <c r="N2742" t="s">
        <v>56</v>
      </c>
    </row>
    <row r="2743" spans="1:14" x14ac:dyDescent="0.3">
      <c r="A2743" s="1">
        <v>45510</v>
      </c>
      <c r="B2743" t="s">
        <v>35</v>
      </c>
      <c r="C2743" t="s">
        <v>33</v>
      </c>
      <c r="D2743" t="s">
        <v>12</v>
      </c>
      <c r="E2743">
        <v>4</v>
      </c>
      <c r="F2743">
        <v>316</v>
      </c>
      <c r="G2743">
        <v>32.79</v>
      </c>
      <c r="H2743">
        <v>2024</v>
      </c>
      <c r="I2743" t="s">
        <v>24</v>
      </c>
      <c r="J2743" s="4">
        <v>0.10376582278481</v>
      </c>
      <c r="K2743" t="s">
        <v>41</v>
      </c>
      <c r="L2743" t="s">
        <v>60</v>
      </c>
      <c r="M2743">
        <v>8</v>
      </c>
      <c r="N2743" t="s">
        <v>63</v>
      </c>
    </row>
    <row r="2744" spans="1:14" x14ac:dyDescent="0.3">
      <c r="A2744" s="1">
        <v>45359</v>
      </c>
      <c r="B2744" t="s">
        <v>35</v>
      </c>
      <c r="C2744" t="s">
        <v>33</v>
      </c>
      <c r="D2744" t="s">
        <v>17</v>
      </c>
      <c r="E2744">
        <v>9</v>
      </c>
      <c r="F2744">
        <v>5823</v>
      </c>
      <c r="G2744">
        <v>478.22</v>
      </c>
      <c r="H2744">
        <v>2024</v>
      </c>
      <c r="I2744" t="s">
        <v>15</v>
      </c>
      <c r="J2744" s="4">
        <v>8.21260518633007E-2</v>
      </c>
      <c r="K2744" t="s">
        <v>41</v>
      </c>
      <c r="L2744" t="s">
        <v>55</v>
      </c>
      <c r="M2744">
        <v>3</v>
      </c>
      <c r="N2744" t="s">
        <v>56</v>
      </c>
    </row>
    <row r="2745" spans="1:14" x14ac:dyDescent="0.3">
      <c r="A2745" s="1">
        <v>45320</v>
      </c>
      <c r="B2745" t="s">
        <v>35</v>
      </c>
      <c r="C2745" t="s">
        <v>33</v>
      </c>
      <c r="D2745" t="s">
        <v>12</v>
      </c>
      <c r="E2745">
        <v>2</v>
      </c>
      <c r="F2745">
        <v>370</v>
      </c>
      <c r="G2745">
        <v>102.74</v>
      </c>
      <c r="H2745">
        <v>2024</v>
      </c>
      <c r="I2745" t="s">
        <v>26</v>
      </c>
      <c r="J2745" s="4">
        <v>0.27767567567567603</v>
      </c>
      <c r="K2745" t="s">
        <v>41</v>
      </c>
      <c r="L2745" t="s">
        <v>55</v>
      </c>
      <c r="M2745">
        <v>1</v>
      </c>
      <c r="N2745" t="s">
        <v>65</v>
      </c>
    </row>
    <row r="2746" spans="1:14" x14ac:dyDescent="0.3">
      <c r="A2746" s="1">
        <v>45302</v>
      </c>
      <c r="B2746" t="s">
        <v>35</v>
      </c>
      <c r="C2746" t="s">
        <v>33</v>
      </c>
      <c r="D2746" t="s">
        <v>17</v>
      </c>
      <c r="E2746">
        <v>7</v>
      </c>
      <c r="F2746">
        <v>4095</v>
      </c>
      <c r="G2746">
        <v>883.56</v>
      </c>
      <c r="H2746">
        <v>2024</v>
      </c>
      <c r="I2746" t="s">
        <v>26</v>
      </c>
      <c r="J2746" s="4">
        <v>0.21576556776556799</v>
      </c>
      <c r="K2746" t="s">
        <v>41</v>
      </c>
      <c r="L2746" t="s">
        <v>55</v>
      </c>
      <c r="M2746">
        <v>1</v>
      </c>
      <c r="N2746" t="s">
        <v>65</v>
      </c>
    </row>
    <row r="2747" spans="1:14" x14ac:dyDescent="0.3">
      <c r="A2747" s="1">
        <v>45559</v>
      </c>
      <c r="B2747" t="s">
        <v>35</v>
      </c>
      <c r="C2747" t="s">
        <v>33</v>
      </c>
      <c r="D2747" t="s">
        <v>22</v>
      </c>
      <c r="E2747">
        <v>6</v>
      </c>
      <c r="F2747">
        <v>1092</v>
      </c>
      <c r="G2747">
        <v>176.52</v>
      </c>
      <c r="H2747">
        <v>2024</v>
      </c>
      <c r="I2747" t="s">
        <v>21</v>
      </c>
      <c r="J2747" s="4">
        <v>0.16164835164835201</v>
      </c>
      <c r="K2747" t="s">
        <v>41</v>
      </c>
      <c r="L2747" t="s">
        <v>60</v>
      </c>
      <c r="M2747">
        <v>9</v>
      </c>
      <c r="N2747" t="s">
        <v>61</v>
      </c>
    </row>
    <row r="2748" spans="1:14" x14ac:dyDescent="0.3">
      <c r="A2748" s="1">
        <v>45300</v>
      </c>
      <c r="B2748" t="s">
        <v>35</v>
      </c>
      <c r="C2748" t="s">
        <v>33</v>
      </c>
      <c r="D2748" t="s">
        <v>22</v>
      </c>
      <c r="E2748">
        <v>3</v>
      </c>
      <c r="F2748">
        <v>2925</v>
      </c>
      <c r="G2748">
        <v>433.95</v>
      </c>
      <c r="H2748">
        <v>2024</v>
      </c>
      <c r="I2748" t="s">
        <v>26</v>
      </c>
      <c r="J2748" s="4">
        <v>0.14835897435897399</v>
      </c>
      <c r="K2748" t="s">
        <v>41</v>
      </c>
      <c r="L2748" t="s">
        <v>55</v>
      </c>
      <c r="M2748">
        <v>1</v>
      </c>
      <c r="N2748" t="s">
        <v>65</v>
      </c>
    </row>
    <row r="2749" spans="1:14" x14ac:dyDescent="0.3">
      <c r="A2749" s="1">
        <v>45478</v>
      </c>
      <c r="B2749" t="s">
        <v>35</v>
      </c>
      <c r="C2749" t="s">
        <v>33</v>
      </c>
      <c r="D2749" t="s">
        <v>19</v>
      </c>
      <c r="E2749">
        <v>2</v>
      </c>
      <c r="F2749">
        <v>1696</v>
      </c>
      <c r="G2749">
        <v>500.56</v>
      </c>
      <c r="H2749">
        <v>2024</v>
      </c>
      <c r="I2749" t="s">
        <v>25</v>
      </c>
      <c r="J2749" s="4">
        <v>0.295141509433962</v>
      </c>
      <c r="K2749" t="s">
        <v>41</v>
      </c>
      <c r="L2749" t="s">
        <v>60</v>
      </c>
      <c r="M2749">
        <v>7</v>
      </c>
      <c r="N2749" t="s">
        <v>64</v>
      </c>
    </row>
    <row r="2750" spans="1:14" x14ac:dyDescent="0.3">
      <c r="A2750" s="1">
        <v>45584</v>
      </c>
      <c r="B2750" t="s">
        <v>35</v>
      </c>
      <c r="C2750" t="s">
        <v>33</v>
      </c>
      <c r="D2750" t="s">
        <v>17</v>
      </c>
      <c r="E2750">
        <v>5</v>
      </c>
      <c r="F2750">
        <v>3670</v>
      </c>
      <c r="G2750">
        <v>790.67</v>
      </c>
      <c r="H2750">
        <v>2024</v>
      </c>
      <c r="I2750" t="s">
        <v>14</v>
      </c>
      <c r="J2750" s="4">
        <v>0.215441416893733</v>
      </c>
      <c r="K2750" t="s">
        <v>41</v>
      </c>
      <c r="L2750" t="s">
        <v>52</v>
      </c>
      <c r="M2750">
        <v>10</v>
      </c>
      <c r="N2750" t="s">
        <v>54</v>
      </c>
    </row>
    <row r="2751" spans="1:14" x14ac:dyDescent="0.3">
      <c r="A2751" s="1">
        <v>45575</v>
      </c>
      <c r="B2751" t="s">
        <v>35</v>
      </c>
      <c r="C2751" t="s">
        <v>33</v>
      </c>
      <c r="D2751" t="s">
        <v>22</v>
      </c>
      <c r="E2751">
        <v>4</v>
      </c>
      <c r="F2751">
        <v>2936</v>
      </c>
      <c r="G2751">
        <v>204.55</v>
      </c>
      <c r="H2751">
        <v>2024</v>
      </c>
      <c r="I2751" t="s">
        <v>14</v>
      </c>
      <c r="J2751" s="4">
        <v>6.9669618528610394E-2</v>
      </c>
      <c r="K2751" t="s">
        <v>41</v>
      </c>
      <c r="L2751" t="s">
        <v>52</v>
      </c>
      <c r="M2751">
        <v>10</v>
      </c>
      <c r="N2751" t="s">
        <v>54</v>
      </c>
    </row>
    <row r="2752" spans="1:14" x14ac:dyDescent="0.3">
      <c r="A2752" s="1">
        <v>45500</v>
      </c>
      <c r="B2752" t="s">
        <v>35</v>
      </c>
      <c r="C2752" t="s">
        <v>33</v>
      </c>
      <c r="D2752" t="s">
        <v>19</v>
      </c>
      <c r="E2752">
        <v>1</v>
      </c>
      <c r="F2752">
        <v>706</v>
      </c>
      <c r="G2752">
        <v>63.82</v>
      </c>
      <c r="H2752">
        <v>2024</v>
      </c>
      <c r="I2752" t="s">
        <v>25</v>
      </c>
      <c r="J2752" s="4">
        <v>9.0396600566572199E-2</v>
      </c>
      <c r="K2752" t="s">
        <v>41</v>
      </c>
      <c r="L2752" t="s">
        <v>60</v>
      </c>
      <c r="M2752">
        <v>7</v>
      </c>
      <c r="N2752" t="s">
        <v>64</v>
      </c>
    </row>
    <row r="2753" spans="1:14" x14ac:dyDescent="0.3">
      <c r="A2753" s="1">
        <v>45381</v>
      </c>
      <c r="B2753" t="s">
        <v>35</v>
      </c>
      <c r="C2753" t="s">
        <v>33</v>
      </c>
      <c r="D2753" t="s">
        <v>12</v>
      </c>
      <c r="E2753">
        <v>3</v>
      </c>
      <c r="F2753">
        <v>2331</v>
      </c>
      <c r="G2753">
        <v>419.26</v>
      </c>
      <c r="H2753">
        <v>2024</v>
      </c>
      <c r="I2753" t="s">
        <v>15</v>
      </c>
      <c r="J2753" s="4">
        <v>0.17986271986272001</v>
      </c>
      <c r="K2753" t="s">
        <v>41</v>
      </c>
      <c r="L2753" t="s">
        <v>55</v>
      </c>
      <c r="M2753">
        <v>3</v>
      </c>
      <c r="N2753" t="s">
        <v>56</v>
      </c>
    </row>
    <row r="2754" spans="1:14" x14ac:dyDescent="0.3">
      <c r="A2754" s="1">
        <v>45599</v>
      </c>
      <c r="B2754" t="s">
        <v>35</v>
      </c>
      <c r="C2754" t="s">
        <v>33</v>
      </c>
      <c r="D2754" t="s">
        <v>19</v>
      </c>
      <c r="E2754">
        <v>3</v>
      </c>
      <c r="F2754">
        <v>189</v>
      </c>
      <c r="G2754">
        <v>33.94</v>
      </c>
      <c r="H2754">
        <v>2024</v>
      </c>
      <c r="I2754" t="s">
        <v>18</v>
      </c>
      <c r="J2754" s="4">
        <v>0.17957671957672</v>
      </c>
      <c r="K2754" t="s">
        <v>41</v>
      </c>
      <c r="L2754" t="s">
        <v>52</v>
      </c>
      <c r="M2754">
        <v>11</v>
      </c>
      <c r="N2754" t="s">
        <v>58</v>
      </c>
    </row>
    <row r="2755" spans="1:14" x14ac:dyDescent="0.3">
      <c r="A2755" s="1">
        <v>45585</v>
      </c>
      <c r="B2755" t="s">
        <v>35</v>
      </c>
      <c r="C2755" t="s">
        <v>33</v>
      </c>
      <c r="D2755" t="s">
        <v>19</v>
      </c>
      <c r="E2755">
        <v>2</v>
      </c>
      <c r="F2755">
        <v>1122</v>
      </c>
      <c r="G2755">
        <v>100.78</v>
      </c>
      <c r="H2755">
        <v>2024</v>
      </c>
      <c r="I2755" t="s">
        <v>14</v>
      </c>
      <c r="J2755" s="4">
        <v>8.9821746880570402E-2</v>
      </c>
      <c r="K2755" t="s">
        <v>41</v>
      </c>
      <c r="L2755" t="s">
        <v>52</v>
      </c>
      <c r="M2755">
        <v>10</v>
      </c>
      <c r="N2755" t="s">
        <v>54</v>
      </c>
    </row>
    <row r="2756" spans="1:14" x14ac:dyDescent="0.3">
      <c r="A2756" s="1">
        <v>45459</v>
      </c>
      <c r="B2756" t="s">
        <v>35</v>
      </c>
      <c r="C2756" t="s">
        <v>33</v>
      </c>
      <c r="D2756" t="s">
        <v>22</v>
      </c>
      <c r="E2756">
        <v>2</v>
      </c>
      <c r="F2756">
        <v>630</v>
      </c>
      <c r="G2756">
        <v>86.07</v>
      </c>
      <c r="H2756">
        <v>2024</v>
      </c>
      <c r="I2756" t="s">
        <v>27</v>
      </c>
      <c r="J2756" s="4">
        <v>0.136619047619048</v>
      </c>
      <c r="K2756" t="s">
        <v>41</v>
      </c>
      <c r="L2756" t="s">
        <v>59</v>
      </c>
      <c r="M2756">
        <v>6</v>
      </c>
      <c r="N2756" t="s">
        <v>66</v>
      </c>
    </row>
    <row r="2757" spans="1:14" x14ac:dyDescent="0.3">
      <c r="A2757" s="1">
        <v>45539</v>
      </c>
      <c r="B2757" t="s">
        <v>35</v>
      </c>
      <c r="C2757" t="s">
        <v>33</v>
      </c>
      <c r="D2757" t="s">
        <v>22</v>
      </c>
      <c r="E2757">
        <v>8</v>
      </c>
      <c r="F2757">
        <v>5368</v>
      </c>
      <c r="G2757">
        <v>542.52</v>
      </c>
      <c r="H2757">
        <v>2024</v>
      </c>
      <c r="I2757" t="s">
        <v>21</v>
      </c>
      <c r="J2757" s="4">
        <v>0.101065573770492</v>
      </c>
      <c r="K2757" t="s">
        <v>41</v>
      </c>
      <c r="L2757" t="s">
        <v>60</v>
      </c>
      <c r="M2757">
        <v>9</v>
      </c>
      <c r="N2757" t="s">
        <v>61</v>
      </c>
    </row>
    <row r="2758" spans="1:14" x14ac:dyDescent="0.3">
      <c r="A2758" s="1">
        <v>45489</v>
      </c>
      <c r="B2758" t="s">
        <v>35</v>
      </c>
      <c r="C2758" t="s">
        <v>33</v>
      </c>
      <c r="D2758" t="s">
        <v>22</v>
      </c>
      <c r="E2758">
        <v>3</v>
      </c>
      <c r="F2758">
        <v>858</v>
      </c>
      <c r="G2758">
        <v>246.86</v>
      </c>
      <c r="H2758">
        <v>2024</v>
      </c>
      <c r="I2758" t="s">
        <v>25</v>
      </c>
      <c r="J2758" s="4">
        <v>0.28771561771561799</v>
      </c>
      <c r="K2758" t="s">
        <v>41</v>
      </c>
      <c r="L2758" t="s">
        <v>60</v>
      </c>
      <c r="M2758">
        <v>7</v>
      </c>
      <c r="N2758" t="s">
        <v>64</v>
      </c>
    </row>
    <row r="2759" spans="1:14" x14ac:dyDescent="0.3">
      <c r="A2759" s="1">
        <v>45631</v>
      </c>
      <c r="B2759" t="s">
        <v>35</v>
      </c>
      <c r="C2759" t="s">
        <v>33</v>
      </c>
      <c r="D2759" t="s">
        <v>17</v>
      </c>
      <c r="E2759">
        <v>1</v>
      </c>
      <c r="F2759">
        <v>776</v>
      </c>
      <c r="G2759">
        <v>172.19</v>
      </c>
      <c r="H2759">
        <v>2024</v>
      </c>
      <c r="I2759" t="s">
        <v>13</v>
      </c>
      <c r="J2759" s="4">
        <v>0.22189432989690699</v>
      </c>
      <c r="K2759" t="s">
        <v>41</v>
      </c>
      <c r="L2759" t="s">
        <v>52</v>
      </c>
      <c r="M2759">
        <v>12</v>
      </c>
      <c r="N2759" t="s">
        <v>53</v>
      </c>
    </row>
    <row r="2760" spans="1:14" x14ac:dyDescent="0.3">
      <c r="A2760" s="1">
        <v>45474</v>
      </c>
      <c r="B2760" t="s">
        <v>35</v>
      </c>
      <c r="C2760" t="s">
        <v>33</v>
      </c>
      <c r="D2760" t="s">
        <v>12</v>
      </c>
      <c r="E2760">
        <v>6</v>
      </c>
      <c r="F2760">
        <v>1962</v>
      </c>
      <c r="G2760">
        <v>301.57</v>
      </c>
      <c r="H2760">
        <v>2024</v>
      </c>
      <c r="I2760" t="s">
        <v>25</v>
      </c>
      <c r="J2760" s="4">
        <v>0.15370540265035701</v>
      </c>
      <c r="K2760" t="s">
        <v>41</v>
      </c>
      <c r="L2760" t="s">
        <v>60</v>
      </c>
      <c r="M2760">
        <v>7</v>
      </c>
      <c r="N2760" t="s">
        <v>64</v>
      </c>
    </row>
    <row r="2761" spans="1:14" x14ac:dyDescent="0.3">
      <c r="A2761" s="1">
        <v>45429</v>
      </c>
      <c r="B2761" t="s">
        <v>35</v>
      </c>
      <c r="C2761" t="s">
        <v>33</v>
      </c>
      <c r="D2761" t="s">
        <v>22</v>
      </c>
      <c r="E2761">
        <v>3</v>
      </c>
      <c r="F2761">
        <v>2580</v>
      </c>
      <c r="G2761">
        <v>173.89</v>
      </c>
      <c r="H2761">
        <v>2024</v>
      </c>
      <c r="I2761" t="s">
        <v>20</v>
      </c>
      <c r="J2761" s="4">
        <v>6.7399224806201599E-2</v>
      </c>
      <c r="K2761" t="s">
        <v>41</v>
      </c>
      <c r="L2761" t="s">
        <v>59</v>
      </c>
      <c r="M2761">
        <v>5</v>
      </c>
      <c r="N2761" t="s">
        <v>20</v>
      </c>
    </row>
    <row r="2762" spans="1:14" x14ac:dyDescent="0.3">
      <c r="A2762" s="1">
        <v>45556</v>
      </c>
      <c r="B2762" t="s">
        <v>35</v>
      </c>
      <c r="C2762" t="s">
        <v>33</v>
      </c>
      <c r="D2762" t="s">
        <v>19</v>
      </c>
      <c r="E2762">
        <v>6</v>
      </c>
      <c r="F2762">
        <v>6720</v>
      </c>
      <c r="G2762">
        <v>1113.56</v>
      </c>
      <c r="H2762">
        <v>2024</v>
      </c>
      <c r="I2762" t="s">
        <v>21</v>
      </c>
      <c r="J2762" s="4">
        <v>0.16570833333333301</v>
      </c>
      <c r="K2762" t="s">
        <v>41</v>
      </c>
      <c r="L2762" t="s">
        <v>60</v>
      </c>
      <c r="M2762">
        <v>9</v>
      </c>
      <c r="N2762" t="s">
        <v>61</v>
      </c>
    </row>
    <row r="2763" spans="1:14" x14ac:dyDescent="0.3">
      <c r="A2763" s="1">
        <v>45348</v>
      </c>
      <c r="B2763" t="s">
        <v>35</v>
      </c>
      <c r="C2763" t="s">
        <v>33</v>
      </c>
      <c r="D2763" t="s">
        <v>19</v>
      </c>
      <c r="E2763">
        <v>5</v>
      </c>
      <c r="F2763">
        <v>1250</v>
      </c>
      <c r="G2763">
        <v>120.74</v>
      </c>
      <c r="H2763">
        <v>2024</v>
      </c>
      <c r="I2763" t="s">
        <v>16</v>
      </c>
      <c r="J2763" s="4">
        <v>9.6591999999999997E-2</v>
      </c>
      <c r="K2763" t="s">
        <v>41</v>
      </c>
      <c r="L2763" t="s">
        <v>55</v>
      </c>
      <c r="M2763">
        <v>2</v>
      </c>
      <c r="N2763" t="s">
        <v>57</v>
      </c>
    </row>
    <row r="2764" spans="1:14" x14ac:dyDescent="0.3">
      <c r="A2764" s="1">
        <v>45314</v>
      </c>
      <c r="B2764" t="s">
        <v>35</v>
      </c>
      <c r="C2764" t="s">
        <v>33</v>
      </c>
      <c r="D2764" t="s">
        <v>19</v>
      </c>
      <c r="E2764">
        <v>8</v>
      </c>
      <c r="F2764">
        <v>8776</v>
      </c>
      <c r="G2764">
        <v>1561.07</v>
      </c>
      <c r="H2764">
        <v>2024</v>
      </c>
      <c r="I2764" t="s">
        <v>26</v>
      </c>
      <c r="J2764" s="4">
        <v>0.177879443938013</v>
      </c>
      <c r="K2764" t="s">
        <v>41</v>
      </c>
      <c r="L2764" t="s">
        <v>55</v>
      </c>
      <c r="M2764">
        <v>1</v>
      </c>
      <c r="N2764" t="s">
        <v>65</v>
      </c>
    </row>
    <row r="2765" spans="1:14" x14ac:dyDescent="0.3">
      <c r="A2765" s="1">
        <v>45527</v>
      </c>
      <c r="B2765" t="s">
        <v>35</v>
      </c>
      <c r="C2765" t="s">
        <v>33</v>
      </c>
      <c r="D2765" t="s">
        <v>19</v>
      </c>
      <c r="E2765">
        <v>4</v>
      </c>
      <c r="F2765">
        <v>2236</v>
      </c>
      <c r="G2765">
        <v>167.78</v>
      </c>
      <c r="H2765">
        <v>2024</v>
      </c>
      <c r="I2765" t="s">
        <v>24</v>
      </c>
      <c r="J2765" s="4">
        <v>7.5035778175312998E-2</v>
      </c>
      <c r="K2765" t="s">
        <v>41</v>
      </c>
      <c r="L2765" t="s">
        <v>60</v>
      </c>
      <c r="M2765">
        <v>8</v>
      </c>
      <c r="N2765" t="s">
        <v>63</v>
      </c>
    </row>
    <row r="2766" spans="1:14" x14ac:dyDescent="0.3">
      <c r="A2766" s="1">
        <v>45572</v>
      </c>
      <c r="B2766" t="s">
        <v>35</v>
      </c>
      <c r="C2766" t="s">
        <v>33</v>
      </c>
      <c r="D2766" t="s">
        <v>19</v>
      </c>
      <c r="E2766">
        <v>9</v>
      </c>
      <c r="F2766">
        <v>5706</v>
      </c>
      <c r="G2766">
        <v>1704.8</v>
      </c>
      <c r="H2766">
        <v>2024</v>
      </c>
      <c r="I2766" t="s">
        <v>14</v>
      </c>
      <c r="J2766" s="4">
        <v>0.29877322117069799</v>
      </c>
      <c r="K2766" t="s">
        <v>41</v>
      </c>
      <c r="L2766" t="s">
        <v>52</v>
      </c>
      <c r="M2766">
        <v>10</v>
      </c>
      <c r="N2766" t="s">
        <v>54</v>
      </c>
    </row>
    <row r="2767" spans="1:14" x14ac:dyDescent="0.3">
      <c r="A2767" s="1">
        <v>45373</v>
      </c>
      <c r="B2767" t="s">
        <v>35</v>
      </c>
      <c r="C2767" t="s">
        <v>33</v>
      </c>
      <c r="D2767" t="s">
        <v>19</v>
      </c>
      <c r="E2767">
        <v>8</v>
      </c>
      <c r="F2767">
        <v>6032</v>
      </c>
      <c r="G2767">
        <v>870.17</v>
      </c>
      <c r="H2767">
        <v>2024</v>
      </c>
      <c r="I2767" t="s">
        <v>15</v>
      </c>
      <c r="J2767" s="4">
        <v>0.144258952254642</v>
      </c>
      <c r="K2767" t="s">
        <v>41</v>
      </c>
      <c r="L2767" t="s">
        <v>55</v>
      </c>
      <c r="M2767">
        <v>3</v>
      </c>
      <c r="N2767" t="s">
        <v>56</v>
      </c>
    </row>
    <row r="2768" spans="1:14" x14ac:dyDescent="0.3">
      <c r="A2768" s="1">
        <v>45357</v>
      </c>
      <c r="B2768" t="s">
        <v>35</v>
      </c>
      <c r="C2768" t="s">
        <v>33</v>
      </c>
      <c r="D2768" t="s">
        <v>12</v>
      </c>
      <c r="E2768">
        <v>6</v>
      </c>
      <c r="F2768">
        <v>5154</v>
      </c>
      <c r="G2768">
        <v>779.43</v>
      </c>
      <c r="H2768">
        <v>2024</v>
      </c>
      <c r="I2768" t="s">
        <v>15</v>
      </c>
      <c r="J2768" s="4">
        <v>0.15122817229336399</v>
      </c>
      <c r="K2768" t="s">
        <v>41</v>
      </c>
      <c r="L2768" t="s">
        <v>55</v>
      </c>
      <c r="M2768">
        <v>3</v>
      </c>
      <c r="N2768" t="s">
        <v>56</v>
      </c>
    </row>
    <row r="2769" spans="1:14" x14ac:dyDescent="0.3">
      <c r="A2769" s="1">
        <v>45299</v>
      </c>
      <c r="B2769" t="s">
        <v>35</v>
      </c>
      <c r="C2769" t="s">
        <v>33</v>
      </c>
      <c r="D2769" t="s">
        <v>19</v>
      </c>
      <c r="E2769">
        <v>1</v>
      </c>
      <c r="F2769">
        <v>311</v>
      </c>
      <c r="G2769">
        <v>50.66</v>
      </c>
      <c r="H2769">
        <v>2024</v>
      </c>
      <c r="I2769" t="s">
        <v>26</v>
      </c>
      <c r="J2769" s="4">
        <v>0.16289389067524099</v>
      </c>
      <c r="K2769" t="s">
        <v>41</v>
      </c>
      <c r="L2769" t="s">
        <v>55</v>
      </c>
      <c r="M2769">
        <v>1</v>
      </c>
      <c r="N2769" t="s">
        <v>65</v>
      </c>
    </row>
    <row r="2770" spans="1:14" x14ac:dyDescent="0.3">
      <c r="A2770" s="1">
        <v>45646</v>
      </c>
      <c r="B2770" t="s">
        <v>35</v>
      </c>
      <c r="C2770" t="s">
        <v>33</v>
      </c>
      <c r="D2770" t="s">
        <v>12</v>
      </c>
      <c r="E2770">
        <v>4</v>
      </c>
      <c r="F2770">
        <v>2336</v>
      </c>
      <c r="G2770">
        <v>453.04</v>
      </c>
      <c r="H2770">
        <v>2024</v>
      </c>
      <c r="I2770" t="s">
        <v>13</v>
      </c>
      <c r="J2770" s="4">
        <v>0.19393835616438401</v>
      </c>
      <c r="K2770" t="s">
        <v>41</v>
      </c>
      <c r="L2770" t="s">
        <v>52</v>
      </c>
      <c r="M2770">
        <v>12</v>
      </c>
      <c r="N2770" t="s">
        <v>53</v>
      </c>
    </row>
    <row r="2771" spans="1:14" x14ac:dyDescent="0.3">
      <c r="A2771" s="1">
        <v>45363</v>
      </c>
      <c r="B2771" t="s">
        <v>35</v>
      </c>
      <c r="C2771" t="s">
        <v>33</v>
      </c>
      <c r="D2771" t="s">
        <v>19</v>
      </c>
      <c r="E2771">
        <v>7</v>
      </c>
      <c r="F2771">
        <v>4417</v>
      </c>
      <c r="G2771">
        <v>562.79</v>
      </c>
      <c r="H2771">
        <v>2024</v>
      </c>
      <c r="I2771" t="s">
        <v>15</v>
      </c>
      <c r="J2771" s="4">
        <v>0.12741453475209399</v>
      </c>
      <c r="K2771" t="s">
        <v>41</v>
      </c>
      <c r="L2771" t="s">
        <v>55</v>
      </c>
      <c r="M2771">
        <v>3</v>
      </c>
      <c r="N2771" t="s">
        <v>56</v>
      </c>
    </row>
    <row r="2772" spans="1:14" x14ac:dyDescent="0.3">
      <c r="A2772" s="1">
        <v>45653</v>
      </c>
      <c r="B2772" t="s">
        <v>35</v>
      </c>
      <c r="C2772" t="s">
        <v>33</v>
      </c>
      <c r="D2772" t="s">
        <v>12</v>
      </c>
      <c r="E2772">
        <v>3</v>
      </c>
      <c r="F2772">
        <v>1851</v>
      </c>
      <c r="G2772">
        <v>348.9</v>
      </c>
      <c r="H2772">
        <v>2024</v>
      </c>
      <c r="I2772" t="s">
        <v>13</v>
      </c>
      <c r="J2772" s="4">
        <v>0.18849270664505699</v>
      </c>
      <c r="K2772" t="s">
        <v>41</v>
      </c>
      <c r="L2772" t="s">
        <v>52</v>
      </c>
      <c r="M2772">
        <v>12</v>
      </c>
      <c r="N2772" t="s">
        <v>53</v>
      </c>
    </row>
    <row r="2773" spans="1:14" x14ac:dyDescent="0.3">
      <c r="A2773" s="1">
        <v>45570</v>
      </c>
      <c r="B2773" t="s">
        <v>35</v>
      </c>
      <c r="C2773" t="s">
        <v>33</v>
      </c>
      <c r="D2773" t="s">
        <v>12</v>
      </c>
      <c r="E2773">
        <v>9</v>
      </c>
      <c r="F2773">
        <v>4032</v>
      </c>
      <c r="G2773">
        <v>876.91</v>
      </c>
      <c r="H2773">
        <v>2024</v>
      </c>
      <c r="I2773" t="s">
        <v>14</v>
      </c>
      <c r="J2773" s="4">
        <v>0.217487599206349</v>
      </c>
      <c r="K2773" t="s">
        <v>41</v>
      </c>
      <c r="L2773" t="s">
        <v>52</v>
      </c>
      <c r="M2773">
        <v>10</v>
      </c>
      <c r="N2773" t="s">
        <v>54</v>
      </c>
    </row>
    <row r="2774" spans="1:14" x14ac:dyDescent="0.3">
      <c r="A2774" s="1">
        <v>45623</v>
      </c>
      <c r="B2774" t="s">
        <v>35</v>
      </c>
      <c r="C2774" t="s">
        <v>33</v>
      </c>
      <c r="D2774" t="s">
        <v>19</v>
      </c>
      <c r="E2774">
        <v>2</v>
      </c>
      <c r="F2774">
        <v>416</v>
      </c>
      <c r="G2774">
        <v>68.58</v>
      </c>
      <c r="H2774">
        <v>2024</v>
      </c>
      <c r="I2774" t="s">
        <v>18</v>
      </c>
      <c r="J2774" s="4">
        <v>0.164855769230769</v>
      </c>
      <c r="K2774" t="s">
        <v>41</v>
      </c>
      <c r="L2774" t="s">
        <v>52</v>
      </c>
      <c r="M2774">
        <v>11</v>
      </c>
      <c r="N2774" t="s">
        <v>58</v>
      </c>
    </row>
    <row r="2775" spans="1:14" x14ac:dyDescent="0.3">
      <c r="A2775" s="1">
        <v>45410</v>
      </c>
      <c r="B2775" t="s">
        <v>35</v>
      </c>
      <c r="C2775" t="s">
        <v>33</v>
      </c>
      <c r="D2775" t="s">
        <v>17</v>
      </c>
      <c r="E2775">
        <v>9</v>
      </c>
      <c r="F2775">
        <v>6696</v>
      </c>
      <c r="G2775">
        <v>407.36</v>
      </c>
      <c r="H2775">
        <v>2024</v>
      </c>
      <c r="I2775" t="s">
        <v>23</v>
      </c>
      <c r="J2775" s="4">
        <v>6.08363201911589E-2</v>
      </c>
      <c r="K2775" t="s">
        <v>41</v>
      </c>
      <c r="L2775" t="s">
        <v>59</v>
      </c>
      <c r="M2775">
        <v>4</v>
      </c>
      <c r="N2775" t="s">
        <v>62</v>
      </c>
    </row>
    <row r="2776" spans="1:14" x14ac:dyDescent="0.3">
      <c r="A2776" s="1">
        <v>45637</v>
      </c>
      <c r="B2776" t="s">
        <v>35</v>
      </c>
      <c r="C2776" t="s">
        <v>33</v>
      </c>
      <c r="D2776" t="s">
        <v>17</v>
      </c>
      <c r="E2776">
        <v>6</v>
      </c>
      <c r="F2776">
        <v>624</v>
      </c>
      <c r="G2776">
        <v>66.989999999999995</v>
      </c>
      <c r="H2776">
        <v>2024</v>
      </c>
      <c r="I2776" t="s">
        <v>13</v>
      </c>
      <c r="J2776" s="4">
        <v>0.107355769230769</v>
      </c>
      <c r="K2776" t="s">
        <v>41</v>
      </c>
      <c r="L2776" t="s">
        <v>52</v>
      </c>
      <c r="M2776">
        <v>12</v>
      </c>
      <c r="N2776" t="s">
        <v>53</v>
      </c>
    </row>
    <row r="2777" spans="1:14" x14ac:dyDescent="0.3">
      <c r="A2777" s="1">
        <v>45615</v>
      </c>
      <c r="B2777" t="s">
        <v>35</v>
      </c>
      <c r="C2777" t="s">
        <v>33</v>
      </c>
      <c r="D2777" t="s">
        <v>22</v>
      </c>
      <c r="E2777">
        <v>4</v>
      </c>
      <c r="F2777">
        <v>1472</v>
      </c>
      <c r="G2777">
        <v>387.27</v>
      </c>
      <c r="H2777">
        <v>2024</v>
      </c>
      <c r="I2777" t="s">
        <v>18</v>
      </c>
      <c r="J2777" s="4">
        <v>0.26309103260869598</v>
      </c>
      <c r="K2777" t="s">
        <v>41</v>
      </c>
      <c r="L2777" t="s">
        <v>52</v>
      </c>
      <c r="M2777">
        <v>11</v>
      </c>
      <c r="N2777" t="s">
        <v>58</v>
      </c>
    </row>
    <row r="2778" spans="1:14" x14ac:dyDescent="0.3">
      <c r="A2778" s="1">
        <v>45629</v>
      </c>
      <c r="B2778" t="s">
        <v>35</v>
      </c>
      <c r="C2778" t="s">
        <v>33</v>
      </c>
      <c r="D2778" t="s">
        <v>17</v>
      </c>
      <c r="E2778">
        <v>3</v>
      </c>
      <c r="F2778">
        <v>1239</v>
      </c>
      <c r="G2778">
        <v>143.35</v>
      </c>
      <c r="H2778">
        <v>2024</v>
      </c>
      <c r="I2778" t="s">
        <v>13</v>
      </c>
      <c r="J2778" s="4">
        <v>0.115698143664245</v>
      </c>
      <c r="K2778" t="s">
        <v>41</v>
      </c>
      <c r="L2778" t="s">
        <v>52</v>
      </c>
      <c r="M2778">
        <v>12</v>
      </c>
      <c r="N2778" t="s">
        <v>53</v>
      </c>
    </row>
    <row r="2779" spans="1:14" x14ac:dyDescent="0.3">
      <c r="A2779" s="1">
        <v>45517</v>
      </c>
      <c r="B2779" t="s">
        <v>35</v>
      </c>
      <c r="C2779" t="s">
        <v>33</v>
      </c>
      <c r="D2779" t="s">
        <v>22</v>
      </c>
      <c r="E2779">
        <v>2</v>
      </c>
      <c r="F2779">
        <v>684</v>
      </c>
      <c r="G2779">
        <v>71.39</v>
      </c>
      <c r="H2779">
        <v>2024</v>
      </c>
      <c r="I2779" t="s">
        <v>24</v>
      </c>
      <c r="J2779" s="4">
        <v>0.10437134502924</v>
      </c>
      <c r="K2779" t="s">
        <v>41</v>
      </c>
      <c r="L2779" t="s">
        <v>60</v>
      </c>
      <c r="M2779">
        <v>8</v>
      </c>
      <c r="N2779" t="s">
        <v>63</v>
      </c>
    </row>
    <row r="2780" spans="1:14" x14ac:dyDescent="0.3">
      <c r="A2780" s="1">
        <v>45312</v>
      </c>
      <c r="B2780" t="s">
        <v>35</v>
      </c>
      <c r="C2780" t="s">
        <v>33</v>
      </c>
      <c r="D2780" t="s">
        <v>19</v>
      </c>
      <c r="E2780">
        <v>8</v>
      </c>
      <c r="F2780">
        <v>6592</v>
      </c>
      <c r="G2780">
        <v>1024.82</v>
      </c>
      <c r="H2780">
        <v>2024</v>
      </c>
      <c r="I2780" t="s">
        <v>26</v>
      </c>
      <c r="J2780" s="4">
        <v>0.155464199029126</v>
      </c>
      <c r="K2780" t="s">
        <v>41</v>
      </c>
      <c r="L2780" t="s">
        <v>55</v>
      </c>
      <c r="M2780">
        <v>1</v>
      </c>
      <c r="N2780" t="s">
        <v>65</v>
      </c>
    </row>
    <row r="2781" spans="1:14" x14ac:dyDescent="0.3">
      <c r="A2781" s="1">
        <v>45264</v>
      </c>
      <c r="B2781" t="s">
        <v>36</v>
      </c>
      <c r="C2781" t="s">
        <v>33</v>
      </c>
      <c r="D2781" t="s">
        <v>22</v>
      </c>
      <c r="E2781">
        <v>6</v>
      </c>
      <c r="F2781">
        <v>7074</v>
      </c>
      <c r="G2781">
        <v>1357.68</v>
      </c>
      <c r="H2781">
        <v>2023</v>
      </c>
      <c r="I2781" t="s">
        <v>13</v>
      </c>
      <c r="J2781" s="4">
        <v>0.19192536047497899</v>
      </c>
      <c r="K2781" t="s">
        <v>40</v>
      </c>
      <c r="L2781" t="s">
        <v>52</v>
      </c>
      <c r="M2781">
        <v>12</v>
      </c>
      <c r="N2781" t="s">
        <v>53</v>
      </c>
    </row>
    <row r="2782" spans="1:14" x14ac:dyDescent="0.3">
      <c r="A2782" s="1">
        <v>45223</v>
      </c>
      <c r="B2782" t="s">
        <v>36</v>
      </c>
      <c r="C2782" t="s">
        <v>33</v>
      </c>
      <c r="D2782" t="s">
        <v>17</v>
      </c>
      <c r="E2782">
        <v>4</v>
      </c>
      <c r="F2782">
        <v>1456</v>
      </c>
      <c r="G2782">
        <v>431.89</v>
      </c>
      <c r="H2782">
        <v>2023</v>
      </c>
      <c r="I2782" t="s">
        <v>14</v>
      </c>
      <c r="J2782" s="4">
        <v>0.29662774725274699</v>
      </c>
      <c r="K2782" t="s">
        <v>40</v>
      </c>
      <c r="L2782" t="s">
        <v>52</v>
      </c>
      <c r="M2782">
        <v>10</v>
      </c>
      <c r="N2782" t="s">
        <v>54</v>
      </c>
    </row>
    <row r="2783" spans="1:14" x14ac:dyDescent="0.3">
      <c r="A2783" s="1">
        <v>45122</v>
      </c>
      <c r="B2783" t="s">
        <v>36</v>
      </c>
      <c r="C2783" t="s">
        <v>33</v>
      </c>
      <c r="D2783" t="s">
        <v>19</v>
      </c>
      <c r="E2783">
        <v>6</v>
      </c>
      <c r="F2783">
        <v>3150</v>
      </c>
      <c r="G2783">
        <v>578.87</v>
      </c>
      <c r="H2783">
        <v>2023</v>
      </c>
      <c r="I2783" t="s">
        <v>25</v>
      </c>
      <c r="J2783" s="4">
        <v>0.183768253968254</v>
      </c>
      <c r="K2783" t="s">
        <v>40</v>
      </c>
      <c r="L2783" t="s">
        <v>60</v>
      </c>
      <c r="M2783">
        <v>7</v>
      </c>
      <c r="N2783" t="s">
        <v>64</v>
      </c>
    </row>
    <row r="2784" spans="1:14" x14ac:dyDescent="0.3">
      <c r="A2784" s="1">
        <v>45050</v>
      </c>
      <c r="B2784" t="s">
        <v>36</v>
      </c>
      <c r="C2784" t="s">
        <v>33</v>
      </c>
      <c r="D2784" t="s">
        <v>17</v>
      </c>
      <c r="E2784">
        <v>8</v>
      </c>
      <c r="F2784">
        <v>4120</v>
      </c>
      <c r="G2784">
        <v>710.11</v>
      </c>
      <c r="H2784">
        <v>2023</v>
      </c>
      <c r="I2784" t="s">
        <v>20</v>
      </c>
      <c r="J2784" s="4">
        <v>0.17235679611650501</v>
      </c>
      <c r="K2784" t="s">
        <v>40</v>
      </c>
      <c r="L2784" t="s">
        <v>59</v>
      </c>
      <c r="M2784">
        <v>5</v>
      </c>
      <c r="N2784" t="s">
        <v>20</v>
      </c>
    </row>
    <row r="2785" spans="1:14" x14ac:dyDescent="0.3">
      <c r="A2785" s="1">
        <v>45054</v>
      </c>
      <c r="B2785" t="s">
        <v>36</v>
      </c>
      <c r="C2785" t="s">
        <v>33</v>
      </c>
      <c r="D2785" t="s">
        <v>22</v>
      </c>
      <c r="E2785">
        <v>9</v>
      </c>
      <c r="F2785">
        <v>6939</v>
      </c>
      <c r="G2785">
        <v>1249.31</v>
      </c>
      <c r="H2785">
        <v>2023</v>
      </c>
      <c r="I2785" t="s">
        <v>20</v>
      </c>
      <c r="J2785" s="4">
        <v>0.18004179276552801</v>
      </c>
      <c r="K2785" t="s">
        <v>40</v>
      </c>
      <c r="L2785" t="s">
        <v>59</v>
      </c>
      <c r="M2785">
        <v>5</v>
      </c>
      <c r="N2785" t="s">
        <v>20</v>
      </c>
    </row>
    <row r="2786" spans="1:14" x14ac:dyDescent="0.3">
      <c r="A2786" s="1">
        <v>45145</v>
      </c>
      <c r="B2786" t="s">
        <v>36</v>
      </c>
      <c r="C2786" t="s">
        <v>33</v>
      </c>
      <c r="D2786" t="s">
        <v>19</v>
      </c>
      <c r="E2786">
        <v>6</v>
      </c>
      <c r="F2786">
        <v>3300</v>
      </c>
      <c r="G2786">
        <v>386.92</v>
      </c>
      <c r="H2786">
        <v>2023</v>
      </c>
      <c r="I2786" t="s">
        <v>24</v>
      </c>
      <c r="J2786" s="4">
        <v>0.117248484848485</v>
      </c>
      <c r="K2786" t="s">
        <v>40</v>
      </c>
      <c r="L2786" t="s">
        <v>60</v>
      </c>
      <c r="M2786">
        <v>8</v>
      </c>
      <c r="N2786" t="s">
        <v>63</v>
      </c>
    </row>
    <row r="2787" spans="1:14" x14ac:dyDescent="0.3">
      <c r="A2787" s="1">
        <v>45275</v>
      </c>
      <c r="B2787" t="s">
        <v>36</v>
      </c>
      <c r="C2787" t="s">
        <v>33</v>
      </c>
      <c r="D2787" t="s">
        <v>12</v>
      </c>
      <c r="E2787">
        <v>6</v>
      </c>
      <c r="F2787">
        <v>846</v>
      </c>
      <c r="G2787">
        <v>190.87</v>
      </c>
      <c r="H2787">
        <v>2023</v>
      </c>
      <c r="I2787" t="s">
        <v>13</v>
      </c>
      <c r="J2787" s="4">
        <v>0.225614657210402</v>
      </c>
      <c r="K2787" t="s">
        <v>40</v>
      </c>
      <c r="L2787" t="s">
        <v>52</v>
      </c>
      <c r="M2787">
        <v>12</v>
      </c>
      <c r="N2787" t="s">
        <v>53</v>
      </c>
    </row>
    <row r="2788" spans="1:14" x14ac:dyDescent="0.3">
      <c r="A2788" s="1">
        <v>45146</v>
      </c>
      <c r="B2788" t="s">
        <v>36</v>
      </c>
      <c r="C2788" t="s">
        <v>33</v>
      </c>
      <c r="D2788" t="s">
        <v>17</v>
      </c>
      <c r="E2788">
        <v>9</v>
      </c>
      <c r="F2788">
        <v>10458</v>
      </c>
      <c r="G2788">
        <v>2799.48</v>
      </c>
      <c r="H2788">
        <v>2023</v>
      </c>
      <c r="I2788" t="s">
        <v>24</v>
      </c>
      <c r="J2788" s="4">
        <v>0.267687894434882</v>
      </c>
      <c r="K2788" t="s">
        <v>40</v>
      </c>
      <c r="L2788" t="s">
        <v>60</v>
      </c>
      <c r="M2788">
        <v>8</v>
      </c>
      <c r="N2788" t="s">
        <v>63</v>
      </c>
    </row>
    <row r="2789" spans="1:14" x14ac:dyDescent="0.3">
      <c r="A2789" s="1">
        <v>44942</v>
      </c>
      <c r="B2789" t="s">
        <v>36</v>
      </c>
      <c r="C2789" t="s">
        <v>33</v>
      </c>
      <c r="D2789" t="s">
        <v>22</v>
      </c>
      <c r="E2789">
        <v>8</v>
      </c>
      <c r="F2789">
        <v>928</v>
      </c>
      <c r="G2789">
        <v>170.05</v>
      </c>
      <c r="H2789">
        <v>2023</v>
      </c>
      <c r="I2789" t="s">
        <v>26</v>
      </c>
      <c r="J2789" s="4">
        <v>0.18324353448275901</v>
      </c>
      <c r="K2789" t="s">
        <v>40</v>
      </c>
      <c r="L2789" t="s">
        <v>55</v>
      </c>
      <c r="M2789">
        <v>1</v>
      </c>
      <c r="N2789" t="s">
        <v>65</v>
      </c>
    </row>
    <row r="2790" spans="1:14" x14ac:dyDescent="0.3">
      <c r="A2790" s="1">
        <v>45122</v>
      </c>
      <c r="B2790" t="s">
        <v>36</v>
      </c>
      <c r="C2790" t="s">
        <v>33</v>
      </c>
      <c r="D2790" t="s">
        <v>22</v>
      </c>
      <c r="E2790">
        <v>5</v>
      </c>
      <c r="F2790">
        <v>1465</v>
      </c>
      <c r="G2790">
        <v>149.62</v>
      </c>
      <c r="H2790">
        <v>2023</v>
      </c>
      <c r="I2790" t="s">
        <v>25</v>
      </c>
      <c r="J2790" s="4">
        <v>0.102129692832764</v>
      </c>
      <c r="K2790" t="s">
        <v>40</v>
      </c>
      <c r="L2790" t="s">
        <v>60</v>
      </c>
      <c r="M2790">
        <v>7</v>
      </c>
      <c r="N2790" t="s">
        <v>64</v>
      </c>
    </row>
    <row r="2791" spans="1:14" x14ac:dyDescent="0.3">
      <c r="A2791" s="1">
        <v>44960</v>
      </c>
      <c r="B2791" t="s">
        <v>36</v>
      </c>
      <c r="C2791" t="s">
        <v>33</v>
      </c>
      <c r="D2791" t="s">
        <v>22</v>
      </c>
      <c r="E2791">
        <v>4</v>
      </c>
      <c r="F2791">
        <v>2836</v>
      </c>
      <c r="G2791">
        <v>698.83</v>
      </c>
      <c r="H2791">
        <v>2023</v>
      </c>
      <c r="I2791" t="s">
        <v>16</v>
      </c>
      <c r="J2791" s="4">
        <v>0.246413963328632</v>
      </c>
      <c r="K2791" t="s">
        <v>40</v>
      </c>
      <c r="L2791" t="s">
        <v>55</v>
      </c>
      <c r="M2791">
        <v>2</v>
      </c>
      <c r="N2791" t="s">
        <v>57</v>
      </c>
    </row>
    <row r="2792" spans="1:14" x14ac:dyDescent="0.3">
      <c r="A2792" s="1">
        <v>45108</v>
      </c>
      <c r="B2792" t="s">
        <v>36</v>
      </c>
      <c r="C2792" t="s">
        <v>33</v>
      </c>
      <c r="D2792" t="s">
        <v>22</v>
      </c>
      <c r="E2792">
        <v>1</v>
      </c>
      <c r="F2792">
        <v>612</v>
      </c>
      <c r="G2792">
        <v>174.52</v>
      </c>
      <c r="H2792">
        <v>2023</v>
      </c>
      <c r="I2792" t="s">
        <v>25</v>
      </c>
      <c r="J2792" s="4">
        <v>0.28516339869280999</v>
      </c>
      <c r="K2792" t="s">
        <v>40</v>
      </c>
      <c r="L2792" t="s">
        <v>60</v>
      </c>
      <c r="M2792">
        <v>7</v>
      </c>
      <c r="N2792" t="s">
        <v>64</v>
      </c>
    </row>
    <row r="2793" spans="1:14" x14ac:dyDescent="0.3">
      <c r="A2793" s="1">
        <v>45257</v>
      </c>
      <c r="B2793" t="s">
        <v>36</v>
      </c>
      <c r="C2793" t="s">
        <v>33</v>
      </c>
      <c r="D2793" t="s">
        <v>22</v>
      </c>
      <c r="E2793">
        <v>5</v>
      </c>
      <c r="F2793">
        <v>1215</v>
      </c>
      <c r="G2793">
        <v>162.02000000000001</v>
      </c>
      <c r="H2793">
        <v>2023</v>
      </c>
      <c r="I2793" t="s">
        <v>18</v>
      </c>
      <c r="J2793" s="4">
        <v>0.13334979423868301</v>
      </c>
      <c r="K2793" t="s">
        <v>40</v>
      </c>
      <c r="L2793" t="s">
        <v>52</v>
      </c>
      <c r="M2793">
        <v>11</v>
      </c>
      <c r="N2793" t="s">
        <v>58</v>
      </c>
    </row>
    <row r="2794" spans="1:14" x14ac:dyDescent="0.3">
      <c r="A2794" s="1">
        <v>45121</v>
      </c>
      <c r="B2794" t="s">
        <v>36</v>
      </c>
      <c r="C2794" t="s">
        <v>33</v>
      </c>
      <c r="D2794" t="s">
        <v>12</v>
      </c>
      <c r="E2794">
        <v>9</v>
      </c>
      <c r="F2794">
        <v>2889</v>
      </c>
      <c r="G2794">
        <v>604.19000000000005</v>
      </c>
      <c r="H2794">
        <v>2023</v>
      </c>
      <c r="I2794" t="s">
        <v>25</v>
      </c>
      <c r="J2794" s="4">
        <v>0.20913464866735901</v>
      </c>
      <c r="K2794" t="s">
        <v>40</v>
      </c>
      <c r="L2794" t="s">
        <v>60</v>
      </c>
      <c r="M2794">
        <v>7</v>
      </c>
      <c r="N2794" t="s">
        <v>64</v>
      </c>
    </row>
    <row r="2795" spans="1:14" x14ac:dyDescent="0.3">
      <c r="A2795" s="1">
        <v>45122</v>
      </c>
      <c r="B2795" t="s">
        <v>36</v>
      </c>
      <c r="C2795" t="s">
        <v>33</v>
      </c>
      <c r="D2795" t="s">
        <v>12</v>
      </c>
      <c r="E2795">
        <v>6</v>
      </c>
      <c r="F2795">
        <v>1764</v>
      </c>
      <c r="G2795">
        <v>465.93</v>
      </c>
      <c r="H2795">
        <v>2023</v>
      </c>
      <c r="I2795" t="s">
        <v>25</v>
      </c>
      <c r="J2795" s="4">
        <v>0.26413265306122502</v>
      </c>
      <c r="K2795" t="s">
        <v>40</v>
      </c>
      <c r="L2795" t="s">
        <v>60</v>
      </c>
      <c r="M2795">
        <v>7</v>
      </c>
      <c r="N2795" t="s">
        <v>64</v>
      </c>
    </row>
    <row r="2796" spans="1:14" x14ac:dyDescent="0.3">
      <c r="A2796" s="1">
        <v>45223</v>
      </c>
      <c r="B2796" t="s">
        <v>36</v>
      </c>
      <c r="C2796" t="s">
        <v>33</v>
      </c>
      <c r="D2796" t="s">
        <v>17</v>
      </c>
      <c r="E2796">
        <v>3</v>
      </c>
      <c r="F2796">
        <v>474</v>
      </c>
      <c r="G2796">
        <v>83.32</v>
      </c>
      <c r="H2796">
        <v>2023</v>
      </c>
      <c r="I2796" t="s">
        <v>14</v>
      </c>
      <c r="J2796" s="4">
        <v>0.17578059071730001</v>
      </c>
      <c r="K2796" t="s">
        <v>40</v>
      </c>
      <c r="L2796" t="s">
        <v>52</v>
      </c>
      <c r="M2796">
        <v>10</v>
      </c>
      <c r="N2796" t="s">
        <v>54</v>
      </c>
    </row>
    <row r="2797" spans="1:14" x14ac:dyDescent="0.3">
      <c r="A2797" s="1">
        <v>45032</v>
      </c>
      <c r="B2797" t="s">
        <v>36</v>
      </c>
      <c r="C2797" t="s">
        <v>33</v>
      </c>
      <c r="D2797" t="s">
        <v>12</v>
      </c>
      <c r="E2797">
        <v>5</v>
      </c>
      <c r="F2797">
        <v>680</v>
      </c>
      <c r="G2797">
        <v>176.44</v>
      </c>
      <c r="H2797">
        <v>2023</v>
      </c>
      <c r="I2797" t="s">
        <v>23</v>
      </c>
      <c r="J2797" s="4">
        <v>0.25947058823529401</v>
      </c>
      <c r="K2797" t="s">
        <v>40</v>
      </c>
      <c r="L2797" t="s">
        <v>59</v>
      </c>
      <c r="M2797">
        <v>4</v>
      </c>
      <c r="N2797" t="s">
        <v>62</v>
      </c>
    </row>
    <row r="2798" spans="1:14" x14ac:dyDescent="0.3">
      <c r="A2798" s="1">
        <v>45016</v>
      </c>
      <c r="B2798" t="s">
        <v>36</v>
      </c>
      <c r="C2798" t="s">
        <v>33</v>
      </c>
      <c r="D2798" t="s">
        <v>12</v>
      </c>
      <c r="E2798">
        <v>9</v>
      </c>
      <c r="F2798">
        <v>945</v>
      </c>
      <c r="G2798">
        <v>94.75</v>
      </c>
      <c r="H2798">
        <v>2023</v>
      </c>
      <c r="I2798" t="s">
        <v>15</v>
      </c>
      <c r="J2798" s="4">
        <v>0.10026455026455</v>
      </c>
      <c r="K2798" t="s">
        <v>40</v>
      </c>
      <c r="L2798" t="s">
        <v>55</v>
      </c>
      <c r="M2798">
        <v>3</v>
      </c>
      <c r="N2798" t="s">
        <v>56</v>
      </c>
    </row>
    <row r="2799" spans="1:14" x14ac:dyDescent="0.3">
      <c r="A2799" s="1">
        <v>45041</v>
      </c>
      <c r="B2799" t="s">
        <v>36</v>
      </c>
      <c r="C2799" t="s">
        <v>33</v>
      </c>
      <c r="D2799" t="s">
        <v>17</v>
      </c>
      <c r="E2799">
        <v>4</v>
      </c>
      <c r="F2799">
        <v>1392</v>
      </c>
      <c r="G2799">
        <v>394.48</v>
      </c>
      <c r="H2799">
        <v>2023</v>
      </c>
      <c r="I2799" t="s">
        <v>23</v>
      </c>
      <c r="J2799" s="4">
        <v>0.283390804597701</v>
      </c>
      <c r="K2799" t="s">
        <v>40</v>
      </c>
      <c r="L2799" t="s">
        <v>59</v>
      </c>
      <c r="M2799">
        <v>4</v>
      </c>
      <c r="N2799" t="s">
        <v>62</v>
      </c>
    </row>
    <row r="2800" spans="1:14" x14ac:dyDescent="0.3">
      <c r="A2800" s="1">
        <v>45023</v>
      </c>
      <c r="B2800" t="s">
        <v>36</v>
      </c>
      <c r="C2800" t="s">
        <v>33</v>
      </c>
      <c r="D2800" t="s">
        <v>12</v>
      </c>
      <c r="E2800">
        <v>5</v>
      </c>
      <c r="F2800">
        <v>4260</v>
      </c>
      <c r="G2800">
        <v>229.77</v>
      </c>
      <c r="H2800">
        <v>2023</v>
      </c>
      <c r="I2800" t="s">
        <v>23</v>
      </c>
      <c r="J2800" s="4">
        <v>5.3936619718309903E-2</v>
      </c>
      <c r="K2800" t="s">
        <v>40</v>
      </c>
      <c r="L2800" t="s">
        <v>59</v>
      </c>
      <c r="M2800">
        <v>4</v>
      </c>
      <c r="N2800" t="s">
        <v>62</v>
      </c>
    </row>
    <row r="2801" spans="1:14" x14ac:dyDescent="0.3">
      <c r="A2801" s="1">
        <v>45047</v>
      </c>
      <c r="B2801" t="s">
        <v>36</v>
      </c>
      <c r="C2801" t="s">
        <v>33</v>
      </c>
      <c r="D2801" t="s">
        <v>19</v>
      </c>
      <c r="E2801">
        <v>4</v>
      </c>
      <c r="F2801">
        <v>4580</v>
      </c>
      <c r="G2801">
        <v>655.14</v>
      </c>
      <c r="H2801">
        <v>2023</v>
      </c>
      <c r="I2801" t="s">
        <v>20</v>
      </c>
      <c r="J2801" s="4">
        <v>0.14304366812227101</v>
      </c>
      <c r="K2801" t="s">
        <v>40</v>
      </c>
      <c r="L2801" t="s">
        <v>59</v>
      </c>
      <c r="M2801">
        <v>5</v>
      </c>
      <c r="N2801" t="s">
        <v>20</v>
      </c>
    </row>
    <row r="2802" spans="1:14" x14ac:dyDescent="0.3">
      <c r="A2802" s="1">
        <v>45032</v>
      </c>
      <c r="B2802" t="s">
        <v>36</v>
      </c>
      <c r="C2802" t="s">
        <v>33</v>
      </c>
      <c r="D2802" t="s">
        <v>12</v>
      </c>
      <c r="E2802">
        <v>1</v>
      </c>
      <c r="F2802">
        <v>924</v>
      </c>
      <c r="G2802">
        <v>125.65</v>
      </c>
      <c r="H2802">
        <v>2023</v>
      </c>
      <c r="I2802" t="s">
        <v>23</v>
      </c>
      <c r="J2802" s="4">
        <v>0.13598484848484799</v>
      </c>
      <c r="K2802" t="s">
        <v>40</v>
      </c>
      <c r="L2802" t="s">
        <v>59</v>
      </c>
      <c r="M2802">
        <v>4</v>
      </c>
      <c r="N2802" t="s">
        <v>62</v>
      </c>
    </row>
    <row r="2803" spans="1:14" x14ac:dyDescent="0.3">
      <c r="A2803" s="1">
        <v>45235</v>
      </c>
      <c r="B2803" t="s">
        <v>36</v>
      </c>
      <c r="C2803" t="s">
        <v>33</v>
      </c>
      <c r="D2803" t="s">
        <v>19</v>
      </c>
      <c r="E2803">
        <v>9</v>
      </c>
      <c r="F2803">
        <v>5976</v>
      </c>
      <c r="G2803">
        <v>1747.57</v>
      </c>
      <c r="H2803">
        <v>2023</v>
      </c>
      <c r="I2803" t="s">
        <v>18</v>
      </c>
      <c r="J2803" s="4">
        <v>0.29243139223560899</v>
      </c>
      <c r="K2803" t="s">
        <v>40</v>
      </c>
      <c r="L2803" t="s">
        <v>52</v>
      </c>
      <c r="M2803">
        <v>11</v>
      </c>
      <c r="N2803" t="s">
        <v>58</v>
      </c>
    </row>
    <row r="2804" spans="1:14" x14ac:dyDescent="0.3">
      <c r="A2804" s="1">
        <v>45236</v>
      </c>
      <c r="B2804" t="s">
        <v>36</v>
      </c>
      <c r="C2804" t="s">
        <v>33</v>
      </c>
      <c r="D2804" t="s">
        <v>12</v>
      </c>
      <c r="E2804">
        <v>1</v>
      </c>
      <c r="F2804">
        <v>464</v>
      </c>
      <c r="G2804">
        <v>58.38</v>
      </c>
      <c r="H2804">
        <v>2023</v>
      </c>
      <c r="I2804" t="s">
        <v>18</v>
      </c>
      <c r="J2804" s="4">
        <v>0.125818965517241</v>
      </c>
      <c r="K2804" t="s">
        <v>40</v>
      </c>
      <c r="L2804" t="s">
        <v>52</v>
      </c>
      <c r="M2804">
        <v>11</v>
      </c>
      <c r="N2804" t="s">
        <v>58</v>
      </c>
    </row>
    <row r="2805" spans="1:14" x14ac:dyDescent="0.3">
      <c r="A2805" s="1">
        <v>44968</v>
      </c>
      <c r="B2805" t="s">
        <v>36</v>
      </c>
      <c r="C2805" t="s">
        <v>33</v>
      </c>
      <c r="D2805" t="s">
        <v>17</v>
      </c>
      <c r="E2805">
        <v>5</v>
      </c>
      <c r="F2805">
        <v>5155</v>
      </c>
      <c r="G2805">
        <v>356.43</v>
      </c>
      <c r="H2805">
        <v>2023</v>
      </c>
      <c r="I2805" t="s">
        <v>16</v>
      </c>
      <c r="J2805" s="4">
        <v>6.9142580019398603E-2</v>
      </c>
      <c r="K2805" t="s">
        <v>40</v>
      </c>
      <c r="L2805" t="s">
        <v>55</v>
      </c>
      <c r="M2805">
        <v>2</v>
      </c>
      <c r="N2805" t="s">
        <v>57</v>
      </c>
    </row>
    <row r="2806" spans="1:14" x14ac:dyDescent="0.3">
      <c r="A2806" s="1">
        <v>45260</v>
      </c>
      <c r="B2806" t="s">
        <v>36</v>
      </c>
      <c r="C2806" t="s">
        <v>33</v>
      </c>
      <c r="D2806" t="s">
        <v>17</v>
      </c>
      <c r="E2806">
        <v>7</v>
      </c>
      <c r="F2806">
        <v>875</v>
      </c>
      <c r="G2806">
        <v>203.63</v>
      </c>
      <c r="H2806">
        <v>2023</v>
      </c>
      <c r="I2806" t="s">
        <v>18</v>
      </c>
      <c r="J2806" s="4">
        <v>0.23272000000000001</v>
      </c>
      <c r="K2806" t="s">
        <v>40</v>
      </c>
      <c r="L2806" t="s">
        <v>52</v>
      </c>
      <c r="M2806">
        <v>11</v>
      </c>
      <c r="N2806" t="s">
        <v>58</v>
      </c>
    </row>
    <row r="2807" spans="1:14" x14ac:dyDescent="0.3">
      <c r="A2807" s="1">
        <v>45042</v>
      </c>
      <c r="B2807" t="s">
        <v>36</v>
      </c>
      <c r="C2807" t="s">
        <v>33</v>
      </c>
      <c r="D2807" t="s">
        <v>22</v>
      </c>
      <c r="E2807">
        <v>3</v>
      </c>
      <c r="F2807">
        <v>2670</v>
      </c>
      <c r="G2807">
        <v>515.39</v>
      </c>
      <c r="H2807">
        <v>2023</v>
      </c>
      <c r="I2807" t="s">
        <v>23</v>
      </c>
      <c r="J2807" s="4">
        <v>0.19302996254681601</v>
      </c>
      <c r="K2807" t="s">
        <v>40</v>
      </c>
      <c r="L2807" t="s">
        <v>59</v>
      </c>
      <c r="M2807">
        <v>4</v>
      </c>
      <c r="N2807" t="s">
        <v>62</v>
      </c>
    </row>
    <row r="2808" spans="1:14" x14ac:dyDescent="0.3">
      <c r="A2808" s="1">
        <v>44948</v>
      </c>
      <c r="B2808" t="s">
        <v>36</v>
      </c>
      <c r="C2808" t="s">
        <v>33</v>
      </c>
      <c r="D2808" t="s">
        <v>22</v>
      </c>
      <c r="E2808">
        <v>2</v>
      </c>
      <c r="F2808">
        <v>1706</v>
      </c>
      <c r="G2808">
        <v>184.71</v>
      </c>
      <c r="H2808">
        <v>2023</v>
      </c>
      <c r="I2808" t="s">
        <v>26</v>
      </c>
      <c r="J2808" s="4">
        <v>0.10827080890973</v>
      </c>
      <c r="K2808" t="s">
        <v>40</v>
      </c>
      <c r="L2808" t="s">
        <v>55</v>
      </c>
      <c r="M2808">
        <v>1</v>
      </c>
      <c r="N2808" t="s">
        <v>65</v>
      </c>
    </row>
    <row r="2809" spans="1:14" x14ac:dyDescent="0.3">
      <c r="A2809" s="1">
        <v>45097</v>
      </c>
      <c r="B2809" t="s">
        <v>36</v>
      </c>
      <c r="C2809" t="s">
        <v>33</v>
      </c>
      <c r="D2809" t="s">
        <v>12</v>
      </c>
      <c r="E2809">
        <v>8</v>
      </c>
      <c r="F2809">
        <v>9104</v>
      </c>
      <c r="G2809">
        <v>2620.58</v>
      </c>
      <c r="H2809">
        <v>2023</v>
      </c>
      <c r="I2809" t="s">
        <v>27</v>
      </c>
      <c r="J2809" s="4">
        <v>0.287849297012302</v>
      </c>
      <c r="K2809" t="s">
        <v>40</v>
      </c>
      <c r="L2809" t="s">
        <v>59</v>
      </c>
      <c r="M2809">
        <v>6</v>
      </c>
      <c r="N2809" t="s">
        <v>66</v>
      </c>
    </row>
    <row r="2810" spans="1:14" x14ac:dyDescent="0.3">
      <c r="A2810" s="1">
        <v>45130</v>
      </c>
      <c r="B2810" t="s">
        <v>36</v>
      </c>
      <c r="C2810" t="s">
        <v>33</v>
      </c>
      <c r="D2810" t="s">
        <v>12</v>
      </c>
      <c r="E2810">
        <v>7</v>
      </c>
      <c r="F2810">
        <v>7238</v>
      </c>
      <c r="G2810">
        <v>1889.69</v>
      </c>
      <c r="H2810">
        <v>2023</v>
      </c>
      <c r="I2810" t="s">
        <v>25</v>
      </c>
      <c r="J2810" s="4">
        <v>0.26107902735562299</v>
      </c>
      <c r="K2810" t="s">
        <v>40</v>
      </c>
      <c r="L2810" t="s">
        <v>60</v>
      </c>
      <c r="M2810">
        <v>7</v>
      </c>
      <c r="N2810" t="s">
        <v>64</v>
      </c>
    </row>
    <row r="2811" spans="1:14" x14ac:dyDescent="0.3">
      <c r="A2811" s="1">
        <v>45062</v>
      </c>
      <c r="B2811" t="s">
        <v>36</v>
      </c>
      <c r="C2811" t="s">
        <v>33</v>
      </c>
      <c r="D2811" t="s">
        <v>22</v>
      </c>
      <c r="E2811">
        <v>9</v>
      </c>
      <c r="F2811">
        <v>1602</v>
      </c>
      <c r="G2811">
        <v>142.49</v>
      </c>
      <c r="H2811">
        <v>2023</v>
      </c>
      <c r="I2811" t="s">
        <v>20</v>
      </c>
      <c r="J2811" s="4">
        <v>8.8945068664169805E-2</v>
      </c>
      <c r="K2811" t="s">
        <v>40</v>
      </c>
      <c r="L2811" t="s">
        <v>59</v>
      </c>
      <c r="M2811">
        <v>5</v>
      </c>
      <c r="N2811" t="s">
        <v>20</v>
      </c>
    </row>
    <row r="2812" spans="1:14" x14ac:dyDescent="0.3">
      <c r="A2812" s="1">
        <v>45096</v>
      </c>
      <c r="B2812" t="s">
        <v>36</v>
      </c>
      <c r="C2812" t="s">
        <v>33</v>
      </c>
      <c r="D2812" t="s">
        <v>22</v>
      </c>
      <c r="E2812">
        <v>3</v>
      </c>
      <c r="F2812">
        <v>2853</v>
      </c>
      <c r="G2812">
        <v>437.59</v>
      </c>
      <c r="H2812">
        <v>2023</v>
      </c>
      <c r="I2812" t="s">
        <v>27</v>
      </c>
      <c r="J2812" s="4">
        <v>0.15337889940413599</v>
      </c>
      <c r="K2812" t="s">
        <v>40</v>
      </c>
      <c r="L2812" t="s">
        <v>59</v>
      </c>
      <c r="M2812">
        <v>6</v>
      </c>
      <c r="N2812" t="s">
        <v>66</v>
      </c>
    </row>
    <row r="2813" spans="1:14" x14ac:dyDescent="0.3">
      <c r="A2813" s="1">
        <v>45025</v>
      </c>
      <c r="B2813" t="s">
        <v>36</v>
      </c>
      <c r="C2813" t="s">
        <v>33</v>
      </c>
      <c r="D2813" t="s">
        <v>12</v>
      </c>
      <c r="E2813">
        <v>1</v>
      </c>
      <c r="F2813">
        <v>610</v>
      </c>
      <c r="G2813">
        <v>33.549999999999997</v>
      </c>
      <c r="H2813">
        <v>2023</v>
      </c>
      <c r="I2813" t="s">
        <v>23</v>
      </c>
      <c r="J2813" s="4">
        <v>5.5E-2</v>
      </c>
      <c r="K2813" t="s">
        <v>40</v>
      </c>
      <c r="L2813" t="s">
        <v>59</v>
      </c>
      <c r="M2813">
        <v>4</v>
      </c>
      <c r="N2813" t="s">
        <v>62</v>
      </c>
    </row>
    <row r="2814" spans="1:14" x14ac:dyDescent="0.3">
      <c r="A2814" s="1">
        <v>45195</v>
      </c>
      <c r="B2814" t="s">
        <v>36</v>
      </c>
      <c r="C2814" t="s">
        <v>33</v>
      </c>
      <c r="D2814" t="s">
        <v>17</v>
      </c>
      <c r="E2814">
        <v>7</v>
      </c>
      <c r="F2814">
        <v>4165</v>
      </c>
      <c r="G2814">
        <v>263.26</v>
      </c>
      <c r="H2814">
        <v>2023</v>
      </c>
      <c r="I2814" t="s">
        <v>21</v>
      </c>
      <c r="J2814" s="4">
        <v>6.3207683073229298E-2</v>
      </c>
      <c r="K2814" t="s">
        <v>40</v>
      </c>
      <c r="L2814" t="s">
        <v>60</v>
      </c>
      <c r="M2814">
        <v>9</v>
      </c>
      <c r="N2814" t="s">
        <v>61</v>
      </c>
    </row>
    <row r="2815" spans="1:14" x14ac:dyDescent="0.3">
      <c r="A2815" s="1">
        <v>45145</v>
      </c>
      <c r="B2815" t="s">
        <v>36</v>
      </c>
      <c r="C2815" t="s">
        <v>33</v>
      </c>
      <c r="D2815" t="s">
        <v>17</v>
      </c>
      <c r="E2815">
        <v>2</v>
      </c>
      <c r="F2815">
        <v>1342</v>
      </c>
      <c r="G2815">
        <v>184.59</v>
      </c>
      <c r="H2815">
        <v>2023</v>
      </c>
      <c r="I2815" t="s">
        <v>24</v>
      </c>
      <c r="J2815" s="4">
        <v>0.13754843517138601</v>
      </c>
      <c r="K2815" t="s">
        <v>40</v>
      </c>
      <c r="L2815" t="s">
        <v>60</v>
      </c>
      <c r="M2815">
        <v>8</v>
      </c>
      <c r="N2815" t="s">
        <v>63</v>
      </c>
    </row>
    <row r="2816" spans="1:14" x14ac:dyDescent="0.3">
      <c r="A2816" s="1">
        <v>44934</v>
      </c>
      <c r="B2816" t="s">
        <v>36</v>
      </c>
      <c r="C2816" t="s">
        <v>33</v>
      </c>
      <c r="D2816" t="s">
        <v>17</v>
      </c>
      <c r="E2816">
        <v>7</v>
      </c>
      <c r="F2816">
        <v>5131</v>
      </c>
      <c r="G2816">
        <v>368.11</v>
      </c>
      <c r="H2816">
        <v>2023</v>
      </c>
      <c r="I2816" t="s">
        <v>26</v>
      </c>
      <c r="J2816" s="4">
        <v>7.1742350419021605E-2</v>
      </c>
      <c r="K2816" t="s">
        <v>40</v>
      </c>
      <c r="L2816" t="s">
        <v>55</v>
      </c>
      <c r="M2816">
        <v>1</v>
      </c>
      <c r="N2816" t="s">
        <v>65</v>
      </c>
    </row>
    <row r="2817" spans="1:14" x14ac:dyDescent="0.3">
      <c r="A2817" s="1">
        <v>45190</v>
      </c>
      <c r="B2817" t="s">
        <v>36</v>
      </c>
      <c r="C2817" t="s">
        <v>33</v>
      </c>
      <c r="D2817" t="s">
        <v>19</v>
      </c>
      <c r="E2817">
        <v>6</v>
      </c>
      <c r="F2817">
        <v>3030</v>
      </c>
      <c r="G2817">
        <v>335.71</v>
      </c>
      <c r="H2817">
        <v>2023</v>
      </c>
      <c r="I2817" t="s">
        <v>21</v>
      </c>
      <c r="J2817" s="4">
        <v>0.110795379537954</v>
      </c>
      <c r="K2817" t="s">
        <v>40</v>
      </c>
      <c r="L2817" t="s">
        <v>60</v>
      </c>
      <c r="M2817">
        <v>9</v>
      </c>
      <c r="N2817" t="s">
        <v>61</v>
      </c>
    </row>
    <row r="2818" spans="1:14" x14ac:dyDescent="0.3">
      <c r="A2818" s="1">
        <v>44973</v>
      </c>
      <c r="B2818" t="s">
        <v>36</v>
      </c>
      <c r="C2818" t="s">
        <v>33</v>
      </c>
      <c r="D2818" t="s">
        <v>12</v>
      </c>
      <c r="E2818">
        <v>7</v>
      </c>
      <c r="F2818">
        <v>8162</v>
      </c>
      <c r="G2818">
        <v>443.81</v>
      </c>
      <c r="H2818">
        <v>2023</v>
      </c>
      <c r="I2818" t="s">
        <v>16</v>
      </c>
      <c r="J2818" s="4">
        <v>5.4375153148737997E-2</v>
      </c>
      <c r="K2818" t="s">
        <v>40</v>
      </c>
      <c r="L2818" t="s">
        <v>55</v>
      </c>
      <c r="M2818">
        <v>2</v>
      </c>
      <c r="N2818" t="s">
        <v>57</v>
      </c>
    </row>
    <row r="2819" spans="1:14" x14ac:dyDescent="0.3">
      <c r="A2819" s="1">
        <v>45072</v>
      </c>
      <c r="B2819" t="s">
        <v>36</v>
      </c>
      <c r="C2819" t="s">
        <v>33</v>
      </c>
      <c r="D2819" t="s">
        <v>19</v>
      </c>
      <c r="E2819">
        <v>5</v>
      </c>
      <c r="F2819">
        <v>1370</v>
      </c>
      <c r="G2819">
        <v>253.92</v>
      </c>
      <c r="H2819">
        <v>2023</v>
      </c>
      <c r="I2819" t="s">
        <v>20</v>
      </c>
      <c r="J2819" s="4">
        <v>0.18534306569343101</v>
      </c>
      <c r="K2819" t="s">
        <v>40</v>
      </c>
      <c r="L2819" t="s">
        <v>59</v>
      </c>
      <c r="M2819">
        <v>5</v>
      </c>
      <c r="N2819" t="s">
        <v>20</v>
      </c>
    </row>
    <row r="2820" spans="1:14" x14ac:dyDescent="0.3">
      <c r="A2820" s="1">
        <v>45138</v>
      </c>
      <c r="B2820" t="s">
        <v>36</v>
      </c>
      <c r="C2820" t="s">
        <v>33</v>
      </c>
      <c r="D2820" t="s">
        <v>17</v>
      </c>
      <c r="E2820">
        <v>5</v>
      </c>
      <c r="F2820">
        <v>2265</v>
      </c>
      <c r="G2820">
        <v>595.04999999999995</v>
      </c>
      <c r="H2820">
        <v>2023</v>
      </c>
      <c r="I2820" t="s">
        <v>25</v>
      </c>
      <c r="J2820" s="4">
        <v>0.26271523178807898</v>
      </c>
      <c r="K2820" t="s">
        <v>40</v>
      </c>
      <c r="L2820" t="s">
        <v>60</v>
      </c>
      <c r="M2820">
        <v>7</v>
      </c>
      <c r="N2820" t="s">
        <v>64</v>
      </c>
    </row>
    <row r="2821" spans="1:14" x14ac:dyDescent="0.3">
      <c r="A2821" s="1">
        <v>45156</v>
      </c>
      <c r="B2821" t="s">
        <v>36</v>
      </c>
      <c r="C2821" t="s">
        <v>33</v>
      </c>
      <c r="D2821" t="s">
        <v>17</v>
      </c>
      <c r="E2821">
        <v>4</v>
      </c>
      <c r="F2821">
        <v>1952</v>
      </c>
      <c r="G2821">
        <v>148.66999999999999</v>
      </c>
      <c r="H2821">
        <v>2023</v>
      </c>
      <c r="I2821" t="s">
        <v>24</v>
      </c>
      <c r="J2821" s="4">
        <v>7.6162909836065606E-2</v>
      </c>
      <c r="K2821" t="s">
        <v>40</v>
      </c>
      <c r="L2821" t="s">
        <v>60</v>
      </c>
      <c r="M2821">
        <v>8</v>
      </c>
      <c r="N2821" t="s">
        <v>63</v>
      </c>
    </row>
    <row r="2822" spans="1:14" x14ac:dyDescent="0.3">
      <c r="A2822" s="1">
        <v>45117</v>
      </c>
      <c r="B2822" t="s">
        <v>36</v>
      </c>
      <c r="C2822" t="s">
        <v>33</v>
      </c>
      <c r="D2822" t="s">
        <v>12</v>
      </c>
      <c r="E2822">
        <v>6</v>
      </c>
      <c r="F2822">
        <v>6582</v>
      </c>
      <c r="G2822">
        <v>729.68</v>
      </c>
      <c r="H2822">
        <v>2023</v>
      </c>
      <c r="I2822" t="s">
        <v>25</v>
      </c>
      <c r="J2822" s="4">
        <v>0.11085992099665801</v>
      </c>
      <c r="K2822" t="s">
        <v>40</v>
      </c>
      <c r="L2822" t="s">
        <v>60</v>
      </c>
      <c r="M2822">
        <v>7</v>
      </c>
      <c r="N2822" t="s">
        <v>64</v>
      </c>
    </row>
    <row r="2823" spans="1:14" x14ac:dyDescent="0.3">
      <c r="A2823" s="1">
        <v>45229</v>
      </c>
      <c r="B2823" t="s">
        <v>36</v>
      </c>
      <c r="C2823" t="s">
        <v>33</v>
      </c>
      <c r="D2823" t="s">
        <v>17</v>
      </c>
      <c r="E2823">
        <v>4</v>
      </c>
      <c r="F2823">
        <v>4740</v>
      </c>
      <c r="G2823">
        <v>833.27</v>
      </c>
      <c r="H2823">
        <v>2023</v>
      </c>
      <c r="I2823" t="s">
        <v>14</v>
      </c>
      <c r="J2823" s="4">
        <v>0.17579535864978901</v>
      </c>
      <c r="K2823" t="s">
        <v>40</v>
      </c>
      <c r="L2823" t="s">
        <v>52</v>
      </c>
      <c r="M2823">
        <v>10</v>
      </c>
      <c r="N2823" t="s">
        <v>54</v>
      </c>
    </row>
    <row r="2824" spans="1:14" x14ac:dyDescent="0.3">
      <c r="A2824" s="1">
        <v>45291</v>
      </c>
      <c r="B2824" t="s">
        <v>36</v>
      </c>
      <c r="C2824" t="s">
        <v>33</v>
      </c>
      <c r="D2824" t="s">
        <v>22</v>
      </c>
      <c r="E2824">
        <v>5</v>
      </c>
      <c r="F2824">
        <v>5990</v>
      </c>
      <c r="G2824">
        <v>1192.1099999999999</v>
      </c>
      <c r="H2824">
        <v>2023</v>
      </c>
      <c r="I2824" t="s">
        <v>13</v>
      </c>
      <c r="J2824" s="4">
        <v>0.19901669449081799</v>
      </c>
      <c r="K2824" t="s">
        <v>40</v>
      </c>
      <c r="L2824" t="s">
        <v>52</v>
      </c>
      <c r="M2824">
        <v>12</v>
      </c>
      <c r="N2824" t="s">
        <v>53</v>
      </c>
    </row>
    <row r="2825" spans="1:14" x14ac:dyDescent="0.3">
      <c r="A2825" s="1">
        <v>45200</v>
      </c>
      <c r="B2825" t="s">
        <v>36</v>
      </c>
      <c r="C2825" t="s">
        <v>33</v>
      </c>
      <c r="D2825" t="s">
        <v>22</v>
      </c>
      <c r="E2825">
        <v>3</v>
      </c>
      <c r="F2825">
        <v>459</v>
      </c>
      <c r="G2825">
        <v>40.96</v>
      </c>
      <c r="H2825">
        <v>2023</v>
      </c>
      <c r="I2825" t="s">
        <v>14</v>
      </c>
      <c r="J2825" s="4">
        <v>8.9237472766884596E-2</v>
      </c>
      <c r="K2825" t="s">
        <v>40</v>
      </c>
      <c r="L2825" t="s">
        <v>52</v>
      </c>
      <c r="M2825">
        <v>10</v>
      </c>
      <c r="N2825" t="s">
        <v>54</v>
      </c>
    </row>
    <row r="2826" spans="1:14" x14ac:dyDescent="0.3">
      <c r="A2826" s="1">
        <v>45242</v>
      </c>
      <c r="B2826" t="s">
        <v>36</v>
      </c>
      <c r="C2826" t="s">
        <v>33</v>
      </c>
      <c r="D2826" t="s">
        <v>12</v>
      </c>
      <c r="E2826">
        <v>9</v>
      </c>
      <c r="F2826">
        <v>5220</v>
      </c>
      <c r="G2826">
        <v>1324.01</v>
      </c>
      <c r="H2826">
        <v>2023</v>
      </c>
      <c r="I2826" t="s">
        <v>18</v>
      </c>
      <c r="J2826" s="4">
        <v>0.25364176245210701</v>
      </c>
      <c r="K2826" t="s">
        <v>40</v>
      </c>
      <c r="L2826" t="s">
        <v>52</v>
      </c>
      <c r="M2826">
        <v>11</v>
      </c>
      <c r="N2826" t="s">
        <v>58</v>
      </c>
    </row>
    <row r="2827" spans="1:14" x14ac:dyDescent="0.3">
      <c r="A2827" s="1">
        <v>45182</v>
      </c>
      <c r="B2827" t="s">
        <v>36</v>
      </c>
      <c r="C2827" t="s">
        <v>33</v>
      </c>
      <c r="D2827" t="s">
        <v>19</v>
      </c>
      <c r="E2827">
        <v>4</v>
      </c>
      <c r="F2827">
        <v>4496</v>
      </c>
      <c r="G2827">
        <v>1115.75</v>
      </c>
      <c r="H2827">
        <v>2023</v>
      </c>
      <c r="I2827" t="s">
        <v>21</v>
      </c>
      <c r="J2827" s="4">
        <v>0.248165035587189</v>
      </c>
      <c r="K2827" t="s">
        <v>40</v>
      </c>
      <c r="L2827" t="s">
        <v>60</v>
      </c>
      <c r="M2827">
        <v>9</v>
      </c>
      <c r="N2827" t="s">
        <v>61</v>
      </c>
    </row>
    <row r="2828" spans="1:14" x14ac:dyDescent="0.3">
      <c r="A2828" s="1">
        <v>45094</v>
      </c>
      <c r="B2828" t="s">
        <v>36</v>
      </c>
      <c r="C2828" t="s">
        <v>33</v>
      </c>
      <c r="D2828" t="s">
        <v>17</v>
      </c>
      <c r="E2828">
        <v>1</v>
      </c>
      <c r="F2828">
        <v>672</v>
      </c>
      <c r="G2828">
        <v>198.75</v>
      </c>
      <c r="H2828">
        <v>2023</v>
      </c>
      <c r="I2828" t="s">
        <v>27</v>
      </c>
      <c r="J2828" s="4">
        <v>0.29575892857142899</v>
      </c>
      <c r="K2828" t="s">
        <v>40</v>
      </c>
      <c r="L2828" t="s">
        <v>59</v>
      </c>
      <c r="M2828">
        <v>6</v>
      </c>
      <c r="N2828" t="s">
        <v>66</v>
      </c>
    </row>
    <row r="2829" spans="1:14" x14ac:dyDescent="0.3">
      <c r="A2829" s="1">
        <v>45051</v>
      </c>
      <c r="B2829" t="s">
        <v>36</v>
      </c>
      <c r="C2829" t="s">
        <v>33</v>
      </c>
      <c r="D2829" t="s">
        <v>22</v>
      </c>
      <c r="E2829">
        <v>9</v>
      </c>
      <c r="F2829">
        <v>7578</v>
      </c>
      <c r="G2829">
        <v>1596.64</v>
      </c>
      <c r="H2829">
        <v>2023</v>
      </c>
      <c r="I2829" t="s">
        <v>20</v>
      </c>
      <c r="J2829" s="4">
        <v>0.21069411454209599</v>
      </c>
      <c r="K2829" t="s">
        <v>40</v>
      </c>
      <c r="L2829" t="s">
        <v>59</v>
      </c>
      <c r="M2829">
        <v>5</v>
      </c>
      <c r="N2829" t="s">
        <v>20</v>
      </c>
    </row>
    <row r="2830" spans="1:14" x14ac:dyDescent="0.3">
      <c r="A2830" s="1">
        <v>45168</v>
      </c>
      <c r="B2830" t="s">
        <v>36</v>
      </c>
      <c r="C2830" t="s">
        <v>33</v>
      </c>
      <c r="D2830" t="s">
        <v>12</v>
      </c>
      <c r="E2830">
        <v>1</v>
      </c>
      <c r="F2830">
        <v>890</v>
      </c>
      <c r="G2830">
        <v>59.1</v>
      </c>
      <c r="H2830">
        <v>2023</v>
      </c>
      <c r="I2830" t="s">
        <v>24</v>
      </c>
      <c r="J2830" s="4">
        <v>6.6404494382022505E-2</v>
      </c>
      <c r="K2830" t="s">
        <v>40</v>
      </c>
      <c r="L2830" t="s">
        <v>60</v>
      </c>
      <c r="M2830">
        <v>8</v>
      </c>
      <c r="N2830" t="s">
        <v>63</v>
      </c>
    </row>
    <row r="2831" spans="1:14" x14ac:dyDescent="0.3">
      <c r="A2831" s="1">
        <v>45278</v>
      </c>
      <c r="B2831" t="s">
        <v>36</v>
      </c>
      <c r="C2831" t="s">
        <v>33</v>
      </c>
      <c r="D2831" t="s">
        <v>12</v>
      </c>
      <c r="E2831">
        <v>9</v>
      </c>
      <c r="F2831">
        <v>10665</v>
      </c>
      <c r="G2831">
        <v>1595.08</v>
      </c>
      <c r="H2831">
        <v>2023</v>
      </c>
      <c r="I2831" t="s">
        <v>13</v>
      </c>
      <c r="J2831" s="4">
        <v>0.149562119081106</v>
      </c>
      <c r="K2831" t="s">
        <v>40</v>
      </c>
      <c r="L2831" t="s">
        <v>52</v>
      </c>
      <c r="M2831">
        <v>12</v>
      </c>
      <c r="N2831" t="s">
        <v>53</v>
      </c>
    </row>
    <row r="2832" spans="1:14" x14ac:dyDescent="0.3">
      <c r="A2832" s="1">
        <v>45089</v>
      </c>
      <c r="B2832" t="s">
        <v>36</v>
      </c>
      <c r="C2832" t="s">
        <v>33</v>
      </c>
      <c r="D2832" t="s">
        <v>17</v>
      </c>
      <c r="E2832">
        <v>1</v>
      </c>
      <c r="F2832">
        <v>338</v>
      </c>
      <c r="G2832">
        <v>32.61</v>
      </c>
      <c r="H2832">
        <v>2023</v>
      </c>
      <c r="I2832" t="s">
        <v>27</v>
      </c>
      <c r="J2832" s="4">
        <v>9.6479289940828397E-2</v>
      </c>
      <c r="K2832" t="s">
        <v>40</v>
      </c>
      <c r="L2832" t="s">
        <v>59</v>
      </c>
      <c r="M2832">
        <v>6</v>
      </c>
      <c r="N2832" t="s">
        <v>66</v>
      </c>
    </row>
    <row r="2833" spans="1:14" x14ac:dyDescent="0.3">
      <c r="A2833" s="1">
        <v>45149</v>
      </c>
      <c r="B2833" t="s">
        <v>36</v>
      </c>
      <c r="C2833" t="s">
        <v>33</v>
      </c>
      <c r="D2833" t="s">
        <v>17</v>
      </c>
      <c r="E2833">
        <v>6</v>
      </c>
      <c r="F2833">
        <v>5214</v>
      </c>
      <c r="G2833">
        <v>1093.04</v>
      </c>
      <c r="H2833">
        <v>2023</v>
      </c>
      <c r="I2833" t="s">
        <v>24</v>
      </c>
      <c r="J2833" s="4">
        <v>0.20963559647103999</v>
      </c>
      <c r="K2833" t="s">
        <v>40</v>
      </c>
      <c r="L2833" t="s">
        <v>60</v>
      </c>
      <c r="M2833">
        <v>8</v>
      </c>
      <c r="N2833" t="s">
        <v>63</v>
      </c>
    </row>
    <row r="2834" spans="1:14" x14ac:dyDescent="0.3">
      <c r="A2834" s="1">
        <v>45101</v>
      </c>
      <c r="B2834" t="s">
        <v>36</v>
      </c>
      <c r="C2834" t="s">
        <v>33</v>
      </c>
      <c r="D2834" t="s">
        <v>12</v>
      </c>
      <c r="E2834">
        <v>5</v>
      </c>
      <c r="F2834">
        <v>3255</v>
      </c>
      <c r="G2834">
        <v>332.54</v>
      </c>
      <c r="H2834">
        <v>2023</v>
      </c>
      <c r="I2834" t="s">
        <v>27</v>
      </c>
      <c r="J2834" s="4">
        <v>0.102162826420891</v>
      </c>
      <c r="K2834" t="s">
        <v>40</v>
      </c>
      <c r="L2834" t="s">
        <v>59</v>
      </c>
      <c r="M2834">
        <v>6</v>
      </c>
      <c r="N2834" t="s">
        <v>66</v>
      </c>
    </row>
    <row r="2835" spans="1:14" x14ac:dyDescent="0.3">
      <c r="A2835" s="1">
        <v>45104</v>
      </c>
      <c r="B2835" t="s">
        <v>36</v>
      </c>
      <c r="C2835" t="s">
        <v>33</v>
      </c>
      <c r="D2835" t="s">
        <v>17</v>
      </c>
      <c r="E2835">
        <v>1</v>
      </c>
      <c r="F2835">
        <v>777</v>
      </c>
      <c r="G2835">
        <v>211.31</v>
      </c>
      <c r="H2835">
        <v>2023</v>
      </c>
      <c r="I2835" t="s">
        <v>27</v>
      </c>
      <c r="J2835" s="4">
        <v>0.27195624195624202</v>
      </c>
      <c r="K2835" t="s">
        <v>40</v>
      </c>
      <c r="L2835" t="s">
        <v>59</v>
      </c>
      <c r="M2835">
        <v>6</v>
      </c>
      <c r="N2835" t="s">
        <v>66</v>
      </c>
    </row>
    <row r="2836" spans="1:14" x14ac:dyDescent="0.3">
      <c r="A2836" s="1">
        <v>44972</v>
      </c>
      <c r="B2836" t="s">
        <v>36</v>
      </c>
      <c r="C2836" t="s">
        <v>33</v>
      </c>
      <c r="D2836" t="s">
        <v>12</v>
      </c>
      <c r="E2836">
        <v>5</v>
      </c>
      <c r="F2836">
        <v>1350</v>
      </c>
      <c r="G2836">
        <v>321.89999999999998</v>
      </c>
      <c r="H2836">
        <v>2023</v>
      </c>
      <c r="I2836" t="s">
        <v>16</v>
      </c>
      <c r="J2836" s="4">
        <v>0.23844444444444399</v>
      </c>
      <c r="K2836" t="s">
        <v>40</v>
      </c>
      <c r="L2836" t="s">
        <v>55</v>
      </c>
      <c r="M2836">
        <v>2</v>
      </c>
      <c r="N2836" t="s">
        <v>57</v>
      </c>
    </row>
    <row r="2837" spans="1:14" x14ac:dyDescent="0.3">
      <c r="A2837" s="1">
        <v>45144</v>
      </c>
      <c r="B2837" t="s">
        <v>36</v>
      </c>
      <c r="C2837" t="s">
        <v>33</v>
      </c>
      <c r="D2837" t="s">
        <v>17</v>
      </c>
      <c r="E2837">
        <v>4</v>
      </c>
      <c r="F2837">
        <v>3072</v>
      </c>
      <c r="G2837">
        <v>394.2</v>
      </c>
      <c r="H2837">
        <v>2023</v>
      </c>
      <c r="I2837" t="s">
        <v>24</v>
      </c>
      <c r="J2837" s="4">
        <v>0.12832031250000001</v>
      </c>
      <c r="K2837" t="s">
        <v>40</v>
      </c>
      <c r="L2837" t="s">
        <v>60</v>
      </c>
      <c r="M2837">
        <v>8</v>
      </c>
      <c r="N2837" t="s">
        <v>63</v>
      </c>
    </row>
    <row r="2838" spans="1:14" x14ac:dyDescent="0.3">
      <c r="A2838" s="1">
        <v>45223</v>
      </c>
      <c r="B2838" t="s">
        <v>36</v>
      </c>
      <c r="C2838" t="s">
        <v>33</v>
      </c>
      <c r="D2838" t="s">
        <v>22</v>
      </c>
      <c r="E2838">
        <v>5</v>
      </c>
      <c r="F2838">
        <v>5105</v>
      </c>
      <c r="G2838">
        <v>1003.4</v>
      </c>
      <c r="H2838">
        <v>2023</v>
      </c>
      <c r="I2838" t="s">
        <v>14</v>
      </c>
      <c r="J2838" s="4">
        <v>0.19655239960822701</v>
      </c>
      <c r="K2838" t="s">
        <v>40</v>
      </c>
      <c r="L2838" t="s">
        <v>52</v>
      </c>
      <c r="M2838">
        <v>10</v>
      </c>
      <c r="N2838" t="s">
        <v>54</v>
      </c>
    </row>
    <row r="2839" spans="1:14" x14ac:dyDescent="0.3">
      <c r="A2839" s="1">
        <v>45072</v>
      </c>
      <c r="B2839" t="s">
        <v>36</v>
      </c>
      <c r="C2839" t="s">
        <v>33</v>
      </c>
      <c r="D2839" t="s">
        <v>12</v>
      </c>
      <c r="E2839">
        <v>5</v>
      </c>
      <c r="F2839">
        <v>1095</v>
      </c>
      <c r="G2839">
        <v>269.87</v>
      </c>
      <c r="H2839">
        <v>2023</v>
      </c>
      <c r="I2839" t="s">
        <v>20</v>
      </c>
      <c r="J2839" s="4">
        <v>0.246456621004566</v>
      </c>
      <c r="K2839" t="s">
        <v>40</v>
      </c>
      <c r="L2839" t="s">
        <v>59</v>
      </c>
      <c r="M2839">
        <v>5</v>
      </c>
      <c r="N2839" t="s">
        <v>20</v>
      </c>
    </row>
    <row r="2840" spans="1:14" x14ac:dyDescent="0.3">
      <c r="A2840" s="1">
        <v>45086</v>
      </c>
      <c r="B2840" t="s">
        <v>36</v>
      </c>
      <c r="C2840" t="s">
        <v>33</v>
      </c>
      <c r="D2840" t="s">
        <v>19</v>
      </c>
      <c r="E2840">
        <v>9</v>
      </c>
      <c r="F2840">
        <v>657</v>
      </c>
      <c r="G2840">
        <v>185.95</v>
      </c>
      <c r="H2840">
        <v>2023</v>
      </c>
      <c r="I2840" t="s">
        <v>27</v>
      </c>
      <c r="J2840" s="4">
        <v>0.28302891933028901</v>
      </c>
      <c r="K2840" t="s">
        <v>40</v>
      </c>
      <c r="L2840" t="s">
        <v>59</v>
      </c>
      <c r="M2840">
        <v>6</v>
      </c>
      <c r="N2840" t="s">
        <v>66</v>
      </c>
    </row>
    <row r="2841" spans="1:14" x14ac:dyDescent="0.3">
      <c r="A2841" s="1">
        <v>45121</v>
      </c>
      <c r="B2841" t="s">
        <v>36</v>
      </c>
      <c r="C2841" t="s">
        <v>33</v>
      </c>
      <c r="D2841" t="s">
        <v>17</v>
      </c>
      <c r="E2841">
        <v>8</v>
      </c>
      <c r="F2841">
        <v>3304</v>
      </c>
      <c r="G2841">
        <v>404.33</v>
      </c>
      <c r="H2841">
        <v>2023</v>
      </c>
      <c r="I2841" t="s">
        <v>25</v>
      </c>
      <c r="J2841" s="4">
        <v>0.122375907990315</v>
      </c>
      <c r="K2841" t="s">
        <v>40</v>
      </c>
      <c r="L2841" t="s">
        <v>60</v>
      </c>
      <c r="M2841">
        <v>7</v>
      </c>
      <c r="N2841" t="s">
        <v>64</v>
      </c>
    </row>
    <row r="2842" spans="1:14" x14ac:dyDescent="0.3">
      <c r="A2842" s="1">
        <v>45257</v>
      </c>
      <c r="B2842" t="s">
        <v>36</v>
      </c>
      <c r="C2842" t="s">
        <v>33</v>
      </c>
      <c r="D2842" t="s">
        <v>19</v>
      </c>
      <c r="E2842">
        <v>8</v>
      </c>
      <c r="F2842">
        <v>7560</v>
      </c>
      <c r="G2842">
        <v>494.34</v>
      </c>
      <c r="H2842">
        <v>2023</v>
      </c>
      <c r="I2842" t="s">
        <v>18</v>
      </c>
      <c r="J2842" s="4">
        <v>6.5388888888888899E-2</v>
      </c>
      <c r="K2842" t="s">
        <v>40</v>
      </c>
      <c r="L2842" t="s">
        <v>52</v>
      </c>
      <c r="M2842">
        <v>11</v>
      </c>
      <c r="N2842" t="s">
        <v>58</v>
      </c>
    </row>
    <row r="2843" spans="1:14" x14ac:dyDescent="0.3">
      <c r="A2843" s="1">
        <v>44934</v>
      </c>
      <c r="B2843" t="s">
        <v>36</v>
      </c>
      <c r="C2843" t="s">
        <v>33</v>
      </c>
      <c r="D2843" t="s">
        <v>12</v>
      </c>
      <c r="E2843">
        <v>2</v>
      </c>
      <c r="F2843">
        <v>828</v>
      </c>
      <c r="G2843">
        <v>50.07</v>
      </c>
      <c r="H2843">
        <v>2023</v>
      </c>
      <c r="I2843" t="s">
        <v>26</v>
      </c>
      <c r="J2843" s="4">
        <v>6.0471014492753598E-2</v>
      </c>
      <c r="K2843" t="s">
        <v>40</v>
      </c>
      <c r="L2843" t="s">
        <v>55</v>
      </c>
      <c r="M2843">
        <v>1</v>
      </c>
      <c r="N2843" t="s">
        <v>65</v>
      </c>
    </row>
    <row r="2844" spans="1:14" x14ac:dyDescent="0.3">
      <c r="A2844" s="1">
        <v>45290</v>
      </c>
      <c r="B2844" t="s">
        <v>36</v>
      </c>
      <c r="C2844" t="s">
        <v>33</v>
      </c>
      <c r="D2844" t="s">
        <v>17</v>
      </c>
      <c r="E2844">
        <v>8</v>
      </c>
      <c r="F2844">
        <v>6520</v>
      </c>
      <c r="G2844">
        <v>1113.1199999999999</v>
      </c>
      <c r="H2844">
        <v>2023</v>
      </c>
      <c r="I2844" t="s">
        <v>13</v>
      </c>
      <c r="J2844" s="4">
        <v>0.17072392638036801</v>
      </c>
      <c r="K2844" t="s">
        <v>40</v>
      </c>
      <c r="L2844" t="s">
        <v>52</v>
      </c>
      <c r="M2844">
        <v>12</v>
      </c>
      <c r="N2844" t="s">
        <v>53</v>
      </c>
    </row>
    <row r="2845" spans="1:14" x14ac:dyDescent="0.3">
      <c r="A2845" s="1">
        <v>44995</v>
      </c>
      <c r="B2845" t="s">
        <v>36</v>
      </c>
      <c r="C2845" t="s">
        <v>33</v>
      </c>
      <c r="D2845" t="s">
        <v>17</v>
      </c>
      <c r="E2845">
        <v>5</v>
      </c>
      <c r="F2845">
        <v>3350</v>
      </c>
      <c r="G2845">
        <v>389.95</v>
      </c>
      <c r="H2845">
        <v>2023</v>
      </c>
      <c r="I2845" t="s">
        <v>15</v>
      </c>
      <c r="J2845" s="4">
        <v>0.116402985074627</v>
      </c>
      <c r="K2845" t="s">
        <v>40</v>
      </c>
      <c r="L2845" t="s">
        <v>55</v>
      </c>
      <c r="M2845">
        <v>3</v>
      </c>
      <c r="N2845" t="s">
        <v>56</v>
      </c>
    </row>
    <row r="2846" spans="1:14" x14ac:dyDescent="0.3">
      <c r="A2846" s="1">
        <v>44957</v>
      </c>
      <c r="B2846" t="s">
        <v>36</v>
      </c>
      <c r="C2846" t="s">
        <v>33</v>
      </c>
      <c r="D2846" t="s">
        <v>19</v>
      </c>
      <c r="E2846">
        <v>3</v>
      </c>
      <c r="F2846">
        <v>2964</v>
      </c>
      <c r="G2846">
        <v>446.54</v>
      </c>
      <c r="H2846">
        <v>2023</v>
      </c>
      <c r="I2846" t="s">
        <v>26</v>
      </c>
      <c r="J2846" s="4">
        <v>0.150654520917679</v>
      </c>
      <c r="K2846" t="s">
        <v>40</v>
      </c>
      <c r="L2846" t="s">
        <v>55</v>
      </c>
      <c r="M2846">
        <v>1</v>
      </c>
      <c r="N2846" t="s">
        <v>65</v>
      </c>
    </row>
    <row r="2847" spans="1:14" x14ac:dyDescent="0.3">
      <c r="A2847" s="1">
        <v>45162</v>
      </c>
      <c r="B2847" t="s">
        <v>36</v>
      </c>
      <c r="C2847" t="s">
        <v>33</v>
      </c>
      <c r="D2847" t="s">
        <v>17</v>
      </c>
      <c r="E2847">
        <v>4</v>
      </c>
      <c r="F2847">
        <v>2468</v>
      </c>
      <c r="G2847">
        <v>457.51</v>
      </c>
      <c r="H2847">
        <v>2023</v>
      </c>
      <c r="I2847" t="s">
        <v>24</v>
      </c>
      <c r="J2847" s="4">
        <v>0.18537682333873601</v>
      </c>
      <c r="K2847" t="s">
        <v>40</v>
      </c>
      <c r="L2847" t="s">
        <v>60</v>
      </c>
      <c r="M2847">
        <v>8</v>
      </c>
      <c r="N2847" t="s">
        <v>63</v>
      </c>
    </row>
    <row r="2848" spans="1:14" x14ac:dyDescent="0.3">
      <c r="A2848" s="1">
        <v>45284</v>
      </c>
      <c r="B2848" t="s">
        <v>36</v>
      </c>
      <c r="C2848" t="s">
        <v>33</v>
      </c>
      <c r="D2848" t="s">
        <v>22</v>
      </c>
      <c r="E2848">
        <v>1</v>
      </c>
      <c r="F2848">
        <v>1161</v>
      </c>
      <c r="G2848">
        <v>210.87</v>
      </c>
      <c r="H2848">
        <v>2023</v>
      </c>
      <c r="I2848" t="s">
        <v>13</v>
      </c>
      <c r="J2848" s="4">
        <v>0.181627906976744</v>
      </c>
      <c r="K2848" t="s">
        <v>40</v>
      </c>
      <c r="L2848" t="s">
        <v>52</v>
      </c>
      <c r="M2848">
        <v>12</v>
      </c>
      <c r="N2848" t="s">
        <v>53</v>
      </c>
    </row>
    <row r="2849" spans="1:14" x14ac:dyDescent="0.3">
      <c r="A2849" s="1">
        <v>45127</v>
      </c>
      <c r="B2849" t="s">
        <v>36</v>
      </c>
      <c r="C2849" t="s">
        <v>33</v>
      </c>
      <c r="D2849" t="s">
        <v>12</v>
      </c>
      <c r="E2849">
        <v>5</v>
      </c>
      <c r="F2849">
        <v>5230</v>
      </c>
      <c r="G2849">
        <v>385.77</v>
      </c>
      <c r="H2849">
        <v>2023</v>
      </c>
      <c r="I2849" t="s">
        <v>25</v>
      </c>
      <c r="J2849" s="4">
        <v>7.3760994263862303E-2</v>
      </c>
      <c r="K2849" t="s">
        <v>40</v>
      </c>
      <c r="L2849" t="s">
        <v>60</v>
      </c>
      <c r="M2849">
        <v>7</v>
      </c>
      <c r="N2849" t="s">
        <v>64</v>
      </c>
    </row>
    <row r="2850" spans="1:14" x14ac:dyDescent="0.3">
      <c r="A2850" s="1">
        <v>45117</v>
      </c>
      <c r="B2850" t="s">
        <v>36</v>
      </c>
      <c r="C2850" t="s">
        <v>33</v>
      </c>
      <c r="D2850" t="s">
        <v>12</v>
      </c>
      <c r="E2850">
        <v>5</v>
      </c>
      <c r="F2850">
        <v>4545</v>
      </c>
      <c r="G2850">
        <v>755.05</v>
      </c>
      <c r="H2850">
        <v>2023</v>
      </c>
      <c r="I2850" t="s">
        <v>25</v>
      </c>
      <c r="J2850" s="4">
        <v>0.16612761276127599</v>
      </c>
      <c r="K2850" t="s">
        <v>40</v>
      </c>
      <c r="L2850" t="s">
        <v>60</v>
      </c>
      <c r="M2850">
        <v>7</v>
      </c>
      <c r="N2850" t="s">
        <v>64</v>
      </c>
    </row>
    <row r="2851" spans="1:14" x14ac:dyDescent="0.3">
      <c r="A2851" s="1">
        <v>45210</v>
      </c>
      <c r="B2851" t="s">
        <v>36</v>
      </c>
      <c r="C2851" t="s">
        <v>33</v>
      </c>
      <c r="D2851" t="s">
        <v>17</v>
      </c>
      <c r="E2851">
        <v>1</v>
      </c>
      <c r="F2851">
        <v>59</v>
      </c>
      <c r="G2851">
        <v>10.32</v>
      </c>
      <c r="H2851">
        <v>2023</v>
      </c>
      <c r="I2851" t="s">
        <v>14</v>
      </c>
      <c r="J2851" s="4">
        <v>0.17491525423728799</v>
      </c>
      <c r="K2851" t="s">
        <v>40</v>
      </c>
      <c r="L2851" t="s">
        <v>52</v>
      </c>
      <c r="M2851">
        <v>10</v>
      </c>
      <c r="N2851" t="s">
        <v>54</v>
      </c>
    </row>
    <row r="2852" spans="1:14" x14ac:dyDescent="0.3">
      <c r="A2852" s="1">
        <v>45050</v>
      </c>
      <c r="B2852" t="s">
        <v>36</v>
      </c>
      <c r="C2852" t="s">
        <v>33</v>
      </c>
      <c r="D2852" t="s">
        <v>17</v>
      </c>
      <c r="E2852">
        <v>4</v>
      </c>
      <c r="F2852">
        <v>2092</v>
      </c>
      <c r="G2852">
        <v>467.02</v>
      </c>
      <c r="H2852">
        <v>2023</v>
      </c>
      <c r="I2852" t="s">
        <v>20</v>
      </c>
      <c r="J2852" s="4">
        <v>0.22324091778202701</v>
      </c>
      <c r="K2852" t="s">
        <v>40</v>
      </c>
      <c r="L2852" t="s">
        <v>59</v>
      </c>
      <c r="M2852">
        <v>5</v>
      </c>
      <c r="N2852" t="s">
        <v>20</v>
      </c>
    </row>
    <row r="2853" spans="1:14" x14ac:dyDescent="0.3">
      <c r="A2853" s="1">
        <v>45187</v>
      </c>
      <c r="B2853" t="s">
        <v>36</v>
      </c>
      <c r="C2853" t="s">
        <v>33</v>
      </c>
      <c r="D2853" t="s">
        <v>19</v>
      </c>
      <c r="E2853">
        <v>5</v>
      </c>
      <c r="F2853">
        <v>5055</v>
      </c>
      <c r="G2853">
        <v>1200.0899999999999</v>
      </c>
      <c r="H2853">
        <v>2023</v>
      </c>
      <c r="I2853" t="s">
        <v>21</v>
      </c>
      <c r="J2853" s="4">
        <v>0.23740652818991101</v>
      </c>
      <c r="K2853" t="s">
        <v>40</v>
      </c>
      <c r="L2853" t="s">
        <v>60</v>
      </c>
      <c r="M2853">
        <v>9</v>
      </c>
      <c r="N2853" t="s">
        <v>61</v>
      </c>
    </row>
    <row r="2854" spans="1:14" x14ac:dyDescent="0.3">
      <c r="A2854" s="1">
        <v>45119</v>
      </c>
      <c r="B2854" t="s">
        <v>36</v>
      </c>
      <c r="C2854" t="s">
        <v>33</v>
      </c>
      <c r="D2854" t="s">
        <v>17</v>
      </c>
      <c r="E2854">
        <v>4</v>
      </c>
      <c r="F2854">
        <v>2176</v>
      </c>
      <c r="G2854">
        <v>250.89</v>
      </c>
      <c r="H2854">
        <v>2023</v>
      </c>
      <c r="I2854" t="s">
        <v>25</v>
      </c>
      <c r="J2854" s="4">
        <v>0.115298713235294</v>
      </c>
      <c r="K2854" t="s">
        <v>40</v>
      </c>
      <c r="L2854" t="s">
        <v>60</v>
      </c>
      <c r="M2854">
        <v>7</v>
      </c>
      <c r="N2854" t="s">
        <v>64</v>
      </c>
    </row>
    <row r="2855" spans="1:14" x14ac:dyDescent="0.3">
      <c r="A2855" s="1">
        <v>45151</v>
      </c>
      <c r="B2855" t="s">
        <v>36</v>
      </c>
      <c r="C2855" t="s">
        <v>33</v>
      </c>
      <c r="D2855" t="s">
        <v>12</v>
      </c>
      <c r="E2855">
        <v>8</v>
      </c>
      <c r="F2855">
        <v>7664</v>
      </c>
      <c r="G2855">
        <v>1580.55</v>
      </c>
      <c r="H2855">
        <v>2023</v>
      </c>
      <c r="I2855" t="s">
        <v>24</v>
      </c>
      <c r="J2855" s="4">
        <v>0.20623042797494801</v>
      </c>
      <c r="K2855" t="s">
        <v>40</v>
      </c>
      <c r="L2855" t="s">
        <v>60</v>
      </c>
      <c r="M2855">
        <v>8</v>
      </c>
      <c r="N2855" t="s">
        <v>63</v>
      </c>
    </row>
    <row r="2856" spans="1:14" x14ac:dyDescent="0.3">
      <c r="A2856" s="1">
        <v>44929</v>
      </c>
      <c r="B2856" t="s">
        <v>36</v>
      </c>
      <c r="C2856" t="s">
        <v>33</v>
      </c>
      <c r="D2856" t="s">
        <v>22</v>
      </c>
      <c r="E2856">
        <v>9</v>
      </c>
      <c r="F2856">
        <v>6588</v>
      </c>
      <c r="G2856">
        <v>1800.9</v>
      </c>
      <c r="H2856">
        <v>2023</v>
      </c>
      <c r="I2856" t="s">
        <v>26</v>
      </c>
      <c r="J2856" s="4">
        <v>0.27336065573770502</v>
      </c>
      <c r="K2856" t="s">
        <v>40</v>
      </c>
      <c r="L2856" t="s">
        <v>55</v>
      </c>
      <c r="M2856">
        <v>1</v>
      </c>
      <c r="N2856" t="s">
        <v>65</v>
      </c>
    </row>
    <row r="2857" spans="1:14" x14ac:dyDescent="0.3">
      <c r="A2857" s="1">
        <v>45029</v>
      </c>
      <c r="B2857" t="s">
        <v>36</v>
      </c>
      <c r="C2857" t="s">
        <v>33</v>
      </c>
      <c r="D2857" t="s">
        <v>17</v>
      </c>
      <c r="E2857">
        <v>5</v>
      </c>
      <c r="F2857">
        <v>2450</v>
      </c>
      <c r="G2857">
        <v>485.18</v>
      </c>
      <c r="H2857">
        <v>2023</v>
      </c>
      <c r="I2857" t="s">
        <v>23</v>
      </c>
      <c r="J2857" s="4">
        <v>0.198032653061224</v>
      </c>
      <c r="K2857" t="s">
        <v>40</v>
      </c>
      <c r="L2857" t="s">
        <v>59</v>
      </c>
      <c r="M2857">
        <v>4</v>
      </c>
      <c r="N2857" t="s">
        <v>62</v>
      </c>
    </row>
    <row r="2858" spans="1:14" x14ac:dyDescent="0.3">
      <c r="A2858" s="1">
        <v>45264</v>
      </c>
      <c r="B2858" t="s">
        <v>36</v>
      </c>
      <c r="C2858" t="s">
        <v>33</v>
      </c>
      <c r="D2858" t="s">
        <v>19</v>
      </c>
      <c r="E2858">
        <v>9</v>
      </c>
      <c r="F2858">
        <v>8586</v>
      </c>
      <c r="G2858">
        <v>1555.82</v>
      </c>
      <c r="H2858">
        <v>2023</v>
      </c>
      <c r="I2858" t="s">
        <v>13</v>
      </c>
      <c r="J2858" s="4">
        <v>0.18120428604705299</v>
      </c>
      <c r="K2858" t="s">
        <v>40</v>
      </c>
      <c r="L2858" t="s">
        <v>52</v>
      </c>
      <c r="M2858">
        <v>12</v>
      </c>
      <c r="N2858" t="s">
        <v>53</v>
      </c>
    </row>
    <row r="2859" spans="1:14" x14ac:dyDescent="0.3">
      <c r="A2859" s="1">
        <v>45059</v>
      </c>
      <c r="B2859" t="s">
        <v>36</v>
      </c>
      <c r="C2859" t="s">
        <v>33</v>
      </c>
      <c r="D2859" t="s">
        <v>17</v>
      </c>
      <c r="E2859">
        <v>4</v>
      </c>
      <c r="F2859">
        <v>2476</v>
      </c>
      <c r="G2859">
        <v>417.16</v>
      </c>
      <c r="H2859">
        <v>2023</v>
      </c>
      <c r="I2859" t="s">
        <v>20</v>
      </c>
      <c r="J2859" s="4">
        <v>0.16848142164781901</v>
      </c>
      <c r="K2859" t="s">
        <v>40</v>
      </c>
      <c r="L2859" t="s">
        <v>59</v>
      </c>
      <c r="M2859">
        <v>5</v>
      </c>
      <c r="N2859" t="s">
        <v>20</v>
      </c>
    </row>
    <row r="2860" spans="1:14" x14ac:dyDescent="0.3">
      <c r="A2860" s="1">
        <v>44992</v>
      </c>
      <c r="B2860" t="s">
        <v>36</v>
      </c>
      <c r="C2860" t="s">
        <v>33</v>
      </c>
      <c r="D2860" t="s">
        <v>12</v>
      </c>
      <c r="E2860">
        <v>6</v>
      </c>
      <c r="F2860">
        <v>3750</v>
      </c>
      <c r="G2860">
        <v>645.69000000000005</v>
      </c>
      <c r="H2860">
        <v>2023</v>
      </c>
      <c r="I2860" t="s">
        <v>15</v>
      </c>
      <c r="J2860" s="4">
        <v>0.172184</v>
      </c>
      <c r="K2860" t="s">
        <v>40</v>
      </c>
      <c r="L2860" t="s">
        <v>55</v>
      </c>
      <c r="M2860">
        <v>3</v>
      </c>
      <c r="N2860" t="s">
        <v>56</v>
      </c>
    </row>
    <row r="2861" spans="1:14" x14ac:dyDescent="0.3">
      <c r="A2861" s="1">
        <v>45125</v>
      </c>
      <c r="B2861" t="s">
        <v>36</v>
      </c>
      <c r="C2861" t="s">
        <v>33</v>
      </c>
      <c r="D2861" t="s">
        <v>12</v>
      </c>
      <c r="E2861">
        <v>6</v>
      </c>
      <c r="F2861">
        <v>3366</v>
      </c>
      <c r="G2861">
        <v>614.22</v>
      </c>
      <c r="H2861">
        <v>2023</v>
      </c>
      <c r="I2861" t="s">
        <v>25</v>
      </c>
      <c r="J2861" s="4">
        <v>0.18247771836007101</v>
      </c>
      <c r="K2861" t="s">
        <v>40</v>
      </c>
      <c r="L2861" t="s">
        <v>60</v>
      </c>
      <c r="M2861">
        <v>7</v>
      </c>
      <c r="N2861" t="s">
        <v>64</v>
      </c>
    </row>
    <row r="2862" spans="1:14" x14ac:dyDescent="0.3">
      <c r="A2862" s="1">
        <v>44987</v>
      </c>
      <c r="B2862" t="s">
        <v>36</v>
      </c>
      <c r="C2862" t="s">
        <v>33</v>
      </c>
      <c r="D2862" t="s">
        <v>22</v>
      </c>
      <c r="E2862">
        <v>1</v>
      </c>
      <c r="F2862">
        <v>617</v>
      </c>
      <c r="G2862">
        <v>145.37</v>
      </c>
      <c r="H2862">
        <v>2023</v>
      </c>
      <c r="I2862" t="s">
        <v>15</v>
      </c>
      <c r="J2862" s="4">
        <v>0.23560777957860601</v>
      </c>
      <c r="K2862" t="s">
        <v>40</v>
      </c>
      <c r="L2862" t="s">
        <v>55</v>
      </c>
      <c r="M2862">
        <v>3</v>
      </c>
      <c r="N2862" t="s">
        <v>56</v>
      </c>
    </row>
    <row r="2863" spans="1:14" x14ac:dyDescent="0.3">
      <c r="A2863" s="1">
        <v>45029</v>
      </c>
      <c r="B2863" t="s">
        <v>36</v>
      </c>
      <c r="C2863" t="s">
        <v>33</v>
      </c>
      <c r="D2863" t="s">
        <v>17</v>
      </c>
      <c r="E2863">
        <v>5</v>
      </c>
      <c r="F2863">
        <v>1015</v>
      </c>
      <c r="G2863">
        <v>85.06</v>
      </c>
      <c r="H2863">
        <v>2023</v>
      </c>
      <c r="I2863" t="s">
        <v>23</v>
      </c>
      <c r="J2863" s="4">
        <v>8.3802955665024603E-2</v>
      </c>
      <c r="K2863" t="s">
        <v>40</v>
      </c>
      <c r="L2863" t="s">
        <v>59</v>
      </c>
      <c r="M2863">
        <v>4</v>
      </c>
      <c r="N2863" t="s">
        <v>62</v>
      </c>
    </row>
    <row r="2864" spans="1:14" x14ac:dyDescent="0.3">
      <c r="A2864" s="1">
        <v>45216</v>
      </c>
      <c r="B2864" t="s">
        <v>36</v>
      </c>
      <c r="C2864" t="s">
        <v>33</v>
      </c>
      <c r="D2864" t="s">
        <v>12</v>
      </c>
      <c r="E2864">
        <v>5</v>
      </c>
      <c r="F2864">
        <v>4730</v>
      </c>
      <c r="G2864">
        <v>1416.1</v>
      </c>
      <c r="H2864">
        <v>2023</v>
      </c>
      <c r="I2864" t="s">
        <v>14</v>
      </c>
      <c r="J2864" s="4">
        <v>0.29938689217759001</v>
      </c>
      <c r="K2864" t="s">
        <v>40</v>
      </c>
      <c r="L2864" t="s">
        <v>52</v>
      </c>
      <c r="M2864">
        <v>10</v>
      </c>
      <c r="N2864" t="s">
        <v>54</v>
      </c>
    </row>
    <row r="2865" spans="1:14" x14ac:dyDescent="0.3">
      <c r="A2865" s="1">
        <v>45234</v>
      </c>
      <c r="B2865" t="s">
        <v>36</v>
      </c>
      <c r="C2865" t="s">
        <v>33</v>
      </c>
      <c r="D2865" t="s">
        <v>22</v>
      </c>
      <c r="E2865">
        <v>6</v>
      </c>
      <c r="F2865">
        <v>6630</v>
      </c>
      <c r="G2865">
        <v>512.6</v>
      </c>
      <c r="H2865">
        <v>2023</v>
      </c>
      <c r="I2865" t="s">
        <v>18</v>
      </c>
      <c r="J2865" s="4">
        <v>7.7315233785822002E-2</v>
      </c>
      <c r="K2865" t="s">
        <v>40</v>
      </c>
      <c r="L2865" t="s">
        <v>52</v>
      </c>
      <c r="M2865">
        <v>11</v>
      </c>
      <c r="N2865" t="s">
        <v>58</v>
      </c>
    </row>
    <row r="2866" spans="1:14" x14ac:dyDescent="0.3">
      <c r="A2866" s="1">
        <v>44941</v>
      </c>
      <c r="B2866" t="s">
        <v>36</v>
      </c>
      <c r="C2866" t="s">
        <v>33</v>
      </c>
      <c r="D2866" t="s">
        <v>19</v>
      </c>
      <c r="E2866">
        <v>7</v>
      </c>
      <c r="F2866">
        <v>7420</v>
      </c>
      <c r="G2866">
        <v>1107.31</v>
      </c>
      <c r="H2866">
        <v>2023</v>
      </c>
      <c r="I2866" t="s">
        <v>26</v>
      </c>
      <c r="J2866" s="4">
        <v>0.14923315363881401</v>
      </c>
      <c r="K2866" t="s">
        <v>40</v>
      </c>
      <c r="L2866" t="s">
        <v>55</v>
      </c>
      <c r="M2866">
        <v>1</v>
      </c>
      <c r="N2866" t="s">
        <v>65</v>
      </c>
    </row>
    <row r="2867" spans="1:14" x14ac:dyDescent="0.3">
      <c r="A2867" s="1">
        <v>45069</v>
      </c>
      <c r="B2867" t="s">
        <v>36</v>
      </c>
      <c r="C2867" t="s">
        <v>33</v>
      </c>
      <c r="D2867" t="s">
        <v>12</v>
      </c>
      <c r="E2867">
        <v>7</v>
      </c>
      <c r="F2867">
        <v>6377</v>
      </c>
      <c r="G2867">
        <v>1332.86</v>
      </c>
      <c r="H2867">
        <v>2023</v>
      </c>
      <c r="I2867" t="s">
        <v>20</v>
      </c>
      <c r="J2867" s="4">
        <v>0.20901050650776201</v>
      </c>
      <c r="K2867" t="s">
        <v>40</v>
      </c>
      <c r="L2867" t="s">
        <v>59</v>
      </c>
      <c r="M2867">
        <v>5</v>
      </c>
      <c r="N2867" t="s">
        <v>20</v>
      </c>
    </row>
    <row r="2868" spans="1:14" x14ac:dyDescent="0.3">
      <c r="A2868" s="1">
        <v>45018</v>
      </c>
      <c r="B2868" t="s">
        <v>36</v>
      </c>
      <c r="C2868" t="s">
        <v>33</v>
      </c>
      <c r="D2868" t="s">
        <v>12</v>
      </c>
      <c r="E2868">
        <v>9</v>
      </c>
      <c r="F2868">
        <v>10413</v>
      </c>
      <c r="G2868">
        <v>1738.63</v>
      </c>
      <c r="H2868">
        <v>2023</v>
      </c>
      <c r="I2868" t="s">
        <v>23</v>
      </c>
      <c r="J2868" s="4">
        <v>0.16696725247287</v>
      </c>
      <c r="K2868" t="s">
        <v>40</v>
      </c>
      <c r="L2868" t="s">
        <v>59</v>
      </c>
      <c r="M2868">
        <v>4</v>
      </c>
      <c r="N2868" t="s">
        <v>62</v>
      </c>
    </row>
    <row r="2869" spans="1:14" x14ac:dyDescent="0.3">
      <c r="A2869" s="1">
        <v>45150</v>
      </c>
      <c r="B2869" t="s">
        <v>36</v>
      </c>
      <c r="C2869" t="s">
        <v>33</v>
      </c>
      <c r="D2869" t="s">
        <v>12</v>
      </c>
      <c r="E2869">
        <v>7</v>
      </c>
      <c r="F2869">
        <v>4662</v>
      </c>
      <c r="G2869">
        <v>1007.43</v>
      </c>
      <c r="H2869">
        <v>2023</v>
      </c>
      <c r="I2869" t="s">
        <v>24</v>
      </c>
      <c r="J2869" s="4">
        <v>0.21609395109395099</v>
      </c>
      <c r="K2869" t="s">
        <v>40</v>
      </c>
      <c r="L2869" t="s">
        <v>60</v>
      </c>
      <c r="M2869">
        <v>8</v>
      </c>
      <c r="N2869" t="s">
        <v>63</v>
      </c>
    </row>
    <row r="2870" spans="1:14" x14ac:dyDescent="0.3">
      <c r="A2870" s="1">
        <v>45000</v>
      </c>
      <c r="B2870" t="s">
        <v>36</v>
      </c>
      <c r="C2870" t="s">
        <v>33</v>
      </c>
      <c r="D2870" t="s">
        <v>12</v>
      </c>
      <c r="E2870">
        <v>6</v>
      </c>
      <c r="F2870">
        <v>2490</v>
      </c>
      <c r="G2870">
        <v>720.06</v>
      </c>
      <c r="H2870">
        <v>2023</v>
      </c>
      <c r="I2870" t="s">
        <v>15</v>
      </c>
      <c r="J2870" s="4">
        <v>0.28918072289156599</v>
      </c>
      <c r="K2870" t="s">
        <v>40</v>
      </c>
      <c r="L2870" t="s">
        <v>55</v>
      </c>
      <c r="M2870">
        <v>3</v>
      </c>
      <c r="N2870" t="s">
        <v>56</v>
      </c>
    </row>
    <row r="2871" spans="1:14" x14ac:dyDescent="0.3">
      <c r="A2871" s="1">
        <v>44949</v>
      </c>
      <c r="B2871" t="s">
        <v>36</v>
      </c>
      <c r="C2871" t="s">
        <v>33</v>
      </c>
      <c r="D2871" t="s">
        <v>19</v>
      </c>
      <c r="E2871">
        <v>5</v>
      </c>
      <c r="F2871">
        <v>575</v>
      </c>
      <c r="G2871">
        <v>47.35</v>
      </c>
      <c r="H2871">
        <v>2023</v>
      </c>
      <c r="I2871" t="s">
        <v>26</v>
      </c>
      <c r="J2871" s="4">
        <v>8.2347826086956497E-2</v>
      </c>
      <c r="K2871" t="s">
        <v>40</v>
      </c>
      <c r="L2871" t="s">
        <v>55</v>
      </c>
      <c r="M2871">
        <v>1</v>
      </c>
      <c r="N2871" t="s">
        <v>65</v>
      </c>
    </row>
    <row r="2872" spans="1:14" x14ac:dyDescent="0.3">
      <c r="A2872" s="1">
        <v>45237</v>
      </c>
      <c r="B2872" t="s">
        <v>36</v>
      </c>
      <c r="C2872" t="s">
        <v>33</v>
      </c>
      <c r="D2872" t="s">
        <v>22</v>
      </c>
      <c r="E2872">
        <v>6</v>
      </c>
      <c r="F2872">
        <v>3942</v>
      </c>
      <c r="G2872">
        <v>748.74</v>
      </c>
      <c r="H2872">
        <v>2023</v>
      </c>
      <c r="I2872" t="s">
        <v>18</v>
      </c>
      <c r="J2872" s="4">
        <v>0.18993911719939099</v>
      </c>
      <c r="K2872" t="s">
        <v>40</v>
      </c>
      <c r="L2872" t="s">
        <v>52</v>
      </c>
      <c r="M2872">
        <v>11</v>
      </c>
      <c r="N2872" t="s">
        <v>58</v>
      </c>
    </row>
    <row r="2873" spans="1:14" x14ac:dyDescent="0.3">
      <c r="A2873" s="1">
        <v>45182</v>
      </c>
      <c r="B2873" t="s">
        <v>36</v>
      </c>
      <c r="C2873" t="s">
        <v>33</v>
      </c>
      <c r="D2873" t="s">
        <v>19</v>
      </c>
      <c r="E2873">
        <v>2</v>
      </c>
      <c r="F2873">
        <v>2016</v>
      </c>
      <c r="G2873">
        <v>151.4</v>
      </c>
      <c r="H2873">
        <v>2023</v>
      </c>
      <c r="I2873" t="s">
        <v>21</v>
      </c>
      <c r="J2873" s="4">
        <v>7.5099206349206402E-2</v>
      </c>
      <c r="K2873" t="s">
        <v>40</v>
      </c>
      <c r="L2873" t="s">
        <v>60</v>
      </c>
      <c r="M2873">
        <v>9</v>
      </c>
      <c r="N2873" t="s">
        <v>61</v>
      </c>
    </row>
    <row r="2874" spans="1:14" x14ac:dyDescent="0.3">
      <c r="A2874" s="1">
        <v>45076</v>
      </c>
      <c r="B2874" t="s">
        <v>36</v>
      </c>
      <c r="C2874" t="s">
        <v>33</v>
      </c>
      <c r="D2874" t="s">
        <v>19</v>
      </c>
      <c r="E2874">
        <v>2</v>
      </c>
      <c r="F2874">
        <v>586</v>
      </c>
      <c r="G2874">
        <v>101.64</v>
      </c>
      <c r="H2874">
        <v>2023</v>
      </c>
      <c r="I2874" t="s">
        <v>20</v>
      </c>
      <c r="J2874" s="4">
        <v>0.17344709897610899</v>
      </c>
      <c r="K2874" t="s">
        <v>40</v>
      </c>
      <c r="L2874" t="s">
        <v>59</v>
      </c>
      <c r="M2874">
        <v>5</v>
      </c>
      <c r="N2874" t="s">
        <v>20</v>
      </c>
    </row>
    <row r="2875" spans="1:14" x14ac:dyDescent="0.3">
      <c r="A2875" s="1">
        <v>44987</v>
      </c>
      <c r="B2875" t="s">
        <v>36</v>
      </c>
      <c r="C2875" t="s">
        <v>33</v>
      </c>
      <c r="D2875" t="s">
        <v>12</v>
      </c>
      <c r="E2875">
        <v>8</v>
      </c>
      <c r="F2875">
        <v>9056</v>
      </c>
      <c r="G2875">
        <v>1860.37</v>
      </c>
      <c r="H2875">
        <v>2023</v>
      </c>
      <c r="I2875" t="s">
        <v>15</v>
      </c>
      <c r="J2875" s="4">
        <v>0.205429549469965</v>
      </c>
      <c r="K2875" t="s">
        <v>40</v>
      </c>
      <c r="L2875" t="s">
        <v>55</v>
      </c>
      <c r="M2875">
        <v>3</v>
      </c>
      <c r="N2875" t="s">
        <v>56</v>
      </c>
    </row>
    <row r="2876" spans="1:14" x14ac:dyDescent="0.3">
      <c r="A2876" s="1">
        <v>45075</v>
      </c>
      <c r="B2876" t="s">
        <v>36</v>
      </c>
      <c r="C2876" t="s">
        <v>33</v>
      </c>
      <c r="D2876" t="s">
        <v>19</v>
      </c>
      <c r="E2876">
        <v>8</v>
      </c>
      <c r="F2876">
        <v>6256</v>
      </c>
      <c r="G2876">
        <v>1152.99</v>
      </c>
      <c r="H2876">
        <v>2023</v>
      </c>
      <c r="I2876" t="s">
        <v>20</v>
      </c>
      <c r="J2876" s="4">
        <v>0.18430147058823501</v>
      </c>
      <c r="K2876" t="s">
        <v>40</v>
      </c>
      <c r="L2876" t="s">
        <v>59</v>
      </c>
      <c r="M2876">
        <v>5</v>
      </c>
      <c r="N2876" t="s">
        <v>20</v>
      </c>
    </row>
    <row r="2877" spans="1:14" x14ac:dyDescent="0.3">
      <c r="A2877" s="1">
        <v>45263</v>
      </c>
      <c r="B2877" t="s">
        <v>36</v>
      </c>
      <c r="C2877" t="s">
        <v>33</v>
      </c>
      <c r="D2877" t="s">
        <v>17</v>
      </c>
      <c r="E2877">
        <v>1</v>
      </c>
      <c r="F2877">
        <v>140</v>
      </c>
      <c r="G2877">
        <v>24.21</v>
      </c>
      <c r="H2877">
        <v>2023</v>
      </c>
      <c r="I2877" t="s">
        <v>13</v>
      </c>
      <c r="J2877" s="4">
        <v>0.17292857142857099</v>
      </c>
      <c r="K2877" t="s">
        <v>40</v>
      </c>
      <c r="L2877" t="s">
        <v>52</v>
      </c>
      <c r="M2877">
        <v>12</v>
      </c>
      <c r="N2877" t="s">
        <v>53</v>
      </c>
    </row>
    <row r="2878" spans="1:14" x14ac:dyDescent="0.3">
      <c r="A2878" s="1">
        <v>44985</v>
      </c>
      <c r="B2878" t="s">
        <v>36</v>
      </c>
      <c r="C2878" t="s">
        <v>33</v>
      </c>
      <c r="D2878" t="s">
        <v>12</v>
      </c>
      <c r="E2878">
        <v>7</v>
      </c>
      <c r="F2878">
        <v>5047</v>
      </c>
      <c r="G2878">
        <v>915.75</v>
      </c>
      <c r="H2878">
        <v>2023</v>
      </c>
      <c r="I2878" t="s">
        <v>16</v>
      </c>
      <c r="J2878" s="4">
        <v>0.181444422429166</v>
      </c>
      <c r="K2878" t="s">
        <v>40</v>
      </c>
      <c r="L2878" t="s">
        <v>55</v>
      </c>
      <c r="M2878">
        <v>2</v>
      </c>
      <c r="N2878" t="s">
        <v>57</v>
      </c>
    </row>
    <row r="2879" spans="1:14" x14ac:dyDescent="0.3">
      <c r="A2879" s="1">
        <v>45041</v>
      </c>
      <c r="B2879" t="s">
        <v>36</v>
      </c>
      <c r="C2879" t="s">
        <v>33</v>
      </c>
      <c r="D2879" t="s">
        <v>19</v>
      </c>
      <c r="E2879">
        <v>4</v>
      </c>
      <c r="F2879">
        <v>596</v>
      </c>
      <c r="G2879">
        <v>105.89</v>
      </c>
      <c r="H2879">
        <v>2023</v>
      </c>
      <c r="I2879" t="s">
        <v>23</v>
      </c>
      <c r="J2879" s="4">
        <v>0.17766778523489901</v>
      </c>
      <c r="K2879" t="s">
        <v>40</v>
      </c>
      <c r="L2879" t="s">
        <v>59</v>
      </c>
      <c r="M2879">
        <v>4</v>
      </c>
      <c r="N2879" t="s">
        <v>62</v>
      </c>
    </row>
    <row r="2880" spans="1:14" x14ac:dyDescent="0.3">
      <c r="A2880" s="1">
        <v>45222</v>
      </c>
      <c r="B2880" t="s">
        <v>36</v>
      </c>
      <c r="C2880" t="s">
        <v>33</v>
      </c>
      <c r="D2880" t="s">
        <v>17</v>
      </c>
      <c r="E2880">
        <v>7</v>
      </c>
      <c r="F2880">
        <v>7280</v>
      </c>
      <c r="G2880">
        <v>1682.79</v>
      </c>
      <c r="H2880">
        <v>2023</v>
      </c>
      <c r="I2880" t="s">
        <v>14</v>
      </c>
      <c r="J2880" s="4">
        <v>0.23115247252747301</v>
      </c>
      <c r="K2880" t="s">
        <v>40</v>
      </c>
      <c r="L2880" t="s">
        <v>52</v>
      </c>
      <c r="M2880">
        <v>10</v>
      </c>
      <c r="N2880" t="s">
        <v>54</v>
      </c>
    </row>
    <row r="2881" spans="1:14" x14ac:dyDescent="0.3">
      <c r="A2881" s="1">
        <v>45129</v>
      </c>
      <c r="B2881" t="s">
        <v>36</v>
      </c>
      <c r="C2881" t="s">
        <v>33</v>
      </c>
      <c r="D2881" t="s">
        <v>17</v>
      </c>
      <c r="E2881">
        <v>3</v>
      </c>
      <c r="F2881">
        <v>2994</v>
      </c>
      <c r="G2881">
        <v>877.92</v>
      </c>
      <c r="H2881">
        <v>2023</v>
      </c>
      <c r="I2881" t="s">
        <v>25</v>
      </c>
      <c r="J2881" s="4">
        <v>0.29322645290581201</v>
      </c>
      <c r="K2881" t="s">
        <v>40</v>
      </c>
      <c r="L2881" t="s">
        <v>60</v>
      </c>
      <c r="M2881">
        <v>7</v>
      </c>
      <c r="N2881" t="s">
        <v>64</v>
      </c>
    </row>
    <row r="2882" spans="1:14" x14ac:dyDescent="0.3">
      <c r="A2882" s="1">
        <v>45070</v>
      </c>
      <c r="B2882" t="s">
        <v>36</v>
      </c>
      <c r="C2882" t="s">
        <v>33</v>
      </c>
      <c r="D2882" t="s">
        <v>12</v>
      </c>
      <c r="E2882">
        <v>3</v>
      </c>
      <c r="F2882">
        <v>1359</v>
      </c>
      <c r="G2882">
        <v>152.85</v>
      </c>
      <c r="H2882">
        <v>2023</v>
      </c>
      <c r="I2882" t="s">
        <v>20</v>
      </c>
      <c r="J2882" s="4">
        <v>0.11247240618101501</v>
      </c>
      <c r="K2882" t="s">
        <v>40</v>
      </c>
      <c r="L2882" t="s">
        <v>59</v>
      </c>
      <c r="M2882">
        <v>5</v>
      </c>
      <c r="N2882" t="s">
        <v>20</v>
      </c>
    </row>
    <row r="2883" spans="1:14" x14ac:dyDescent="0.3">
      <c r="A2883" s="1">
        <v>44984</v>
      </c>
      <c r="B2883" t="s">
        <v>36</v>
      </c>
      <c r="C2883" t="s">
        <v>33</v>
      </c>
      <c r="D2883" t="s">
        <v>12</v>
      </c>
      <c r="E2883">
        <v>8</v>
      </c>
      <c r="F2883">
        <v>5384</v>
      </c>
      <c r="G2883">
        <v>724.8</v>
      </c>
      <c r="H2883">
        <v>2023</v>
      </c>
      <c r="I2883" t="s">
        <v>16</v>
      </c>
      <c r="J2883" s="4">
        <v>0.13462109955423501</v>
      </c>
      <c r="K2883" t="s">
        <v>40</v>
      </c>
      <c r="L2883" t="s">
        <v>55</v>
      </c>
      <c r="M2883">
        <v>2</v>
      </c>
      <c r="N2883" t="s">
        <v>57</v>
      </c>
    </row>
    <row r="2884" spans="1:14" x14ac:dyDescent="0.3">
      <c r="A2884" s="1">
        <v>45022</v>
      </c>
      <c r="B2884" t="s">
        <v>36</v>
      </c>
      <c r="C2884" t="s">
        <v>33</v>
      </c>
      <c r="D2884" t="s">
        <v>19</v>
      </c>
      <c r="E2884">
        <v>9</v>
      </c>
      <c r="F2884">
        <v>1719</v>
      </c>
      <c r="G2884">
        <v>251.85</v>
      </c>
      <c r="H2884">
        <v>2023</v>
      </c>
      <c r="I2884" t="s">
        <v>23</v>
      </c>
      <c r="J2884" s="4">
        <v>0.146509598603839</v>
      </c>
      <c r="K2884" t="s">
        <v>40</v>
      </c>
      <c r="L2884" t="s">
        <v>59</v>
      </c>
      <c r="M2884">
        <v>4</v>
      </c>
      <c r="N2884" t="s">
        <v>62</v>
      </c>
    </row>
    <row r="2885" spans="1:14" x14ac:dyDescent="0.3">
      <c r="A2885" s="1">
        <v>45108</v>
      </c>
      <c r="B2885" t="s">
        <v>36</v>
      </c>
      <c r="C2885" t="s">
        <v>33</v>
      </c>
      <c r="D2885" t="s">
        <v>19</v>
      </c>
      <c r="E2885">
        <v>4</v>
      </c>
      <c r="F2885">
        <v>428</v>
      </c>
      <c r="G2885">
        <v>86.62</v>
      </c>
      <c r="H2885">
        <v>2023</v>
      </c>
      <c r="I2885" t="s">
        <v>25</v>
      </c>
      <c r="J2885" s="4">
        <v>0.202383177570093</v>
      </c>
      <c r="K2885" t="s">
        <v>40</v>
      </c>
      <c r="L2885" t="s">
        <v>60</v>
      </c>
      <c r="M2885">
        <v>7</v>
      </c>
      <c r="N2885" t="s">
        <v>64</v>
      </c>
    </row>
    <row r="2886" spans="1:14" x14ac:dyDescent="0.3">
      <c r="A2886" s="1">
        <v>45231</v>
      </c>
      <c r="B2886" t="s">
        <v>36</v>
      </c>
      <c r="C2886" t="s">
        <v>33</v>
      </c>
      <c r="D2886" t="s">
        <v>22</v>
      </c>
      <c r="E2886">
        <v>6</v>
      </c>
      <c r="F2886">
        <v>1506</v>
      </c>
      <c r="G2886">
        <v>407.73</v>
      </c>
      <c r="H2886">
        <v>2023</v>
      </c>
      <c r="I2886" t="s">
        <v>18</v>
      </c>
      <c r="J2886" s="4">
        <v>0.27073705179282898</v>
      </c>
      <c r="K2886" t="s">
        <v>40</v>
      </c>
      <c r="L2886" t="s">
        <v>52</v>
      </c>
      <c r="M2886">
        <v>11</v>
      </c>
      <c r="N2886" t="s">
        <v>58</v>
      </c>
    </row>
    <row r="2887" spans="1:14" x14ac:dyDescent="0.3">
      <c r="A2887" s="1">
        <v>45016</v>
      </c>
      <c r="B2887" t="s">
        <v>36</v>
      </c>
      <c r="C2887" t="s">
        <v>33</v>
      </c>
      <c r="D2887" t="s">
        <v>17</v>
      </c>
      <c r="E2887">
        <v>2</v>
      </c>
      <c r="F2887">
        <v>1026</v>
      </c>
      <c r="G2887">
        <v>226.4</v>
      </c>
      <c r="H2887">
        <v>2023</v>
      </c>
      <c r="I2887" t="s">
        <v>15</v>
      </c>
      <c r="J2887" s="4">
        <v>0.220662768031189</v>
      </c>
      <c r="K2887" t="s">
        <v>40</v>
      </c>
      <c r="L2887" t="s">
        <v>55</v>
      </c>
      <c r="M2887">
        <v>3</v>
      </c>
      <c r="N2887" t="s">
        <v>56</v>
      </c>
    </row>
    <row r="2888" spans="1:14" x14ac:dyDescent="0.3">
      <c r="A2888" s="1">
        <v>44981</v>
      </c>
      <c r="B2888" t="s">
        <v>36</v>
      </c>
      <c r="C2888" t="s">
        <v>33</v>
      </c>
      <c r="D2888" t="s">
        <v>22</v>
      </c>
      <c r="E2888">
        <v>6</v>
      </c>
      <c r="F2888">
        <v>3888</v>
      </c>
      <c r="G2888">
        <v>275.72000000000003</v>
      </c>
      <c r="H2888">
        <v>2023</v>
      </c>
      <c r="I2888" t="s">
        <v>16</v>
      </c>
      <c r="J2888" s="4">
        <v>7.0915637860082301E-2</v>
      </c>
      <c r="K2888" t="s">
        <v>40</v>
      </c>
      <c r="L2888" t="s">
        <v>55</v>
      </c>
      <c r="M2888">
        <v>2</v>
      </c>
      <c r="N2888" t="s">
        <v>57</v>
      </c>
    </row>
    <row r="2889" spans="1:14" x14ac:dyDescent="0.3">
      <c r="A2889" s="1">
        <v>45068</v>
      </c>
      <c r="B2889" t="s">
        <v>36</v>
      </c>
      <c r="C2889" t="s">
        <v>33</v>
      </c>
      <c r="D2889" t="s">
        <v>17</v>
      </c>
      <c r="E2889">
        <v>5</v>
      </c>
      <c r="F2889">
        <v>4960</v>
      </c>
      <c r="G2889">
        <v>420.98</v>
      </c>
      <c r="H2889">
        <v>2023</v>
      </c>
      <c r="I2889" t="s">
        <v>20</v>
      </c>
      <c r="J2889" s="4">
        <v>8.4875000000000006E-2</v>
      </c>
      <c r="K2889" t="s">
        <v>40</v>
      </c>
      <c r="L2889" t="s">
        <v>59</v>
      </c>
      <c r="M2889">
        <v>5</v>
      </c>
      <c r="N2889" t="s">
        <v>20</v>
      </c>
    </row>
    <row r="2890" spans="1:14" x14ac:dyDescent="0.3">
      <c r="A2890" s="1">
        <v>45139</v>
      </c>
      <c r="B2890" t="s">
        <v>36</v>
      </c>
      <c r="C2890" t="s">
        <v>33</v>
      </c>
      <c r="D2890" t="s">
        <v>12</v>
      </c>
      <c r="E2890">
        <v>1</v>
      </c>
      <c r="F2890">
        <v>1178</v>
      </c>
      <c r="G2890">
        <v>292.14999999999998</v>
      </c>
      <c r="H2890">
        <v>2023</v>
      </c>
      <c r="I2890" t="s">
        <v>24</v>
      </c>
      <c r="J2890" s="4">
        <v>0.24800509337860799</v>
      </c>
      <c r="K2890" t="s">
        <v>40</v>
      </c>
      <c r="L2890" t="s">
        <v>60</v>
      </c>
      <c r="M2890">
        <v>8</v>
      </c>
      <c r="N2890" t="s">
        <v>63</v>
      </c>
    </row>
    <row r="2891" spans="1:14" x14ac:dyDescent="0.3">
      <c r="A2891" s="1">
        <v>45287</v>
      </c>
      <c r="B2891" t="s">
        <v>36</v>
      </c>
      <c r="C2891" t="s">
        <v>33</v>
      </c>
      <c r="D2891" t="s">
        <v>22</v>
      </c>
      <c r="E2891">
        <v>9</v>
      </c>
      <c r="F2891">
        <v>6138</v>
      </c>
      <c r="G2891">
        <v>851.14</v>
      </c>
      <c r="H2891">
        <v>2023</v>
      </c>
      <c r="I2891" t="s">
        <v>13</v>
      </c>
      <c r="J2891" s="4">
        <v>0.138667318344738</v>
      </c>
      <c r="K2891" t="s">
        <v>40</v>
      </c>
      <c r="L2891" t="s">
        <v>52</v>
      </c>
      <c r="M2891">
        <v>12</v>
      </c>
      <c r="N2891" t="s">
        <v>53</v>
      </c>
    </row>
    <row r="2892" spans="1:14" x14ac:dyDescent="0.3">
      <c r="A2892" s="1">
        <v>45190</v>
      </c>
      <c r="B2892" t="s">
        <v>36</v>
      </c>
      <c r="C2892" t="s">
        <v>33</v>
      </c>
      <c r="D2892" t="s">
        <v>19</v>
      </c>
      <c r="E2892">
        <v>6</v>
      </c>
      <c r="F2892">
        <v>942</v>
      </c>
      <c r="G2892">
        <v>80.27</v>
      </c>
      <c r="H2892">
        <v>2023</v>
      </c>
      <c r="I2892" t="s">
        <v>21</v>
      </c>
      <c r="J2892" s="4">
        <v>8.5212314225053098E-2</v>
      </c>
      <c r="K2892" t="s">
        <v>40</v>
      </c>
      <c r="L2892" t="s">
        <v>60</v>
      </c>
      <c r="M2892">
        <v>9</v>
      </c>
      <c r="N2892" t="s">
        <v>61</v>
      </c>
    </row>
    <row r="2893" spans="1:14" x14ac:dyDescent="0.3">
      <c r="A2893" s="1">
        <v>45085</v>
      </c>
      <c r="B2893" t="s">
        <v>36</v>
      </c>
      <c r="C2893" t="s">
        <v>33</v>
      </c>
      <c r="D2893" t="s">
        <v>17</v>
      </c>
      <c r="E2893">
        <v>7</v>
      </c>
      <c r="F2893">
        <v>3451</v>
      </c>
      <c r="G2893">
        <v>397.29</v>
      </c>
      <c r="H2893">
        <v>2023</v>
      </c>
      <c r="I2893" t="s">
        <v>27</v>
      </c>
      <c r="J2893" s="4">
        <v>0.11512315270935999</v>
      </c>
      <c r="K2893" t="s">
        <v>40</v>
      </c>
      <c r="L2893" t="s">
        <v>59</v>
      </c>
      <c r="M2893">
        <v>6</v>
      </c>
      <c r="N2893" t="s">
        <v>66</v>
      </c>
    </row>
    <row r="2894" spans="1:14" x14ac:dyDescent="0.3">
      <c r="A2894" s="1">
        <v>45173</v>
      </c>
      <c r="B2894" t="s">
        <v>36</v>
      </c>
      <c r="C2894" t="s">
        <v>33</v>
      </c>
      <c r="D2894" t="s">
        <v>19</v>
      </c>
      <c r="E2894">
        <v>1</v>
      </c>
      <c r="F2894">
        <v>743</v>
      </c>
      <c r="G2894">
        <v>216.5</v>
      </c>
      <c r="H2894">
        <v>2023</v>
      </c>
      <c r="I2894" t="s">
        <v>21</v>
      </c>
      <c r="J2894" s="4">
        <v>0.29138627187079402</v>
      </c>
      <c r="K2894" t="s">
        <v>40</v>
      </c>
      <c r="L2894" t="s">
        <v>60</v>
      </c>
      <c r="M2894">
        <v>9</v>
      </c>
      <c r="N2894" t="s">
        <v>61</v>
      </c>
    </row>
    <row r="2895" spans="1:14" x14ac:dyDescent="0.3">
      <c r="A2895" s="1">
        <v>45148</v>
      </c>
      <c r="B2895" t="s">
        <v>36</v>
      </c>
      <c r="C2895" t="s">
        <v>33</v>
      </c>
      <c r="D2895" t="s">
        <v>22</v>
      </c>
      <c r="E2895">
        <v>4</v>
      </c>
      <c r="F2895">
        <v>2804</v>
      </c>
      <c r="G2895">
        <v>382.82</v>
      </c>
      <c r="H2895">
        <v>2023</v>
      </c>
      <c r="I2895" t="s">
        <v>24</v>
      </c>
      <c r="J2895" s="4">
        <v>0.136526390870185</v>
      </c>
      <c r="K2895" t="s">
        <v>40</v>
      </c>
      <c r="L2895" t="s">
        <v>60</v>
      </c>
      <c r="M2895">
        <v>8</v>
      </c>
      <c r="N2895" t="s">
        <v>63</v>
      </c>
    </row>
    <row r="2896" spans="1:14" x14ac:dyDescent="0.3">
      <c r="A2896" s="1">
        <v>45004</v>
      </c>
      <c r="B2896" t="s">
        <v>36</v>
      </c>
      <c r="C2896" t="s">
        <v>33</v>
      </c>
      <c r="D2896" t="s">
        <v>22</v>
      </c>
      <c r="E2896">
        <v>7</v>
      </c>
      <c r="F2896">
        <v>1309</v>
      </c>
      <c r="G2896">
        <v>138.46</v>
      </c>
      <c r="H2896">
        <v>2023</v>
      </c>
      <c r="I2896" t="s">
        <v>15</v>
      </c>
      <c r="J2896" s="4">
        <v>0.10577540106951901</v>
      </c>
      <c r="K2896" t="s">
        <v>40</v>
      </c>
      <c r="L2896" t="s">
        <v>55</v>
      </c>
      <c r="M2896">
        <v>3</v>
      </c>
      <c r="N2896" t="s">
        <v>56</v>
      </c>
    </row>
    <row r="2897" spans="1:14" x14ac:dyDescent="0.3">
      <c r="A2897" s="1">
        <v>45235</v>
      </c>
      <c r="B2897" t="s">
        <v>36</v>
      </c>
      <c r="C2897" t="s">
        <v>33</v>
      </c>
      <c r="D2897" t="s">
        <v>22</v>
      </c>
      <c r="E2897">
        <v>7</v>
      </c>
      <c r="F2897">
        <v>5446</v>
      </c>
      <c r="G2897">
        <v>697.21</v>
      </c>
      <c r="H2897">
        <v>2023</v>
      </c>
      <c r="I2897" t="s">
        <v>18</v>
      </c>
      <c r="J2897" s="4">
        <v>0.128022401762762</v>
      </c>
      <c r="K2897" t="s">
        <v>40</v>
      </c>
      <c r="L2897" t="s">
        <v>52</v>
      </c>
      <c r="M2897">
        <v>11</v>
      </c>
      <c r="N2897" t="s">
        <v>58</v>
      </c>
    </row>
    <row r="2898" spans="1:14" x14ac:dyDescent="0.3">
      <c r="A2898" s="1">
        <v>45110</v>
      </c>
      <c r="B2898" t="s">
        <v>36</v>
      </c>
      <c r="C2898" t="s">
        <v>33</v>
      </c>
      <c r="D2898" t="s">
        <v>22</v>
      </c>
      <c r="E2898">
        <v>6</v>
      </c>
      <c r="F2898">
        <v>6402</v>
      </c>
      <c r="G2898">
        <v>1602.79</v>
      </c>
      <c r="H2898">
        <v>2023</v>
      </c>
      <c r="I2898" t="s">
        <v>25</v>
      </c>
      <c r="J2898" s="4">
        <v>0.25035770071852498</v>
      </c>
      <c r="K2898" t="s">
        <v>40</v>
      </c>
      <c r="L2898" t="s">
        <v>60</v>
      </c>
      <c r="M2898">
        <v>7</v>
      </c>
      <c r="N2898" t="s">
        <v>64</v>
      </c>
    </row>
    <row r="2899" spans="1:14" x14ac:dyDescent="0.3">
      <c r="A2899" s="1">
        <v>45209</v>
      </c>
      <c r="B2899" t="s">
        <v>36</v>
      </c>
      <c r="C2899" t="s">
        <v>33</v>
      </c>
      <c r="D2899" t="s">
        <v>17</v>
      </c>
      <c r="E2899">
        <v>6</v>
      </c>
      <c r="F2899">
        <v>1614</v>
      </c>
      <c r="G2899">
        <v>166.62</v>
      </c>
      <c r="H2899">
        <v>2023</v>
      </c>
      <c r="I2899" t="s">
        <v>14</v>
      </c>
      <c r="J2899" s="4">
        <v>0.103234200743494</v>
      </c>
      <c r="K2899" t="s">
        <v>40</v>
      </c>
      <c r="L2899" t="s">
        <v>52</v>
      </c>
      <c r="M2899">
        <v>10</v>
      </c>
      <c r="N2899" t="s">
        <v>54</v>
      </c>
    </row>
    <row r="2900" spans="1:14" x14ac:dyDescent="0.3">
      <c r="A2900" s="1">
        <v>45179</v>
      </c>
      <c r="B2900" t="s">
        <v>36</v>
      </c>
      <c r="C2900" t="s">
        <v>33</v>
      </c>
      <c r="D2900" t="s">
        <v>19</v>
      </c>
      <c r="E2900">
        <v>2</v>
      </c>
      <c r="F2900">
        <v>1394</v>
      </c>
      <c r="G2900">
        <v>408.32</v>
      </c>
      <c r="H2900">
        <v>2023</v>
      </c>
      <c r="I2900" t="s">
        <v>21</v>
      </c>
      <c r="J2900" s="4">
        <v>0.29291248206599702</v>
      </c>
      <c r="K2900" t="s">
        <v>40</v>
      </c>
      <c r="L2900" t="s">
        <v>60</v>
      </c>
      <c r="M2900">
        <v>9</v>
      </c>
      <c r="N2900" t="s">
        <v>61</v>
      </c>
    </row>
    <row r="2901" spans="1:14" x14ac:dyDescent="0.3">
      <c r="A2901" s="1">
        <v>45025</v>
      </c>
      <c r="B2901" t="s">
        <v>36</v>
      </c>
      <c r="C2901" t="s">
        <v>33</v>
      </c>
      <c r="D2901" t="s">
        <v>12</v>
      </c>
      <c r="E2901">
        <v>4</v>
      </c>
      <c r="F2901">
        <v>3632</v>
      </c>
      <c r="G2901">
        <v>566.80999999999995</v>
      </c>
      <c r="H2901">
        <v>2023</v>
      </c>
      <c r="I2901" t="s">
        <v>23</v>
      </c>
      <c r="J2901" s="4">
        <v>0.15606002202643199</v>
      </c>
      <c r="K2901" t="s">
        <v>40</v>
      </c>
      <c r="L2901" t="s">
        <v>59</v>
      </c>
      <c r="M2901">
        <v>4</v>
      </c>
      <c r="N2901" t="s">
        <v>62</v>
      </c>
    </row>
    <row r="2902" spans="1:14" x14ac:dyDescent="0.3">
      <c r="A2902" s="1">
        <v>45080</v>
      </c>
      <c r="B2902" t="s">
        <v>36</v>
      </c>
      <c r="C2902" t="s">
        <v>33</v>
      </c>
      <c r="D2902" t="s">
        <v>22</v>
      </c>
      <c r="E2902">
        <v>5</v>
      </c>
      <c r="F2902">
        <v>280</v>
      </c>
      <c r="G2902">
        <v>79.77</v>
      </c>
      <c r="H2902">
        <v>2023</v>
      </c>
      <c r="I2902" t="s">
        <v>27</v>
      </c>
      <c r="J2902" s="4">
        <v>0.284892857142857</v>
      </c>
      <c r="K2902" t="s">
        <v>40</v>
      </c>
      <c r="L2902" t="s">
        <v>59</v>
      </c>
      <c r="M2902">
        <v>6</v>
      </c>
      <c r="N2902" t="s">
        <v>66</v>
      </c>
    </row>
    <row r="2903" spans="1:14" x14ac:dyDescent="0.3">
      <c r="A2903" s="1">
        <v>45172</v>
      </c>
      <c r="B2903" t="s">
        <v>36</v>
      </c>
      <c r="C2903" t="s">
        <v>33</v>
      </c>
      <c r="D2903" t="s">
        <v>22</v>
      </c>
      <c r="E2903">
        <v>5</v>
      </c>
      <c r="F2903">
        <v>4615</v>
      </c>
      <c r="G2903">
        <v>251</v>
      </c>
      <c r="H2903">
        <v>2023</v>
      </c>
      <c r="I2903" t="s">
        <v>21</v>
      </c>
      <c r="J2903" s="4">
        <v>5.4387865655471303E-2</v>
      </c>
      <c r="K2903" t="s">
        <v>40</v>
      </c>
      <c r="L2903" t="s">
        <v>60</v>
      </c>
      <c r="M2903">
        <v>9</v>
      </c>
      <c r="N2903" t="s">
        <v>61</v>
      </c>
    </row>
    <row r="2904" spans="1:14" x14ac:dyDescent="0.3">
      <c r="A2904" s="1">
        <v>45182</v>
      </c>
      <c r="B2904" t="s">
        <v>36</v>
      </c>
      <c r="C2904" t="s">
        <v>33</v>
      </c>
      <c r="D2904" t="s">
        <v>19</v>
      </c>
      <c r="E2904">
        <v>8</v>
      </c>
      <c r="F2904">
        <v>3544</v>
      </c>
      <c r="G2904">
        <v>454.14</v>
      </c>
      <c r="H2904">
        <v>2023</v>
      </c>
      <c r="I2904" t="s">
        <v>21</v>
      </c>
      <c r="J2904" s="4">
        <v>0.128143340857788</v>
      </c>
      <c r="K2904" t="s">
        <v>40</v>
      </c>
      <c r="L2904" t="s">
        <v>60</v>
      </c>
      <c r="M2904">
        <v>9</v>
      </c>
      <c r="N2904" t="s">
        <v>61</v>
      </c>
    </row>
    <row r="2905" spans="1:14" x14ac:dyDescent="0.3">
      <c r="A2905" s="1">
        <v>44972</v>
      </c>
      <c r="B2905" t="s">
        <v>36</v>
      </c>
      <c r="C2905" t="s">
        <v>33</v>
      </c>
      <c r="D2905" t="s">
        <v>17</v>
      </c>
      <c r="E2905">
        <v>4</v>
      </c>
      <c r="F2905">
        <v>4064</v>
      </c>
      <c r="G2905">
        <v>771.16</v>
      </c>
      <c r="H2905">
        <v>2023</v>
      </c>
      <c r="I2905" t="s">
        <v>16</v>
      </c>
      <c r="J2905" s="4">
        <v>0.18975393700787399</v>
      </c>
      <c r="K2905" t="s">
        <v>40</v>
      </c>
      <c r="L2905" t="s">
        <v>55</v>
      </c>
      <c r="M2905">
        <v>2</v>
      </c>
      <c r="N2905" t="s">
        <v>57</v>
      </c>
    </row>
    <row r="2906" spans="1:14" x14ac:dyDescent="0.3">
      <c r="A2906" s="1">
        <v>44722</v>
      </c>
      <c r="B2906" t="s">
        <v>36</v>
      </c>
      <c r="C2906" t="s">
        <v>33</v>
      </c>
      <c r="D2906" t="s">
        <v>12</v>
      </c>
      <c r="E2906">
        <v>3</v>
      </c>
      <c r="F2906">
        <v>3018</v>
      </c>
      <c r="G2906">
        <v>320.11</v>
      </c>
      <c r="H2906">
        <v>2022</v>
      </c>
      <c r="I2906" t="s">
        <v>27</v>
      </c>
      <c r="J2906" s="4">
        <v>0.106066931742876</v>
      </c>
      <c r="K2906" t="s">
        <v>42</v>
      </c>
      <c r="L2906" t="s">
        <v>59</v>
      </c>
      <c r="M2906">
        <v>6</v>
      </c>
      <c r="N2906" t="s">
        <v>66</v>
      </c>
    </row>
    <row r="2907" spans="1:14" x14ac:dyDescent="0.3">
      <c r="A2907" s="1">
        <v>44588</v>
      </c>
      <c r="B2907" t="s">
        <v>36</v>
      </c>
      <c r="C2907" t="s">
        <v>33</v>
      </c>
      <c r="D2907" t="s">
        <v>22</v>
      </c>
      <c r="E2907">
        <v>6</v>
      </c>
      <c r="F2907">
        <v>3672</v>
      </c>
      <c r="G2907">
        <v>1002.5</v>
      </c>
      <c r="H2907">
        <v>2022</v>
      </c>
      <c r="I2907" t="s">
        <v>26</v>
      </c>
      <c r="J2907" s="4">
        <v>0.273011982570806</v>
      </c>
      <c r="K2907" t="s">
        <v>42</v>
      </c>
      <c r="L2907" t="s">
        <v>55</v>
      </c>
      <c r="M2907">
        <v>1</v>
      </c>
      <c r="N2907" t="s">
        <v>65</v>
      </c>
    </row>
    <row r="2908" spans="1:14" x14ac:dyDescent="0.3">
      <c r="A2908" s="1">
        <v>44711</v>
      </c>
      <c r="B2908" t="s">
        <v>36</v>
      </c>
      <c r="C2908" t="s">
        <v>33</v>
      </c>
      <c r="D2908" t="s">
        <v>22</v>
      </c>
      <c r="E2908">
        <v>3</v>
      </c>
      <c r="F2908">
        <v>1872</v>
      </c>
      <c r="G2908">
        <v>553.1</v>
      </c>
      <c r="H2908">
        <v>2022</v>
      </c>
      <c r="I2908" t="s">
        <v>20</v>
      </c>
      <c r="J2908" s="4">
        <v>0.29545940170940199</v>
      </c>
      <c r="K2908" t="s">
        <v>42</v>
      </c>
      <c r="L2908" t="s">
        <v>59</v>
      </c>
      <c r="M2908">
        <v>5</v>
      </c>
      <c r="N2908" t="s">
        <v>20</v>
      </c>
    </row>
    <row r="2909" spans="1:14" x14ac:dyDescent="0.3">
      <c r="A2909" s="1">
        <v>44600</v>
      </c>
      <c r="B2909" t="s">
        <v>36</v>
      </c>
      <c r="C2909" t="s">
        <v>33</v>
      </c>
      <c r="D2909" t="s">
        <v>22</v>
      </c>
      <c r="E2909">
        <v>7</v>
      </c>
      <c r="F2909">
        <v>980</v>
      </c>
      <c r="G2909">
        <v>109.94</v>
      </c>
      <c r="H2909">
        <v>2022</v>
      </c>
      <c r="I2909" t="s">
        <v>16</v>
      </c>
      <c r="J2909" s="4">
        <v>0.112183673469388</v>
      </c>
      <c r="K2909" t="s">
        <v>42</v>
      </c>
      <c r="L2909" t="s">
        <v>55</v>
      </c>
      <c r="M2909">
        <v>2</v>
      </c>
      <c r="N2909" t="s">
        <v>57</v>
      </c>
    </row>
    <row r="2910" spans="1:14" x14ac:dyDescent="0.3">
      <c r="A2910" s="1">
        <v>44738</v>
      </c>
      <c r="B2910" t="s">
        <v>36</v>
      </c>
      <c r="C2910" t="s">
        <v>33</v>
      </c>
      <c r="D2910" t="s">
        <v>19</v>
      </c>
      <c r="E2910">
        <v>1</v>
      </c>
      <c r="F2910">
        <v>195</v>
      </c>
      <c r="G2910">
        <v>57.88</v>
      </c>
      <c r="H2910">
        <v>2022</v>
      </c>
      <c r="I2910" t="s">
        <v>27</v>
      </c>
      <c r="J2910" s="4">
        <v>0.29682051282051303</v>
      </c>
      <c r="K2910" t="s">
        <v>42</v>
      </c>
      <c r="L2910" t="s">
        <v>59</v>
      </c>
      <c r="M2910">
        <v>6</v>
      </c>
      <c r="N2910" t="s">
        <v>66</v>
      </c>
    </row>
    <row r="2911" spans="1:14" x14ac:dyDescent="0.3">
      <c r="A2911" s="1">
        <v>44794</v>
      </c>
      <c r="B2911" t="s">
        <v>36</v>
      </c>
      <c r="C2911" t="s">
        <v>33</v>
      </c>
      <c r="D2911" t="s">
        <v>12</v>
      </c>
      <c r="E2911">
        <v>5</v>
      </c>
      <c r="F2911">
        <v>4435</v>
      </c>
      <c r="G2911">
        <v>355.51</v>
      </c>
      <c r="H2911">
        <v>2022</v>
      </c>
      <c r="I2911" t="s">
        <v>24</v>
      </c>
      <c r="J2911" s="4">
        <v>8.0160090191657304E-2</v>
      </c>
      <c r="K2911" t="s">
        <v>42</v>
      </c>
      <c r="L2911" t="s">
        <v>60</v>
      </c>
      <c r="M2911">
        <v>8</v>
      </c>
      <c r="N2911" t="s">
        <v>63</v>
      </c>
    </row>
    <row r="2912" spans="1:14" x14ac:dyDescent="0.3">
      <c r="A2912" s="1">
        <v>44879</v>
      </c>
      <c r="B2912" t="s">
        <v>36</v>
      </c>
      <c r="C2912" t="s">
        <v>33</v>
      </c>
      <c r="D2912" t="s">
        <v>12</v>
      </c>
      <c r="E2912">
        <v>7</v>
      </c>
      <c r="F2912">
        <v>8176</v>
      </c>
      <c r="G2912">
        <v>2308.7600000000002</v>
      </c>
      <c r="H2912">
        <v>2022</v>
      </c>
      <c r="I2912" t="s">
        <v>18</v>
      </c>
      <c r="J2912" s="4">
        <v>0.282382583170254</v>
      </c>
      <c r="K2912" t="s">
        <v>42</v>
      </c>
      <c r="L2912" t="s">
        <v>52</v>
      </c>
      <c r="M2912">
        <v>11</v>
      </c>
      <c r="N2912" t="s">
        <v>58</v>
      </c>
    </row>
    <row r="2913" spans="1:14" x14ac:dyDescent="0.3">
      <c r="A2913" s="1">
        <v>44576</v>
      </c>
      <c r="B2913" t="s">
        <v>36</v>
      </c>
      <c r="C2913" t="s">
        <v>33</v>
      </c>
      <c r="D2913" t="s">
        <v>17</v>
      </c>
      <c r="E2913">
        <v>4</v>
      </c>
      <c r="F2913">
        <v>1060</v>
      </c>
      <c r="G2913">
        <v>213.05</v>
      </c>
      <c r="H2913">
        <v>2022</v>
      </c>
      <c r="I2913" t="s">
        <v>26</v>
      </c>
      <c r="J2913" s="4">
        <v>0.20099056603773599</v>
      </c>
      <c r="K2913" t="s">
        <v>42</v>
      </c>
      <c r="L2913" t="s">
        <v>55</v>
      </c>
      <c r="M2913">
        <v>1</v>
      </c>
      <c r="N2913" t="s">
        <v>65</v>
      </c>
    </row>
    <row r="2914" spans="1:14" x14ac:dyDescent="0.3">
      <c r="A2914" s="1">
        <v>44691</v>
      </c>
      <c r="B2914" t="s">
        <v>36</v>
      </c>
      <c r="C2914" t="s">
        <v>33</v>
      </c>
      <c r="D2914" t="s">
        <v>19</v>
      </c>
      <c r="E2914">
        <v>8</v>
      </c>
      <c r="F2914">
        <v>2240</v>
      </c>
      <c r="G2914">
        <v>313.17</v>
      </c>
      <c r="H2914">
        <v>2022</v>
      </c>
      <c r="I2914" t="s">
        <v>20</v>
      </c>
      <c r="J2914" s="4">
        <v>0.13980803571428599</v>
      </c>
      <c r="K2914" t="s">
        <v>42</v>
      </c>
      <c r="L2914" t="s">
        <v>59</v>
      </c>
      <c r="M2914">
        <v>5</v>
      </c>
      <c r="N2914" t="s">
        <v>20</v>
      </c>
    </row>
    <row r="2915" spans="1:14" x14ac:dyDescent="0.3">
      <c r="A2915" s="1">
        <v>44589</v>
      </c>
      <c r="B2915" t="s">
        <v>36</v>
      </c>
      <c r="C2915" t="s">
        <v>33</v>
      </c>
      <c r="D2915" t="s">
        <v>22</v>
      </c>
      <c r="E2915">
        <v>1</v>
      </c>
      <c r="F2915">
        <v>940</v>
      </c>
      <c r="G2915">
        <v>120.35</v>
      </c>
      <c r="H2915">
        <v>2022</v>
      </c>
      <c r="I2915" t="s">
        <v>26</v>
      </c>
      <c r="J2915" s="4">
        <v>0.12803191489361701</v>
      </c>
      <c r="K2915" t="s">
        <v>42</v>
      </c>
      <c r="L2915" t="s">
        <v>55</v>
      </c>
      <c r="M2915">
        <v>1</v>
      </c>
      <c r="N2915" t="s">
        <v>65</v>
      </c>
    </row>
    <row r="2916" spans="1:14" x14ac:dyDescent="0.3">
      <c r="A2916" s="1">
        <v>44865</v>
      </c>
      <c r="B2916" t="s">
        <v>36</v>
      </c>
      <c r="C2916" t="s">
        <v>33</v>
      </c>
      <c r="D2916" t="s">
        <v>17</v>
      </c>
      <c r="E2916">
        <v>5</v>
      </c>
      <c r="F2916">
        <v>3570</v>
      </c>
      <c r="G2916">
        <v>517.82000000000005</v>
      </c>
      <c r="H2916">
        <v>2022</v>
      </c>
      <c r="I2916" t="s">
        <v>14</v>
      </c>
      <c r="J2916" s="4">
        <v>0.14504761904761901</v>
      </c>
      <c r="K2916" t="s">
        <v>42</v>
      </c>
      <c r="L2916" t="s">
        <v>52</v>
      </c>
      <c r="M2916">
        <v>10</v>
      </c>
      <c r="N2916" t="s">
        <v>54</v>
      </c>
    </row>
    <row r="2917" spans="1:14" x14ac:dyDescent="0.3">
      <c r="A2917" s="1">
        <v>44580</v>
      </c>
      <c r="B2917" t="s">
        <v>36</v>
      </c>
      <c r="C2917" t="s">
        <v>33</v>
      </c>
      <c r="D2917" t="s">
        <v>12</v>
      </c>
      <c r="E2917">
        <v>5</v>
      </c>
      <c r="F2917">
        <v>4880</v>
      </c>
      <c r="G2917">
        <v>1250.6600000000001</v>
      </c>
      <c r="H2917">
        <v>2022</v>
      </c>
      <c r="I2917" t="s">
        <v>26</v>
      </c>
      <c r="J2917" s="4">
        <v>0.25628278688524597</v>
      </c>
      <c r="K2917" t="s">
        <v>42</v>
      </c>
      <c r="L2917" t="s">
        <v>55</v>
      </c>
      <c r="M2917">
        <v>1</v>
      </c>
      <c r="N2917" t="s">
        <v>65</v>
      </c>
    </row>
    <row r="2918" spans="1:14" x14ac:dyDescent="0.3">
      <c r="A2918" s="1">
        <v>44847</v>
      </c>
      <c r="B2918" t="s">
        <v>36</v>
      </c>
      <c r="C2918" t="s">
        <v>33</v>
      </c>
      <c r="D2918" t="s">
        <v>17</v>
      </c>
      <c r="E2918">
        <v>5</v>
      </c>
      <c r="F2918">
        <v>3625</v>
      </c>
      <c r="G2918">
        <v>268.73</v>
      </c>
      <c r="H2918">
        <v>2022</v>
      </c>
      <c r="I2918" t="s">
        <v>14</v>
      </c>
      <c r="J2918" s="4">
        <v>7.4132413793103397E-2</v>
      </c>
      <c r="K2918" t="s">
        <v>42</v>
      </c>
      <c r="L2918" t="s">
        <v>52</v>
      </c>
      <c r="M2918">
        <v>10</v>
      </c>
      <c r="N2918" t="s">
        <v>54</v>
      </c>
    </row>
    <row r="2919" spans="1:14" x14ac:dyDescent="0.3">
      <c r="A2919" s="1">
        <v>44857</v>
      </c>
      <c r="B2919" t="s">
        <v>36</v>
      </c>
      <c r="C2919" t="s">
        <v>33</v>
      </c>
      <c r="D2919" t="s">
        <v>22</v>
      </c>
      <c r="E2919">
        <v>5</v>
      </c>
      <c r="F2919">
        <v>2180</v>
      </c>
      <c r="G2919">
        <v>400.01</v>
      </c>
      <c r="H2919">
        <v>2022</v>
      </c>
      <c r="I2919" t="s">
        <v>14</v>
      </c>
      <c r="J2919" s="4">
        <v>0.18349082568807301</v>
      </c>
      <c r="K2919" t="s">
        <v>42</v>
      </c>
      <c r="L2919" t="s">
        <v>52</v>
      </c>
      <c r="M2919">
        <v>10</v>
      </c>
      <c r="N2919" t="s">
        <v>54</v>
      </c>
    </row>
    <row r="2920" spans="1:14" x14ac:dyDescent="0.3">
      <c r="A2920" s="1">
        <v>44732</v>
      </c>
      <c r="B2920" t="s">
        <v>36</v>
      </c>
      <c r="C2920" t="s">
        <v>33</v>
      </c>
      <c r="D2920" t="s">
        <v>17</v>
      </c>
      <c r="E2920">
        <v>9</v>
      </c>
      <c r="F2920">
        <v>4230</v>
      </c>
      <c r="G2920">
        <v>221.06</v>
      </c>
      <c r="H2920">
        <v>2022</v>
      </c>
      <c r="I2920" t="s">
        <v>27</v>
      </c>
      <c r="J2920" s="4">
        <v>5.2260047281323899E-2</v>
      </c>
      <c r="K2920" t="s">
        <v>42</v>
      </c>
      <c r="L2920" t="s">
        <v>59</v>
      </c>
      <c r="M2920">
        <v>6</v>
      </c>
      <c r="N2920" t="s">
        <v>66</v>
      </c>
    </row>
    <row r="2921" spans="1:14" x14ac:dyDescent="0.3">
      <c r="A2921" s="1">
        <v>44571</v>
      </c>
      <c r="B2921" t="s">
        <v>36</v>
      </c>
      <c r="C2921" t="s">
        <v>33</v>
      </c>
      <c r="D2921" t="s">
        <v>12</v>
      </c>
      <c r="E2921">
        <v>5</v>
      </c>
      <c r="F2921">
        <v>4690</v>
      </c>
      <c r="G2921">
        <v>706.74</v>
      </c>
      <c r="H2921">
        <v>2022</v>
      </c>
      <c r="I2921" t="s">
        <v>26</v>
      </c>
      <c r="J2921" s="4">
        <v>0.15069083155650301</v>
      </c>
      <c r="K2921" t="s">
        <v>42</v>
      </c>
      <c r="L2921" t="s">
        <v>55</v>
      </c>
      <c r="M2921">
        <v>1</v>
      </c>
      <c r="N2921" t="s">
        <v>65</v>
      </c>
    </row>
    <row r="2922" spans="1:14" x14ac:dyDescent="0.3">
      <c r="A2922" s="1">
        <v>44773</v>
      </c>
      <c r="B2922" t="s">
        <v>36</v>
      </c>
      <c r="C2922" t="s">
        <v>33</v>
      </c>
      <c r="D2922" t="s">
        <v>19</v>
      </c>
      <c r="E2922">
        <v>5</v>
      </c>
      <c r="F2922">
        <v>3645</v>
      </c>
      <c r="G2922">
        <v>388.31</v>
      </c>
      <c r="H2922">
        <v>2022</v>
      </c>
      <c r="I2922" t="s">
        <v>25</v>
      </c>
      <c r="J2922" s="4">
        <v>0.10653223593964301</v>
      </c>
      <c r="K2922" t="s">
        <v>42</v>
      </c>
      <c r="L2922" t="s">
        <v>60</v>
      </c>
      <c r="M2922">
        <v>7</v>
      </c>
      <c r="N2922" t="s">
        <v>64</v>
      </c>
    </row>
    <row r="2923" spans="1:14" x14ac:dyDescent="0.3">
      <c r="A2923" s="1">
        <v>44791</v>
      </c>
      <c r="B2923" t="s">
        <v>36</v>
      </c>
      <c r="C2923" t="s">
        <v>33</v>
      </c>
      <c r="D2923" t="s">
        <v>12</v>
      </c>
      <c r="E2923">
        <v>7</v>
      </c>
      <c r="F2923">
        <v>1876</v>
      </c>
      <c r="G2923">
        <v>129.25</v>
      </c>
      <c r="H2923">
        <v>2022</v>
      </c>
      <c r="I2923" t="s">
        <v>24</v>
      </c>
      <c r="J2923" s="4">
        <v>6.8896588486140706E-2</v>
      </c>
      <c r="K2923" t="s">
        <v>42</v>
      </c>
      <c r="L2923" t="s">
        <v>60</v>
      </c>
      <c r="M2923">
        <v>8</v>
      </c>
      <c r="N2923" t="s">
        <v>63</v>
      </c>
    </row>
    <row r="2924" spans="1:14" x14ac:dyDescent="0.3">
      <c r="A2924" s="1">
        <v>44819</v>
      </c>
      <c r="B2924" t="s">
        <v>36</v>
      </c>
      <c r="C2924" t="s">
        <v>33</v>
      </c>
      <c r="D2924" t="s">
        <v>17</v>
      </c>
      <c r="E2924">
        <v>9</v>
      </c>
      <c r="F2924">
        <v>1341</v>
      </c>
      <c r="G2924">
        <v>150.69999999999999</v>
      </c>
      <c r="H2924">
        <v>2022</v>
      </c>
      <c r="I2924" t="s">
        <v>21</v>
      </c>
      <c r="J2924" s="4">
        <v>0.112378821774795</v>
      </c>
      <c r="K2924" t="s">
        <v>42</v>
      </c>
      <c r="L2924" t="s">
        <v>60</v>
      </c>
      <c r="M2924">
        <v>9</v>
      </c>
      <c r="N2924" t="s">
        <v>61</v>
      </c>
    </row>
    <row r="2925" spans="1:14" x14ac:dyDescent="0.3">
      <c r="A2925" s="1">
        <v>44615</v>
      </c>
      <c r="B2925" t="s">
        <v>36</v>
      </c>
      <c r="C2925" t="s">
        <v>33</v>
      </c>
      <c r="D2925" t="s">
        <v>22</v>
      </c>
      <c r="E2925">
        <v>6</v>
      </c>
      <c r="F2925">
        <v>4236</v>
      </c>
      <c r="G2925">
        <v>739.22</v>
      </c>
      <c r="H2925">
        <v>2022</v>
      </c>
      <c r="I2925" t="s">
        <v>16</v>
      </c>
      <c r="J2925" s="4">
        <v>0.174508970727101</v>
      </c>
      <c r="K2925" t="s">
        <v>42</v>
      </c>
      <c r="L2925" t="s">
        <v>55</v>
      </c>
      <c r="M2925">
        <v>2</v>
      </c>
      <c r="N2925" t="s">
        <v>57</v>
      </c>
    </row>
    <row r="2926" spans="1:14" x14ac:dyDescent="0.3">
      <c r="A2926" s="1">
        <v>44884</v>
      </c>
      <c r="B2926" t="s">
        <v>36</v>
      </c>
      <c r="C2926" t="s">
        <v>33</v>
      </c>
      <c r="D2926" t="s">
        <v>19</v>
      </c>
      <c r="E2926">
        <v>4</v>
      </c>
      <c r="F2926">
        <v>1080</v>
      </c>
      <c r="G2926">
        <v>204.95</v>
      </c>
      <c r="H2926">
        <v>2022</v>
      </c>
      <c r="I2926" t="s">
        <v>18</v>
      </c>
      <c r="J2926" s="4">
        <v>0.189768518518518</v>
      </c>
      <c r="K2926" t="s">
        <v>42</v>
      </c>
      <c r="L2926" t="s">
        <v>52</v>
      </c>
      <c r="M2926">
        <v>11</v>
      </c>
      <c r="N2926" t="s">
        <v>58</v>
      </c>
    </row>
    <row r="2927" spans="1:14" x14ac:dyDescent="0.3">
      <c r="A2927" s="1">
        <v>44788</v>
      </c>
      <c r="B2927" t="s">
        <v>36</v>
      </c>
      <c r="C2927" t="s">
        <v>33</v>
      </c>
      <c r="D2927" t="s">
        <v>12</v>
      </c>
      <c r="E2927">
        <v>3</v>
      </c>
      <c r="F2927">
        <v>1479</v>
      </c>
      <c r="G2927">
        <v>207.58</v>
      </c>
      <c r="H2927">
        <v>2022</v>
      </c>
      <c r="I2927" t="s">
        <v>24</v>
      </c>
      <c r="J2927" s="4">
        <v>0.14035158891142699</v>
      </c>
      <c r="K2927" t="s">
        <v>42</v>
      </c>
      <c r="L2927" t="s">
        <v>60</v>
      </c>
      <c r="M2927">
        <v>8</v>
      </c>
      <c r="N2927" t="s">
        <v>63</v>
      </c>
    </row>
    <row r="2928" spans="1:14" x14ac:dyDescent="0.3">
      <c r="A2928" s="1">
        <v>44746</v>
      </c>
      <c r="B2928" t="s">
        <v>36</v>
      </c>
      <c r="C2928" t="s">
        <v>33</v>
      </c>
      <c r="D2928" t="s">
        <v>22</v>
      </c>
      <c r="E2928">
        <v>6</v>
      </c>
      <c r="F2928">
        <v>4566</v>
      </c>
      <c r="G2928">
        <v>866.13</v>
      </c>
      <c r="H2928">
        <v>2022</v>
      </c>
      <c r="I2928" t="s">
        <v>25</v>
      </c>
      <c r="J2928" s="4">
        <v>0.18969119579500701</v>
      </c>
      <c r="K2928" t="s">
        <v>42</v>
      </c>
      <c r="L2928" t="s">
        <v>60</v>
      </c>
      <c r="M2928">
        <v>7</v>
      </c>
      <c r="N2928" t="s">
        <v>64</v>
      </c>
    </row>
    <row r="2929" spans="1:14" x14ac:dyDescent="0.3">
      <c r="A2929" s="1">
        <v>44574</v>
      </c>
      <c r="B2929" t="s">
        <v>36</v>
      </c>
      <c r="C2929" t="s">
        <v>33</v>
      </c>
      <c r="D2929" t="s">
        <v>12</v>
      </c>
      <c r="E2929">
        <v>2</v>
      </c>
      <c r="F2929">
        <v>1924</v>
      </c>
      <c r="G2929">
        <v>434.86</v>
      </c>
      <c r="H2929">
        <v>2022</v>
      </c>
      <c r="I2929" t="s">
        <v>26</v>
      </c>
      <c r="J2929" s="4">
        <v>0.22601871101871099</v>
      </c>
      <c r="K2929" t="s">
        <v>42</v>
      </c>
      <c r="L2929" t="s">
        <v>55</v>
      </c>
      <c r="M2929">
        <v>1</v>
      </c>
      <c r="N2929" t="s">
        <v>65</v>
      </c>
    </row>
    <row r="2930" spans="1:14" x14ac:dyDescent="0.3">
      <c r="A2930" s="1">
        <v>44710</v>
      </c>
      <c r="B2930" t="s">
        <v>36</v>
      </c>
      <c r="C2930" t="s">
        <v>33</v>
      </c>
      <c r="D2930" t="s">
        <v>17</v>
      </c>
      <c r="E2930">
        <v>9</v>
      </c>
      <c r="F2930">
        <v>6471</v>
      </c>
      <c r="G2930">
        <v>1844.59</v>
      </c>
      <c r="H2930">
        <v>2022</v>
      </c>
      <c r="I2930" t="s">
        <v>20</v>
      </c>
      <c r="J2930" s="4">
        <v>0.28505486014526399</v>
      </c>
      <c r="K2930" t="s">
        <v>42</v>
      </c>
      <c r="L2930" t="s">
        <v>59</v>
      </c>
      <c r="M2930">
        <v>5</v>
      </c>
      <c r="N2930" t="s">
        <v>20</v>
      </c>
    </row>
    <row r="2931" spans="1:14" x14ac:dyDescent="0.3">
      <c r="A2931" s="1">
        <v>44921</v>
      </c>
      <c r="B2931" t="s">
        <v>36</v>
      </c>
      <c r="C2931" t="s">
        <v>33</v>
      </c>
      <c r="D2931" t="s">
        <v>12</v>
      </c>
      <c r="E2931">
        <v>5</v>
      </c>
      <c r="F2931">
        <v>3170</v>
      </c>
      <c r="G2931">
        <v>868.34</v>
      </c>
      <c r="H2931">
        <v>2022</v>
      </c>
      <c r="I2931" t="s">
        <v>13</v>
      </c>
      <c r="J2931" s="4">
        <v>0.27392429022081999</v>
      </c>
      <c r="K2931" t="s">
        <v>42</v>
      </c>
      <c r="L2931" t="s">
        <v>52</v>
      </c>
      <c r="M2931">
        <v>12</v>
      </c>
      <c r="N2931" t="s">
        <v>53</v>
      </c>
    </row>
    <row r="2932" spans="1:14" x14ac:dyDescent="0.3">
      <c r="A2932" s="1">
        <v>44633</v>
      </c>
      <c r="B2932" t="s">
        <v>36</v>
      </c>
      <c r="C2932" t="s">
        <v>33</v>
      </c>
      <c r="D2932" t="s">
        <v>17</v>
      </c>
      <c r="E2932">
        <v>3</v>
      </c>
      <c r="F2932">
        <v>1245</v>
      </c>
      <c r="G2932">
        <v>119.11</v>
      </c>
      <c r="H2932">
        <v>2022</v>
      </c>
      <c r="I2932" t="s">
        <v>15</v>
      </c>
      <c r="J2932" s="4">
        <v>9.5670682730923703E-2</v>
      </c>
      <c r="K2932" t="s">
        <v>42</v>
      </c>
      <c r="L2932" t="s">
        <v>55</v>
      </c>
      <c r="M2932">
        <v>3</v>
      </c>
      <c r="N2932" t="s">
        <v>56</v>
      </c>
    </row>
    <row r="2933" spans="1:14" x14ac:dyDescent="0.3">
      <c r="A2933" s="1">
        <v>44690</v>
      </c>
      <c r="B2933" t="s">
        <v>36</v>
      </c>
      <c r="C2933" t="s">
        <v>33</v>
      </c>
      <c r="D2933" t="s">
        <v>17</v>
      </c>
      <c r="E2933">
        <v>3</v>
      </c>
      <c r="F2933">
        <v>726</v>
      </c>
      <c r="G2933">
        <v>94.38</v>
      </c>
      <c r="H2933">
        <v>2022</v>
      </c>
      <c r="I2933" t="s">
        <v>20</v>
      </c>
      <c r="J2933" s="4">
        <v>0.13</v>
      </c>
      <c r="K2933" t="s">
        <v>42</v>
      </c>
      <c r="L2933" t="s">
        <v>59</v>
      </c>
      <c r="M2933">
        <v>5</v>
      </c>
      <c r="N2933" t="s">
        <v>20</v>
      </c>
    </row>
    <row r="2934" spans="1:14" x14ac:dyDescent="0.3">
      <c r="A2934" s="1">
        <v>44705</v>
      </c>
      <c r="B2934" t="s">
        <v>36</v>
      </c>
      <c r="C2934" t="s">
        <v>33</v>
      </c>
      <c r="D2934" t="s">
        <v>19</v>
      </c>
      <c r="E2934">
        <v>9</v>
      </c>
      <c r="F2934">
        <v>4968</v>
      </c>
      <c r="G2934">
        <v>991.82</v>
      </c>
      <c r="H2934">
        <v>2022</v>
      </c>
      <c r="I2934" t="s">
        <v>20</v>
      </c>
      <c r="J2934" s="4">
        <v>0.19964170692431599</v>
      </c>
      <c r="K2934" t="s">
        <v>42</v>
      </c>
      <c r="L2934" t="s">
        <v>59</v>
      </c>
      <c r="M2934">
        <v>5</v>
      </c>
      <c r="N2934" t="s">
        <v>20</v>
      </c>
    </row>
    <row r="2935" spans="1:14" x14ac:dyDescent="0.3">
      <c r="A2935" s="1">
        <v>44562</v>
      </c>
      <c r="B2935" t="s">
        <v>36</v>
      </c>
      <c r="C2935" t="s">
        <v>33</v>
      </c>
      <c r="D2935" t="s">
        <v>22</v>
      </c>
      <c r="E2935">
        <v>8</v>
      </c>
      <c r="F2935">
        <v>1296</v>
      </c>
      <c r="G2935">
        <v>273.97000000000003</v>
      </c>
      <c r="H2935">
        <v>2022</v>
      </c>
      <c r="I2935" t="s">
        <v>26</v>
      </c>
      <c r="J2935" s="4">
        <v>0.211396604938272</v>
      </c>
      <c r="K2935" t="s">
        <v>42</v>
      </c>
      <c r="L2935" t="s">
        <v>55</v>
      </c>
      <c r="M2935">
        <v>1</v>
      </c>
      <c r="N2935" t="s">
        <v>65</v>
      </c>
    </row>
    <row r="2936" spans="1:14" x14ac:dyDescent="0.3">
      <c r="A2936" s="1">
        <v>44848</v>
      </c>
      <c r="B2936" t="s">
        <v>36</v>
      </c>
      <c r="C2936" t="s">
        <v>33</v>
      </c>
      <c r="D2936" t="s">
        <v>22</v>
      </c>
      <c r="E2936">
        <v>9</v>
      </c>
      <c r="F2936">
        <v>873</v>
      </c>
      <c r="G2936">
        <v>82.35</v>
      </c>
      <c r="H2936">
        <v>2022</v>
      </c>
      <c r="I2936" t="s">
        <v>14</v>
      </c>
      <c r="J2936" s="4">
        <v>9.4329896907216507E-2</v>
      </c>
      <c r="K2936" t="s">
        <v>42</v>
      </c>
      <c r="L2936" t="s">
        <v>52</v>
      </c>
      <c r="M2936">
        <v>10</v>
      </c>
      <c r="N2936" t="s">
        <v>54</v>
      </c>
    </row>
    <row r="2937" spans="1:14" x14ac:dyDescent="0.3">
      <c r="A2937" s="1">
        <v>44780</v>
      </c>
      <c r="B2937" t="s">
        <v>36</v>
      </c>
      <c r="C2937" t="s">
        <v>33</v>
      </c>
      <c r="D2937" t="s">
        <v>17</v>
      </c>
      <c r="E2937">
        <v>5</v>
      </c>
      <c r="F2937">
        <v>1850</v>
      </c>
      <c r="G2937">
        <v>534.39</v>
      </c>
      <c r="H2937">
        <v>2022</v>
      </c>
      <c r="I2937" t="s">
        <v>24</v>
      </c>
      <c r="J2937" s="4">
        <v>0.28885945945945901</v>
      </c>
      <c r="K2937" t="s">
        <v>42</v>
      </c>
      <c r="L2937" t="s">
        <v>60</v>
      </c>
      <c r="M2937">
        <v>8</v>
      </c>
      <c r="N2937" t="s">
        <v>63</v>
      </c>
    </row>
    <row r="2938" spans="1:14" x14ac:dyDescent="0.3">
      <c r="A2938" s="1">
        <v>44797</v>
      </c>
      <c r="B2938" t="s">
        <v>36</v>
      </c>
      <c r="C2938" t="s">
        <v>33</v>
      </c>
      <c r="D2938" t="s">
        <v>22</v>
      </c>
      <c r="E2938">
        <v>2</v>
      </c>
      <c r="F2938">
        <v>2060</v>
      </c>
      <c r="G2938">
        <v>517.64</v>
      </c>
      <c r="H2938">
        <v>2022</v>
      </c>
      <c r="I2938" t="s">
        <v>24</v>
      </c>
      <c r="J2938" s="4">
        <v>0.25128155339805802</v>
      </c>
      <c r="K2938" t="s">
        <v>42</v>
      </c>
      <c r="L2938" t="s">
        <v>60</v>
      </c>
      <c r="M2938">
        <v>8</v>
      </c>
      <c r="N2938" t="s">
        <v>63</v>
      </c>
    </row>
    <row r="2939" spans="1:14" x14ac:dyDescent="0.3">
      <c r="A2939" s="1">
        <v>44758</v>
      </c>
      <c r="B2939" t="s">
        <v>36</v>
      </c>
      <c r="C2939" t="s">
        <v>33</v>
      </c>
      <c r="D2939" t="s">
        <v>22</v>
      </c>
      <c r="E2939">
        <v>4</v>
      </c>
      <c r="F2939">
        <v>1332</v>
      </c>
      <c r="G2939">
        <v>342.85</v>
      </c>
      <c r="H2939">
        <v>2022</v>
      </c>
      <c r="I2939" t="s">
        <v>25</v>
      </c>
      <c r="J2939" s="4">
        <v>0.25739489489489498</v>
      </c>
      <c r="K2939" t="s">
        <v>42</v>
      </c>
      <c r="L2939" t="s">
        <v>60</v>
      </c>
      <c r="M2939">
        <v>7</v>
      </c>
      <c r="N2939" t="s">
        <v>64</v>
      </c>
    </row>
    <row r="2940" spans="1:14" x14ac:dyDescent="0.3">
      <c r="A2940" s="1">
        <v>44868</v>
      </c>
      <c r="B2940" t="s">
        <v>36</v>
      </c>
      <c r="C2940" t="s">
        <v>33</v>
      </c>
      <c r="D2940" t="s">
        <v>22</v>
      </c>
      <c r="E2940">
        <v>5</v>
      </c>
      <c r="F2940">
        <v>1350</v>
      </c>
      <c r="G2940">
        <v>198.19</v>
      </c>
      <c r="H2940">
        <v>2022</v>
      </c>
      <c r="I2940" t="s">
        <v>18</v>
      </c>
      <c r="J2940" s="4">
        <v>0.146807407407407</v>
      </c>
      <c r="K2940" t="s">
        <v>42</v>
      </c>
      <c r="L2940" t="s">
        <v>52</v>
      </c>
      <c r="M2940">
        <v>11</v>
      </c>
      <c r="N2940" t="s">
        <v>58</v>
      </c>
    </row>
    <row r="2941" spans="1:14" x14ac:dyDescent="0.3">
      <c r="A2941" s="1">
        <v>44610</v>
      </c>
      <c r="B2941" t="s">
        <v>36</v>
      </c>
      <c r="C2941" t="s">
        <v>33</v>
      </c>
      <c r="D2941" t="s">
        <v>12</v>
      </c>
      <c r="E2941">
        <v>4</v>
      </c>
      <c r="F2941">
        <v>1672</v>
      </c>
      <c r="G2941">
        <v>432.35</v>
      </c>
      <c r="H2941">
        <v>2022</v>
      </c>
      <c r="I2941" t="s">
        <v>16</v>
      </c>
      <c r="J2941" s="4">
        <v>0.258582535885168</v>
      </c>
      <c r="K2941" t="s">
        <v>42</v>
      </c>
      <c r="L2941" t="s">
        <v>55</v>
      </c>
      <c r="M2941">
        <v>2</v>
      </c>
      <c r="N2941" t="s">
        <v>57</v>
      </c>
    </row>
    <row r="2942" spans="1:14" x14ac:dyDescent="0.3">
      <c r="A2942" s="1">
        <v>44795</v>
      </c>
      <c r="B2942" t="s">
        <v>36</v>
      </c>
      <c r="C2942" t="s">
        <v>33</v>
      </c>
      <c r="D2942" t="s">
        <v>12</v>
      </c>
      <c r="E2942">
        <v>5</v>
      </c>
      <c r="F2942">
        <v>4880</v>
      </c>
      <c r="G2942">
        <v>664.06</v>
      </c>
      <c r="H2942">
        <v>2022</v>
      </c>
      <c r="I2942" t="s">
        <v>24</v>
      </c>
      <c r="J2942" s="4">
        <v>0.13607786885245901</v>
      </c>
      <c r="K2942" t="s">
        <v>42</v>
      </c>
      <c r="L2942" t="s">
        <v>60</v>
      </c>
      <c r="M2942">
        <v>8</v>
      </c>
      <c r="N2942" t="s">
        <v>63</v>
      </c>
    </row>
    <row r="2943" spans="1:14" x14ac:dyDescent="0.3">
      <c r="A2943" s="1">
        <v>44828</v>
      </c>
      <c r="B2943" t="s">
        <v>36</v>
      </c>
      <c r="C2943" t="s">
        <v>33</v>
      </c>
      <c r="D2943" t="s">
        <v>17</v>
      </c>
      <c r="E2943">
        <v>7</v>
      </c>
      <c r="F2943">
        <v>826</v>
      </c>
      <c r="G2943">
        <v>101.01</v>
      </c>
      <c r="H2943">
        <v>2022</v>
      </c>
      <c r="I2943" t="s">
        <v>21</v>
      </c>
      <c r="J2943" s="4">
        <v>0.12228813559321999</v>
      </c>
      <c r="K2943" t="s">
        <v>42</v>
      </c>
      <c r="L2943" t="s">
        <v>60</v>
      </c>
      <c r="M2943">
        <v>9</v>
      </c>
      <c r="N2943" t="s">
        <v>61</v>
      </c>
    </row>
    <row r="2944" spans="1:14" x14ac:dyDescent="0.3">
      <c r="A2944" s="1">
        <v>44630</v>
      </c>
      <c r="B2944" t="s">
        <v>36</v>
      </c>
      <c r="C2944" t="s">
        <v>33</v>
      </c>
      <c r="D2944" t="s">
        <v>12</v>
      </c>
      <c r="E2944">
        <v>3</v>
      </c>
      <c r="F2944">
        <v>2610</v>
      </c>
      <c r="G2944">
        <v>740.21</v>
      </c>
      <c r="H2944">
        <v>2022</v>
      </c>
      <c r="I2944" t="s">
        <v>15</v>
      </c>
      <c r="J2944" s="4">
        <v>0.28360536398467401</v>
      </c>
      <c r="K2944" t="s">
        <v>42</v>
      </c>
      <c r="L2944" t="s">
        <v>55</v>
      </c>
      <c r="M2944">
        <v>3</v>
      </c>
      <c r="N2944" t="s">
        <v>56</v>
      </c>
    </row>
    <row r="2945" spans="1:14" x14ac:dyDescent="0.3">
      <c r="A2945" s="1">
        <v>44909</v>
      </c>
      <c r="B2945" t="s">
        <v>36</v>
      </c>
      <c r="C2945" t="s">
        <v>33</v>
      </c>
      <c r="D2945" t="s">
        <v>12</v>
      </c>
      <c r="E2945">
        <v>8</v>
      </c>
      <c r="F2945">
        <v>6968</v>
      </c>
      <c r="G2945">
        <v>1226.22</v>
      </c>
      <c r="H2945">
        <v>2022</v>
      </c>
      <c r="I2945" t="s">
        <v>13</v>
      </c>
      <c r="J2945" s="4">
        <v>0.175978760045924</v>
      </c>
      <c r="K2945" t="s">
        <v>42</v>
      </c>
      <c r="L2945" t="s">
        <v>52</v>
      </c>
      <c r="M2945">
        <v>12</v>
      </c>
      <c r="N2945" t="s">
        <v>53</v>
      </c>
    </row>
    <row r="2946" spans="1:14" x14ac:dyDescent="0.3">
      <c r="A2946" s="1">
        <v>44743</v>
      </c>
      <c r="B2946" t="s">
        <v>36</v>
      </c>
      <c r="C2946" t="s">
        <v>33</v>
      </c>
      <c r="D2946" t="s">
        <v>17</v>
      </c>
      <c r="E2946">
        <v>4</v>
      </c>
      <c r="F2946">
        <v>1100</v>
      </c>
      <c r="G2946">
        <v>127.13</v>
      </c>
      <c r="H2946">
        <v>2022</v>
      </c>
      <c r="I2946" t="s">
        <v>25</v>
      </c>
      <c r="J2946" s="4">
        <v>0.11557272727272699</v>
      </c>
      <c r="K2946" t="s">
        <v>42</v>
      </c>
      <c r="L2946" t="s">
        <v>60</v>
      </c>
      <c r="M2946">
        <v>7</v>
      </c>
      <c r="N2946" t="s">
        <v>64</v>
      </c>
    </row>
    <row r="2947" spans="1:14" x14ac:dyDescent="0.3">
      <c r="A2947" s="1">
        <v>44600</v>
      </c>
      <c r="B2947" t="s">
        <v>36</v>
      </c>
      <c r="C2947" t="s">
        <v>33</v>
      </c>
      <c r="D2947" t="s">
        <v>17</v>
      </c>
      <c r="E2947">
        <v>6</v>
      </c>
      <c r="F2947">
        <v>5022</v>
      </c>
      <c r="G2947">
        <v>291.89</v>
      </c>
      <c r="H2947">
        <v>2022</v>
      </c>
      <c r="I2947" t="s">
        <v>16</v>
      </c>
      <c r="J2947" s="4">
        <v>5.8122262046993202E-2</v>
      </c>
      <c r="K2947" t="s">
        <v>42</v>
      </c>
      <c r="L2947" t="s">
        <v>55</v>
      </c>
      <c r="M2947">
        <v>2</v>
      </c>
      <c r="N2947" t="s">
        <v>57</v>
      </c>
    </row>
    <row r="2948" spans="1:14" x14ac:dyDescent="0.3">
      <c r="A2948" s="1">
        <v>44702</v>
      </c>
      <c r="B2948" t="s">
        <v>36</v>
      </c>
      <c r="C2948" t="s">
        <v>33</v>
      </c>
      <c r="D2948" t="s">
        <v>17</v>
      </c>
      <c r="E2948">
        <v>2</v>
      </c>
      <c r="F2948">
        <v>1214</v>
      </c>
      <c r="G2948">
        <v>163.80000000000001</v>
      </c>
      <c r="H2948">
        <v>2022</v>
      </c>
      <c r="I2948" t="s">
        <v>20</v>
      </c>
      <c r="J2948" s="4">
        <v>0.13492586490938999</v>
      </c>
      <c r="K2948" t="s">
        <v>42</v>
      </c>
      <c r="L2948" t="s">
        <v>59</v>
      </c>
      <c r="M2948">
        <v>5</v>
      </c>
      <c r="N2948" t="s">
        <v>20</v>
      </c>
    </row>
    <row r="2949" spans="1:14" x14ac:dyDescent="0.3">
      <c r="A2949" s="1">
        <v>44706</v>
      </c>
      <c r="B2949" t="s">
        <v>36</v>
      </c>
      <c r="C2949" t="s">
        <v>33</v>
      </c>
      <c r="D2949" t="s">
        <v>19</v>
      </c>
      <c r="E2949">
        <v>4</v>
      </c>
      <c r="F2949">
        <v>2604</v>
      </c>
      <c r="G2949">
        <v>411.38</v>
      </c>
      <c r="H2949">
        <v>2022</v>
      </c>
      <c r="I2949" t="s">
        <v>20</v>
      </c>
      <c r="J2949" s="4">
        <v>0.15798003072196601</v>
      </c>
      <c r="K2949" t="s">
        <v>42</v>
      </c>
      <c r="L2949" t="s">
        <v>59</v>
      </c>
      <c r="M2949">
        <v>5</v>
      </c>
      <c r="N2949" t="s">
        <v>20</v>
      </c>
    </row>
    <row r="2950" spans="1:14" x14ac:dyDescent="0.3">
      <c r="A2950" s="1">
        <v>44581</v>
      </c>
      <c r="B2950" t="s">
        <v>36</v>
      </c>
      <c r="C2950" t="s">
        <v>33</v>
      </c>
      <c r="D2950" t="s">
        <v>19</v>
      </c>
      <c r="E2950">
        <v>1</v>
      </c>
      <c r="F2950">
        <v>513</v>
      </c>
      <c r="G2950">
        <v>87.58</v>
      </c>
      <c r="H2950">
        <v>2022</v>
      </c>
      <c r="I2950" t="s">
        <v>26</v>
      </c>
      <c r="J2950" s="4">
        <v>0.170721247563353</v>
      </c>
      <c r="K2950" t="s">
        <v>42</v>
      </c>
      <c r="L2950" t="s">
        <v>55</v>
      </c>
      <c r="M2950">
        <v>1</v>
      </c>
      <c r="N2950" t="s">
        <v>65</v>
      </c>
    </row>
    <row r="2951" spans="1:14" x14ac:dyDescent="0.3">
      <c r="A2951" s="1">
        <v>44718</v>
      </c>
      <c r="B2951" t="s">
        <v>36</v>
      </c>
      <c r="C2951" t="s">
        <v>33</v>
      </c>
      <c r="D2951" t="s">
        <v>19</v>
      </c>
      <c r="E2951">
        <v>8</v>
      </c>
      <c r="F2951">
        <v>2384</v>
      </c>
      <c r="G2951">
        <v>444.98</v>
      </c>
      <c r="H2951">
        <v>2022</v>
      </c>
      <c r="I2951" t="s">
        <v>27</v>
      </c>
      <c r="J2951" s="4">
        <v>0.186652684563758</v>
      </c>
      <c r="K2951" t="s">
        <v>42</v>
      </c>
      <c r="L2951" t="s">
        <v>59</v>
      </c>
      <c r="M2951">
        <v>6</v>
      </c>
      <c r="N2951" t="s">
        <v>66</v>
      </c>
    </row>
    <row r="2952" spans="1:14" x14ac:dyDescent="0.3">
      <c r="A2952" s="1">
        <v>44920</v>
      </c>
      <c r="B2952" t="s">
        <v>36</v>
      </c>
      <c r="C2952" t="s">
        <v>33</v>
      </c>
      <c r="D2952" t="s">
        <v>22</v>
      </c>
      <c r="E2952">
        <v>2</v>
      </c>
      <c r="F2952">
        <v>1234</v>
      </c>
      <c r="G2952">
        <v>257.89</v>
      </c>
      <c r="H2952">
        <v>2022</v>
      </c>
      <c r="I2952" t="s">
        <v>13</v>
      </c>
      <c r="J2952" s="4">
        <v>0.20898703403565599</v>
      </c>
      <c r="K2952" t="s">
        <v>42</v>
      </c>
      <c r="L2952" t="s">
        <v>52</v>
      </c>
      <c r="M2952">
        <v>12</v>
      </c>
      <c r="N2952" t="s">
        <v>53</v>
      </c>
    </row>
    <row r="2953" spans="1:14" x14ac:dyDescent="0.3">
      <c r="A2953" s="1">
        <v>44772</v>
      </c>
      <c r="B2953" t="s">
        <v>36</v>
      </c>
      <c r="C2953" t="s">
        <v>33</v>
      </c>
      <c r="D2953" t="s">
        <v>19</v>
      </c>
      <c r="E2953">
        <v>1</v>
      </c>
      <c r="F2953">
        <v>847</v>
      </c>
      <c r="G2953">
        <v>146.25</v>
      </c>
      <c r="H2953">
        <v>2022</v>
      </c>
      <c r="I2953" t="s">
        <v>25</v>
      </c>
      <c r="J2953" s="4">
        <v>0.172668240850059</v>
      </c>
      <c r="K2953" t="s">
        <v>42</v>
      </c>
      <c r="L2953" t="s">
        <v>60</v>
      </c>
      <c r="M2953">
        <v>7</v>
      </c>
      <c r="N2953" t="s">
        <v>64</v>
      </c>
    </row>
    <row r="2954" spans="1:14" x14ac:dyDescent="0.3">
      <c r="A2954" s="1">
        <v>44821</v>
      </c>
      <c r="B2954" t="s">
        <v>36</v>
      </c>
      <c r="C2954" t="s">
        <v>33</v>
      </c>
      <c r="D2954" t="s">
        <v>17</v>
      </c>
      <c r="E2954">
        <v>8</v>
      </c>
      <c r="F2954">
        <v>9056</v>
      </c>
      <c r="G2954">
        <v>2281.9699999999998</v>
      </c>
      <c r="H2954">
        <v>2022</v>
      </c>
      <c r="I2954" t="s">
        <v>21</v>
      </c>
      <c r="J2954" s="4">
        <v>0.25198431978798602</v>
      </c>
      <c r="K2954" t="s">
        <v>42</v>
      </c>
      <c r="L2954" t="s">
        <v>60</v>
      </c>
      <c r="M2954">
        <v>9</v>
      </c>
      <c r="N2954" t="s">
        <v>61</v>
      </c>
    </row>
    <row r="2955" spans="1:14" x14ac:dyDescent="0.3">
      <c r="A2955" s="1">
        <v>44580</v>
      </c>
      <c r="B2955" t="s">
        <v>36</v>
      </c>
      <c r="C2955" t="s">
        <v>33</v>
      </c>
      <c r="D2955" t="s">
        <v>17</v>
      </c>
      <c r="E2955">
        <v>5</v>
      </c>
      <c r="F2955">
        <v>5500</v>
      </c>
      <c r="G2955">
        <v>1230.98</v>
      </c>
      <c r="H2955">
        <v>2022</v>
      </c>
      <c r="I2955" t="s">
        <v>26</v>
      </c>
      <c r="J2955" s="4">
        <v>0.22381454545454499</v>
      </c>
      <c r="K2955" t="s">
        <v>42</v>
      </c>
      <c r="L2955" t="s">
        <v>55</v>
      </c>
      <c r="M2955">
        <v>1</v>
      </c>
      <c r="N2955" t="s">
        <v>65</v>
      </c>
    </row>
    <row r="2956" spans="1:14" x14ac:dyDescent="0.3">
      <c r="A2956" s="1">
        <v>44585</v>
      </c>
      <c r="B2956" t="s">
        <v>36</v>
      </c>
      <c r="C2956" t="s">
        <v>33</v>
      </c>
      <c r="D2956" t="s">
        <v>17</v>
      </c>
      <c r="E2956">
        <v>6</v>
      </c>
      <c r="F2956">
        <v>6192</v>
      </c>
      <c r="G2956">
        <v>717.46</v>
      </c>
      <c r="H2956">
        <v>2022</v>
      </c>
      <c r="I2956" t="s">
        <v>26</v>
      </c>
      <c r="J2956" s="4">
        <v>0.11586886304909599</v>
      </c>
      <c r="K2956" t="s">
        <v>42</v>
      </c>
      <c r="L2956" t="s">
        <v>55</v>
      </c>
      <c r="M2956">
        <v>1</v>
      </c>
      <c r="N2956" t="s">
        <v>65</v>
      </c>
    </row>
    <row r="2957" spans="1:14" x14ac:dyDescent="0.3">
      <c r="A2957" s="1">
        <v>44748</v>
      </c>
      <c r="B2957" t="s">
        <v>36</v>
      </c>
      <c r="C2957" t="s">
        <v>33</v>
      </c>
      <c r="D2957" t="s">
        <v>19</v>
      </c>
      <c r="E2957">
        <v>8</v>
      </c>
      <c r="F2957">
        <v>7040</v>
      </c>
      <c r="G2957">
        <v>996.02</v>
      </c>
      <c r="H2957">
        <v>2022</v>
      </c>
      <c r="I2957" t="s">
        <v>25</v>
      </c>
      <c r="J2957" s="4">
        <v>0.14148011363636401</v>
      </c>
      <c r="K2957" t="s">
        <v>42</v>
      </c>
      <c r="L2957" t="s">
        <v>60</v>
      </c>
      <c r="M2957">
        <v>7</v>
      </c>
      <c r="N2957" t="s">
        <v>64</v>
      </c>
    </row>
    <row r="2958" spans="1:14" x14ac:dyDescent="0.3">
      <c r="A2958" s="1">
        <v>44587</v>
      </c>
      <c r="B2958" t="s">
        <v>36</v>
      </c>
      <c r="C2958" t="s">
        <v>33</v>
      </c>
      <c r="D2958" t="s">
        <v>22</v>
      </c>
      <c r="E2958">
        <v>7</v>
      </c>
      <c r="F2958">
        <v>4088</v>
      </c>
      <c r="G2958">
        <v>230.43</v>
      </c>
      <c r="H2958">
        <v>2022</v>
      </c>
      <c r="I2958" t="s">
        <v>26</v>
      </c>
      <c r="J2958" s="4">
        <v>5.6367416829745602E-2</v>
      </c>
      <c r="K2958" t="s">
        <v>42</v>
      </c>
      <c r="L2958" t="s">
        <v>55</v>
      </c>
      <c r="M2958">
        <v>1</v>
      </c>
      <c r="N2958" t="s">
        <v>65</v>
      </c>
    </row>
    <row r="2959" spans="1:14" x14ac:dyDescent="0.3">
      <c r="A2959" s="1">
        <v>44694</v>
      </c>
      <c r="B2959" t="s">
        <v>36</v>
      </c>
      <c r="C2959" t="s">
        <v>33</v>
      </c>
      <c r="D2959" t="s">
        <v>19</v>
      </c>
      <c r="E2959">
        <v>7</v>
      </c>
      <c r="F2959">
        <v>7791</v>
      </c>
      <c r="G2959">
        <v>907.96</v>
      </c>
      <c r="H2959">
        <v>2022</v>
      </c>
      <c r="I2959" t="s">
        <v>20</v>
      </c>
      <c r="J2959" s="4">
        <v>0.116539596970864</v>
      </c>
      <c r="K2959" t="s">
        <v>42</v>
      </c>
      <c r="L2959" t="s">
        <v>59</v>
      </c>
      <c r="M2959">
        <v>5</v>
      </c>
      <c r="N2959" t="s">
        <v>20</v>
      </c>
    </row>
    <row r="2960" spans="1:14" x14ac:dyDescent="0.3">
      <c r="A2960" s="1">
        <v>44778</v>
      </c>
      <c r="B2960" t="s">
        <v>36</v>
      </c>
      <c r="C2960" t="s">
        <v>33</v>
      </c>
      <c r="D2960" t="s">
        <v>12</v>
      </c>
      <c r="E2960">
        <v>7</v>
      </c>
      <c r="F2960">
        <v>1554</v>
      </c>
      <c r="G2960">
        <v>370.97</v>
      </c>
      <c r="H2960">
        <v>2022</v>
      </c>
      <c r="I2960" t="s">
        <v>24</v>
      </c>
      <c r="J2960" s="4">
        <v>0.23871943371943399</v>
      </c>
      <c r="K2960" t="s">
        <v>42</v>
      </c>
      <c r="L2960" t="s">
        <v>60</v>
      </c>
      <c r="M2960">
        <v>8</v>
      </c>
      <c r="N2960" t="s">
        <v>63</v>
      </c>
    </row>
    <row r="2961" spans="1:14" x14ac:dyDescent="0.3">
      <c r="A2961" s="1">
        <v>44712</v>
      </c>
      <c r="B2961" t="s">
        <v>36</v>
      </c>
      <c r="C2961" t="s">
        <v>33</v>
      </c>
      <c r="D2961" t="s">
        <v>19</v>
      </c>
      <c r="E2961">
        <v>3</v>
      </c>
      <c r="F2961">
        <v>2139</v>
      </c>
      <c r="G2961">
        <v>503.08</v>
      </c>
      <c r="H2961">
        <v>2022</v>
      </c>
      <c r="I2961" t="s">
        <v>20</v>
      </c>
      <c r="J2961" s="4">
        <v>0.235194015895278</v>
      </c>
      <c r="K2961" t="s">
        <v>42</v>
      </c>
      <c r="L2961" t="s">
        <v>59</v>
      </c>
      <c r="M2961">
        <v>5</v>
      </c>
      <c r="N2961" t="s">
        <v>20</v>
      </c>
    </row>
    <row r="2962" spans="1:14" x14ac:dyDescent="0.3">
      <c r="A2962" s="1">
        <v>44694</v>
      </c>
      <c r="B2962" t="s">
        <v>36</v>
      </c>
      <c r="C2962" t="s">
        <v>33</v>
      </c>
      <c r="D2962" t="s">
        <v>12</v>
      </c>
      <c r="E2962">
        <v>8</v>
      </c>
      <c r="F2962">
        <v>6160</v>
      </c>
      <c r="G2962">
        <v>684.71</v>
      </c>
      <c r="H2962">
        <v>2022</v>
      </c>
      <c r="I2962" t="s">
        <v>20</v>
      </c>
      <c r="J2962" s="4">
        <v>0.11115422077922101</v>
      </c>
      <c r="K2962" t="s">
        <v>42</v>
      </c>
      <c r="L2962" t="s">
        <v>59</v>
      </c>
      <c r="M2962">
        <v>5</v>
      </c>
      <c r="N2962" t="s">
        <v>20</v>
      </c>
    </row>
    <row r="2963" spans="1:14" x14ac:dyDescent="0.3">
      <c r="A2963" s="1">
        <v>44855</v>
      </c>
      <c r="B2963" t="s">
        <v>36</v>
      </c>
      <c r="C2963" t="s">
        <v>33</v>
      </c>
      <c r="D2963" t="s">
        <v>12</v>
      </c>
      <c r="E2963">
        <v>1</v>
      </c>
      <c r="F2963">
        <v>312</v>
      </c>
      <c r="G2963">
        <v>43.01</v>
      </c>
      <c r="H2963">
        <v>2022</v>
      </c>
      <c r="I2963" t="s">
        <v>14</v>
      </c>
      <c r="J2963" s="4">
        <v>0.137852564102564</v>
      </c>
      <c r="K2963" t="s">
        <v>42</v>
      </c>
      <c r="L2963" t="s">
        <v>52</v>
      </c>
      <c r="M2963">
        <v>10</v>
      </c>
      <c r="N2963" t="s">
        <v>54</v>
      </c>
    </row>
    <row r="2964" spans="1:14" x14ac:dyDescent="0.3">
      <c r="A2964" s="1">
        <v>44768</v>
      </c>
      <c r="B2964" t="s">
        <v>36</v>
      </c>
      <c r="C2964" t="s">
        <v>33</v>
      </c>
      <c r="D2964" t="s">
        <v>19</v>
      </c>
      <c r="E2964">
        <v>3</v>
      </c>
      <c r="F2964">
        <v>936</v>
      </c>
      <c r="G2964">
        <v>88.51</v>
      </c>
      <c r="H2964">
        <v>2022</v>
      </c>
      <c r="I2964" t="s">
        <v>25</v>
      </c>
      <c r="J2964" s="4">
        <v>9.4561965811965798E-2</v>
      </c>
      <c r="K2964" t="s">
        <v>42</v>
      </c>
      <c r="L2964" t="s">
        <v>60</v>
      </c>
      <c r="M2964">
        <v>7</v>
      </c>
      <c r="N2964" t="s">
        <v>64</v>
      </c>
    </row>
    <row r="2965" spans="1:14" x14ac:dyDescent="0.3">
      <c r="A2965" s="1">
        <v>44840</v>
      </c>
      <c r="B2965" t="s">
        <v>36</v>
      </c>
      <c r="C2965" t="s">
        <v>33</v>
      </c>
      <c r="D2965" t="s">
        <v>22</v>
      </c>
      <c r="E2965">
        <v>2</v>
      </c>
      <c r="F2965">
        <v>1504</v>
      </c>
      <c r="G2965">
        <v>164.51</v>
      </c>
      <c r="H2965">
        <v>2022</v>
      </c>
      <c r="I2965" t="s">
        <v>14</v>
      </c>
      <c r="J2965" s="4">
        <v>0.10938164893617</v>
      </c>
      <c r="K2965" t="s">
        <v>42</v>
      </c>
      <c r="L2965" t="s">
        <v>52</v>
      </c>
      <c r="M2965">
        <v>10</v>
      </c>
      <c r="N2965" t="s">
        <v>54</v>
      </c>
    </row>
    <row r="2966" spans="1:14" x14ac:dyDescent="0.3">
      <c r="A2966" s="1">
        <v>44897</v>
      </c>
      <c r="B2966" t="s">
        <v>36</v>
      </c>
      <c r="C2966" t="s">
        <v>33</v>
      </c>
      <c r="D2966" t="s">
        <v>17</v>
      </c>
      <c r="E2966">
        <v>5</v>
      </c>
      <c r="F2966">
        <v>490</v>
      </c>
      <c r="G2966">
        <v>55.59</v>
      </c>
      <c r="H2966">
        <v>2022</v>
      </c>
      <c r="I2966" t="s">
        <v>13</v>
      </c>
      <c r="J2966" s="4">
        <v>0.113448979591837</v>
      </c>
      <c r="K2966" t="s">
        <v>42</v>
      </c>
      <c r="L2966" t="s">
        <v>52</v>
      </c>
      <c r="M2966">
        <v>12</v>
      </c>
      <c r="N2966" t="s">
        <v>53</v>
      </c>
    </row>
    <row r="2967" spans="1:14" x14ac:dyDescent="0.3">
      <c r="A2967" s="1">
        <v>44681</v>
      </c>
      <c r="B2967" t="s">
        <v>36</v>
      </c>
      <c r="C2967" t="s">
        <v>33</v>
      </c>
      <c r="D2967" t="s">
        <v>19</v>
      </c>
      <c r="E2967">
        <v>6</v>
      </c>
      <c r="F2967">
        <v>4944</v>
      </c>
      <c r="G2967">
        <v>1335.04</v>
      </c>
      <c r="H2967">
        <v>2022</v>
      </c>
      <c r="I2967" t="s">
        <v>23</v>
      </c>
      <c r="J2967" s="4">
        <v>0.27003236245954698</v>
      </c>
      <c r="K2967" t="s">
        <v>42</v>
      </c>
      <c r="L2967" t="s">
        <v>59</v>
      </c>
      <c r="M2967">
        <v>4</v>
      </c>
      <c r="N2967" t="s">
        <v>62</v>
      </c>
    </row>
    <row r="2968" spans="1:14" x14ac:dyDescent="0.3">
      <c r="A2968" s="1">
        <v>44752</v>
      </c>
      <c r="B2968" t="s">
        <v>36</v>
      </c>
      <c r="C2968" t="s">
        <v>33</v>
      </c>
      <c r="D2968" t="s">
        <v>17</v>
      </c>
      <c r="E2968">
        <v>6</v>
      </c>
      <c r="F2968">
        <v>5916</v>
      </c>
      <c r="G2968">
        <v>544.59</v>
      </c>
      <c r="H2968">
        <v>2022</v>
      </c>
      <c r="I2968" t="s">
        <v>25</v>
      </c>
      <c r="J2968" s="4">
        <v>9.2053752535496997E-2</v>
      </c>
      <c r="K2968" t="s">
        <v>42</v>
      </c>
      <c r="L2968" t="s">
        <v>60</v>
      </c>
      <c r="M2968">
        <v>7</v>
      </c>
      <c r="N2968" t="s">
        <v>64</v>
      </c>
    </row>
    <row r="2969" spans="1:14" x14ac:dyDescent="0.3">
      <c r="A2969" s="1">
        <v>44855</v>
      </c>
      <c r="B2969" t="s">
        <v>36</v>
      </c>
      <c r="C2969" t="s">
        <v>33</v>
      </c>
      <c r="D2969" t="s">
        <v>22</v>
      </c>
      <c r="E2969">
        <v>2</v>
      </c>
      <c r="F2969">
        <v>1046</v>
      </c>
      <c r="G2969">
        <v>273.38</v>
      </c>
      <c r="H2969">
        <v>2022</v>
      </c>
      <c r="I2969" t="s">
        <v>14</v>
      </c>
      <c r="J2969" s="4">
        <v>0.26135755258126198</v>
      </c>
      <c r="K2969" t="s">
        <v>42</v>
      </c>
      <c r="L2969" t="s">
        <v>52</v>
      </c>
      <c r="M2969">
        <v>10</v>
      </c>
      <c r="N2969" t="s">
        <v>54</v>
      </c>
    </row>
    <row r="2970" spans="1:14" x14ac:dyDescent="0.3">
      <c r="A2970" s="1">
        <v>44632</v>
      </c>
      <c r="B2970" t="s">
        <v>36</v>
      </c>
      <c r="C2970" t="s">
        <v>33</v>
      </c>
      <c r="D2970" t="s">
        <v>12</v>
      </c>
      <c r="E2970">
        <v>4</v>
      </c>
      <c r="F2970">
        <v>2368</v>
      </c>
      <c r="G2970">
        <v>361.02</v>
      </c>
      <c r="H2970">
        <v>2022</v>
      </c>
      <c r="I2970" t="s">
        <v>15</v>
      </c>
      <c r="J2970" s="4">
        <v>0.15245777027026999</v>
      </c>
      <c r="K2970" t="s">
        <v>42</v>
      </c>
      <c r="L2970" t="s">
        <v>55</v>
      </c>
      <c r="M2970">
        <v>3</v>
      </c>
      <c r="N2970" t="s">
        <v>56</v>
      </c>
    </row>
    <row r="2971" spans="1:14" x14ac:dyDescent="0.3">
      <c r="A2971" s="1">
        <v>44817</v>
      </c>
      <c r="B2971" t="s">
        <v>36</v>
      </c>
      <c r="C2971" t="s">
        <v>33</v>
      </c>
      <c r="D2971" t="s">
        <v>12</v>
      </c>
      <c r="E2971">
        <v>2</v>
      </c>
      <c r="F2971">
        <v>222</v>
      </c>
      <c r="G2971">
        <v>23.65</v>
      </c>
      <c r="H2971">
        <v>2022</v>
      </c>
      <c r="I2971" t="s">
        <v>21</v>
      </c>
      <c r="J2971" s="4">
        <v>0.106531531531532</v>
      </c>
      <c r="K2971" t="s">
        <v>42</v>
      </c>
      <c r="L2971" t="s">
        <v>60</v>
      </c>
      <c r="M2971">
        <v>9</v>
      </c>
      <c r="N2971" t="s">
        <v>61</v>
      </c>
    </row>
    <row r="2972" spans="1:14" x14ac:dyDescent="0.3">
      <c r="A2972" s="1">
        <v>44614</v>
      </c>
      <c r="B2972" t="s">
        <v>36</v>
      </c>
      <c r="C2972" t="s">
        <v>33</v>
      </c>
      <c r="D2972" t="s">
        <v>17</v>
      </c>
      <c r="E2972">
        <v>5</v>
      </c>
      <c r="F2972">
        <v>2880</v>
      </c>
      <c r="G2972">
        <v>209.58</v>
      </c>
      <c r="H2972">
        <v>2022</v>
      </c>
      <c r="I2972" t="s">
        <v>16</v>
      </c>
      <c r="J2972" s="4">
        <v>7.2770833333333396E-2</v>
      </c>
      <c r="K2972" t="s">
        <v>42</v>
      </c>
      <c r="L2972" t="s">
        <v>55</v>
      </c>
      <c r="M2972">
        <v>2</v>
      </c>
      <c r="N2972" t="s">
        <v>57</v>
      </c>
    </row>
    <row r="2973" spans="1:14" x14ac:dyDescent="0.3">
      <c r="A2973" s="1">
        <v>44819</v>
      </c>
      <c r="B2973" t="s">
        <v>36</v>
      </c>
      <c r="C2973" t="s">
        <v>33</v>
      </c>
      <c r="D2973" t="s">
        <v>22</v>
      </c>
      <c r="E2973">
        <v>6</v>
      </c>
      <c r="F2973">
        <v>1440</v>
      </c>
      <c r="G2973">
        <v>130.4</v>
      </c>
      <c r="H2973">
        <v>2022</v>
      </c>
      <c r="I2973" t="s">
        <v>21</v>
      </c>
      <c r="J2973" s="4">
        <v>9.0555555555555597E-2</v>
      </c>
      <c r="K2973" t="s">
        <v>42</v>
      </c>
      <c r="L2973" t="s">
        <v>60</v>
      </c>
      <c r="M2973">
        <v>9</v>
      </c>
      <c r="N2973" t="s">
        <v>61</v>
      </c>
    </row>
    <row r="2974" spans="1:14" x14ac:dyDescent="0.3">
      <c r="A2974" s="1">
        <v>44866</v>
      </c>
      <c r="B2974" t="s">
        <v>36</v>
      </c>
      <c r="C2974" t="s">
        <v>33</v>
      </c>
      <c r="D2974" t="s">
        <v>19</v>
      </c>
      <c r="E2974">
        <v>5</v>
      </c>
      <c r="F2974">
        <v>5180</v>
      </c>
      <c r="G2974">
        <v>726.62</v>
      </c>
      <c r="H2974">
        <v>2022</v>
      </c>
      <c r="I2974" t="s">
        <v>18</v>
      </c>
      <c r="J2974" s="4">
        <v>0.14027413127413099</v>
      </c>
      <c r="K2974" t="s">
        <v>42</v>
      </c>
      <c r="L2974" t="s">
        <v>52</v>
      </c>
      <c r="M2974">
        <v>11</v>
      </c>
      <c r="N2974" t="s">
        <v>58</v>
      </c>
    </row>
    <row r="2975" spans="1:14" x14ac:dyDescent="0.3">
      <c r="A2975" s="1">
        <v>44840</v>
      </c>
      <c r="B2975" t="s">
        <v>36</v>
      </c>
      <c r="C2975" t="s">
        <v>33</v>
      </c>
      <c r="D2975" t="s">
        <v>22</v>
      </c>
      <c r="E2975">
        <v>6</v>
      </c>
      <c r="F2975">
        <v>6834</v>
      </c>
      <c r="G2975">
        <v>1211.75</v>
      </c>
      <c r="H2975">
        <v>2022</v>
      </c>
      <c r="I2975" t="s">
        <v>14</v>
      </c>
      <c r="J2975" s="4">
        <v>0.17731196956394499</v>
      </c>
      <c r="K2975" t="s">
        <v>42</v>
      </c>
      <c r="L2975" t="s">
        <v>52</v>
      </c>
      <c r="M2975">
        <v>10</v>
      </c>
      <c r="N2975" t="s">
        <v>54</v>
      </c>
    </row>
    <row r="2976" spans="1:14" x14ac:dyDescent="0.3">
      <c r="A2976" s="1">
        <v>44778</v>
      </c>
      <c r="B2976" t="s">
        <v>36</v>
      </c>
      <c r="C2976" t="s">
        <v>33</v>
      </c>
      <c r="D2976" t="s">
        <v>22</v>
      </c>
      <c r="E2976">
        <v>8</v>
      </c>
      <c r="F2976">
        <v>9296</v>
      </c>
      <c r="G2976">
        <v>2581.06</v>
      </c>
      <c r="H2976">
        <v>2022</v>
      </c>
      <c r="I2976" t="s">
        <v>24</v>
      </c>
      <c r="J2976" s="4">
        <v>0.277652753872633</v>
      </c>
      <c r="K2976" t="s">
        <v>42</v>
      </c>
      <c r="L2976" t="s">
        <v>60</v>
      </c>
      <c r="M2976">
        <v>8</v>
      </c>
      <c r="N2976" t="s">
        <v>63</v>
      </c>
    </row>
    <row r="2977" spans="1:14" x14ac:dyDescent="0.3">
      <c r="A2977" s="1">
        <v>44697</v>
      </c>
      <c r="B2977" t="s">
        <v>36</v>
      </c>
      <c r="C2977" t="s">
        <v>33</v>
      </c>
      <c r="D2977" t="s">
        <v>22</v>
      </c>
      <c r="E2977">
        <v>2</v>
      </c>
      <c r="F2977">
        <v>2314</v>
      </c>
      <c r="G2977">
        <v>305.42</v>
      </c>
      <c r="H2977">
        <v>2022</v>
      </c>
      <c r="I2977" t="s">
        <v>20</v>
      </c>
      <c r="J2977" s="4">
        <v>0.13198789974070901</v>
      </c>
      <c r="K2977" t="s">
        <v>42</v>
      </c>
      <c r="L2977" t="s">
        <v>59</v>
      </c>
      <c r="M2977">
        <v>5</v>
      </c>
      <c r="N2977" t="s">
        <v>20</v>
      </c>
    </row>
    <row r="2978" spans="1:14" x14ac:dyDescent="0.3">
      <c r="A2978" s="1">
        <v>44849</v>
      </c>
      <c r="B2978" t="s">
        <v>36</v>
      </c>
      <c r="C2978" t="s">
        <v>33</v>
      </c>
      <c r="D2978" t="s">
        <v>19</v>
      </c>
      <c r="E2978">
        <v>9</v>
      </c>
      <c r="F2978">
        <v>9657</v>
      </c>
      <c r="G2978">
        <v>1233.47</v>
      </c>
      <c r="H2978">
        <v>2022</v>
      </c>
      <c r="I2978" t="s">
        <v>14</v>
      </c>
      <c r="J2978" s="4">
        <v>0.12772807290048699</v>
      </c>
      <c r="K2978" t="s">
        <v>42</v>
      </c>
      <c r="L2978" t="s">
        <v>52</v>
      </c>
      <c r="M2978">
        <v>10</v>
      </c>
      <c r="N2978" t="s">
        <v>54</v>
      </c>
    </row>
    <row r="2979" spans="1:14" x14ac:dyDescent="0.3">
      <c r="A2979" s="1">
        <v>44724</v>
      </c>
      <c r="B2979" t="s">
        <v>36</v>
      </c>
      <c r="C2979" t="s">
        <v>33</v>
      </c>
      <c r="D2979" t="s">
        <v>12</v>
      </c>
      <c r="E2979">
        <v>8</v>
      </c>
      <c r="F2979">
        <v>1272</v>
      </c>
      <c r="G2979">
        <v>344.45</v>
      </c>
      <c r="H2979">
        <v>2022</v>
      </c>
      <c r="I2979" t="s">
        <v>27</v>
      </c>
      <c r="J2979" s="4">
        <v>0.270794025157233</v>
      </c>
      <c r="K2979" t="s">
        <v>42</v>
      </c>
      <c r="L2979" t="s">
        <v>59</v>
      </c>
      <c r="M2979">
        <v>6</v>
      </c>
      <c r="N2979" t="s">
        <v>66</v>
      </c>
    </row>
    <row r="2980" spans="1:14" x14ac:dyDescent="0.3">
      <c r="A2980" s="1">
        <v>44810</v>
      </c>
      <c r="B2980" t="s">
        <v>36</v>
      </c>
      <c r="C2980" t="s">
        <v>33</v>
      </c>
      <c r="D2980" t="s">
        <v>17</v>
      </c>
      <c r="E2980">
        <v>3</v>
      </c>
      <c r="F2980">
        <v>3153</v>
      </c>
      <c r="G2980">
        <v>563.55999999999995</v>
      </c>
      <c r="H2980">
        <v>2022</v>
      </c>
      <c r="I2980" t="s">
        <v>21</v>
      </c>
      <c r="J2980" s="4">
        <v>0.17873771011734901</v>
      </c>
      <c r="K2980" t="s">
        <v>42</v>
      </c>
      <c r="L2980" t="s">
        <v>60</v>
      </c>
      <c r="M2980">
        <v>9</v>
      </c>
      <c r="N2980" t="s">
        <v>61</v>
      </c>
    </row>
    <row r="2981" spans="1:14" x14ac:dyDescent="0.3">
      <c r="A2981" s="1">
        <v>44675</v>
      </c>
      <c r="B2981" t="s">
        <v>36</v>
      </c>
      <c r="C2981" t="s">
        <v>33</v>
      </c>
      <c r="D2981" t="s">
        <v>19</v>
      </c>
      <c r="E2981">
        <v>6</v>
      </c>
      <c r="F2981">
        <v>7140</v>
      </c>
      <c r="G2981">
        <v>869.93</v>
      </c>
      <c r="H2981">
        <v>2022</v>
      </c>
      <c r="I2981" t="s">
        <v>23</v>
      </c>
      <c r="J2981" s="4">
        <v>0.12183893557423001</v>
      </c>
      <c r="K2981" t="s">
        <v>42</v>
      </c>
      <c r="L2981" t="s">
        <v>59</v>
      </c>
      <c r="M2981">
        <v>4</v>
      </c>
      <c r="N2981" t="s">
        <v>62</v>
      </c>
    </row>
    <row r="2982" spans="1:14" x14ac:dyDescent="0.3">
      <c r="A2982" s="1">
        <v>44767</v>
      </c>
      <c r="B2982" t="s">
        <v>36</v>
      </c>
      <c r="C2982" t="s">
        <v>33</v>
      </c>
      <c r="D2982" t="s">
        <v>22</v>
      </c>
      <c r="E2982">
        <v>4</v>
      </c>
      <c r="F2982">
        <v>464</v>
      </c>
      <c r="G2982">
        <v>47.93</v>
      </c>
      <c r="H2982">
        <v>2022</v>
      </c>
      <c r="I2982" t="s">
        <v>25</v>
      </c>
      <c r="J2982" s="4">
        <v>0.103297413793103</v>
      </c>
      <c r="K2982" t="s">
        <v>42</v>
      </c>
      <c r="L2982" t="s">
        <v>60</v>
      </c>
      <c r="M2982">
        <v>7</v>
      </c>
      <c r="N2982" t="s">
        <v>64</v>
      </c>
    </row>
    <row r="2983" spans="1:14" x14ac:dyDescent="0.3">
      <c r="A2983" s="1">
        <v>44623</v>
      </c>
      <c r="B2983" t="s">
        <v>36</v>
      </c>
      <c r="C2983" t="s">
        <v>33</v>
      </c>
      <c r="D2983" t="s">
        <v>19</v>
      </c>
      <c r="E2983">
        <v>6</v>
      </c>
      <c r="F2983">
        <v>5370</v>
      </c>
      <c r="G2983">
        <v>1501.06</v>
      </c>
      <c r="H2983">
        <v>2022</v>
      </c>
      <c r="I2983" t="s">
        <v>15</v>
      </c>
      <c r="J2983" s="4">
        <v>0.27952700186219698</v>
      </c>
      <c r="K2983" t="s">
        <v>42</v>
      </c>
      <c r="L2983" t="s">
        <v>55</v>
      </c>
      <c r="M2983">
        <v>3</v>
      </c>
      <c r="N2983" t="s">
        <v>56</v>
      </c>
    </row>
    <row r="2984" spans="1:14" x14ac:dyDescent="0.3">
      <c r="A2984" s="1">
        <v>44916</v>
      </c>
      <c r="B2984" t="s">
        <v>36</v>
      </c>
      <c r="C2984" t="s">
        <v>33</v>
      </c>
      <c r="D2984" t="s">
        <v>12</v>
      </c>
      <c r="E2984">
        <v>7</v>
      </c>
      <c r="F2984">
        <v>6384</v>
      </c>
      <c r="G2984">
        <v>734.79</v>
      </c>
      <c r="H2984">
        <v>2022</v>
      </c>
      <c r="I2984" t="s">
        <v>13</v>
      </c>
      <c r="J2984" s="4">
        <v>0.11509868421052601</v>
      </c>
      <c r="K2984" t="s">
        <v>42</v>
      </c>
      <c r="L2984" t="s">
        <v>52</v>
      </c>
      <c r="M2984">
        <v>12</v>
      </c>
      <c r="N2984" t="s">
        <v>53</v>
      </c>
    </row>
    <row r="2985" spans="1:14" x14ac:dyDescent="0.3">
      <c r="A2985" s="1">
        <v>44599</v>
      </c>
      <c r="B2985" t="s">
        <v>36</v>
      </c>
      <c r="C2985" t="s">
        <v>33</v>
      </c>
      <c r="D2985" t="s">
        <v>22</v>
      </c>
      <c r="E2985">
        <v>6</v>
      </c>
      <c r="F2985">
        <v>1716</v>
      </c>
      <c r="G2985">
        <v>302.08999999999997</v>
      </c>
      <c r="H2985">
        <v>2022</v>
      </c>
      <c r="I2985" t="s">
        <v>16</v>
      </c>
      <c r="J2985" s="4">
        <v>0.17604312354312401</v>
      </c>
      <c r="K2985" t="s">
        <v>42</v>
      </c>
      <c r="L2985" t="s">
        <v>55</v>
      </c>
      <c r="M2985">
        <v>2</v>
      </c>
      <c r="N2985" t="s">
        <v>57</v>
      </c>
    </row>
    <row r="2986" spans="1:14" x14ac:dyDescent="0.3">
      <c r="A2986" s="1">
        <v>44611</v>
      </c>
      <c r="B2986" t="s">
        <v>36</v>
      </c>
      <c r="C2986" t="s">
        <v>33</v>
      </c>
      <c r="D2986" t="s">
        <v>12</v>
      </c>
      <c r="E2986">
        <v>1</v>
      </c>
      <c r="F2986">
        <v>442</v>
      </c>
      <c r="G2986">
        <v>82.73</v>
      </c>
      <c r="H2986">
        <v>2022</v>
      </c>
      <c r="I2986" t="s">
        <v>16</v>
      </c>
      <c r="J2986" s="4">
        <v>0.18717194570135701</v>
      </c>
      <c r="K2986" t="s">
        <v>42</v>
      </c>
      <c r="L2986" t="s">
        <v>55</v>
      </c>
      <c r="M2986">
        <v>2</v>
      </c>
      <c r="N2986" t="s">
        <v>57</v>
      </c>
    </row>
    <row r="2987" spans="1:14" x14ac:dyDescent="0.3">
      <c r="A2987" s="1">
        <v>44659</v>
      </c>
      <c r="B2987" t="s">
        <v>36</v>
      </c>
      <c r="C2987" t="s">
        <v>33</v>
      </c>
      <c r="D2987" t="s">
        <v>12</v>
      </c>
      <c r="E2987">
        <v>2</v>
      </c>
      <c r="F2987">
        <v>170</v>
      </c>
      <c r="G2987">
        <v>48.69</v>
      </c>
      <c r="H2987">
        <v>2022</v>
      </c>
      <c r="I2987" t="s">
        <v>23</v>
      </c>
      <c r="J2987" s="4">
        <v>0.28641176470588198</v>
      </c>
      <c r="K2987" t="s">
        <v>42</v>
      </c>
      <c r="L2987" t="s">
        <v>59</v>
      </c>
      <c r="M2987">
        <v>4</v>
      </c>
      <c r="N2987" t="s">
        <v>62</v>
      </c>
    </row>
    <row r="2988" spans="1:14" x14ac:dyDescent="0.3">
      <c r="A2988" s="1">
        <v>44818</v>
      </c>
      <c r="B2988" t="s">
        <v>36</v>
      </c>
      <c r="C2988" t="s">
        <v>33</v>
      </c>
      <c r="D2988" t="s">
        <v>17</v>
      </c>
      <c r="E2988">
        <v>2</v>
      </c>
      <c r="F2988">
        <v>1538</v>
      </c>
      <c r="G2988">
        <v>97.15</v>
      </c>
      <c r="H2988">
        <v>2022</v>
      </c>
      <c r="I2988" t="s">
        <v>21</v>
      </c>
      <c r="J2988" s="4">
        <v>6.3166449934980495E-2</v>
      </c>
      <c r="K2988" t="s">
        <v>42</v>
      </c>
      <c r="L2988" t="s">
        <v>60</v>
      </c>
      <c r="M2988">
        <v>9</v>
      </c>
      <c r="N2988" t="s">
        <v>61</v>
      </c>
    </row>
    <row r="2989" spans="1:14" x14ac:dyDescent="0.3">
      <c r="A2989" s="1">
        <v>44721</v>
      </c>
      <c r="B2989" t="s">
        <v>36</v>
      </c>
      <c r="C2989" t="s">
        <v>33</v>
      </c>
      <c r="D2989" t="s">
        <v>12</v>
      </c>
      <c r="E2989">
        <v>9</v>
      </c>
      <c r="F2989">
        <v>2988</v>
      </c>
      <c r="G2989">
        <v>447.93</v>
      </c>
      <c r="H2989">
        <v>2022</v>
      </c>
      <c r="I2989" t="s">
        <v>27</v>
      </c>
      <c r="J2989" s="4">
        <v>0.14990963855421699</v>
      </c>
      <c r="K2989" t="s">
        <v>42</v>
      </c>
      <c r="L2989" t="s">
        <v>59</v>
      </c>
      <c r="M2989">
        <v>6</v>
      </c>
      <c r="N2989" t="s">
        <v>66</v>
      </c>
    </row>
    <row r="2990" spans="1:14" x14ac:dyDescent="0.3">
      <c r="A2990" s="1">
        <v>44775</v>
      </c>
      <c r="B2990" t="s">
        <v>36</v>
      </c>
      <c r="C2990" t="s">
        <v>33</v>
      </c>
      <c r="D2990" t="s">
        <v>22</v>
      </c>
      <c r="E2990">
        <v>7</v>
      </c>
      <c r="F2990">
        <v>1204</v>
      </c>
      <c r="G2990">
        <v>317.12</v>
      </c>
      <c r="H2990">
        <v>2022</v>
      </c>
      <c r="I2990" t="s">
        <v>24</v>
      </c>
      <c r="J2990" s="4">
        <v>0.26338870431893702</v>
      </c>
      <c r="K2990" t="s">
        <v>42</v>
      </c>
      <c r="L2990" t="s">
        <v>60</v>
      </c>
      <c r="M2990">
        <v>8</v>
      </c>
      <c r="N2990" t="s">
        <v>63</v>
      </c>
    </row>
    <row r="2991" spans="1:14" x14ac:dyDescent="0.3">
      <c r="A2991" s="1">
        <v>44658</v>
      </c>
      <c r="B2991" t="s">
        <v>36</v>
      </c>
      <c r="C2991" t="s">
        <v>33</v>
      </c>
      <c r="D2991" t="s">
        <v>22</v>
      </c>
      <c r="E2991">
        <v>3</v>
      </c>
      <c r="F2991">
        <v>1833</v>
      </c>
      <c r="G2991">
        <v>314.79000000000002</v>
      </c>
      <c r="H2991">
        <v>2022</v>
      </c>
      <c r="I2991" t="s">
        <v>23</v>
      </c>
      <c r="J2991" s="4">
        <v>0.171734860883797</v>
      </c>
      <c r="K2991" t="s">
        <v>42</v>
      </c>
      <c r="L2991" t="s">
        <v>59</v>
      </c>
      <c r="M2991">
        <v>4</v>
      </c>
      <c r="N2991" t="s">
        <v>62</v>
      </c>
    </row>
    <row r="2992" spans="1:14" x14ac:dyDescent="0.3">
      <c r="A2992" s="1">
        <v>44716</v>
      </c>
      <c r="B2992" t="s">
        <v>36</v>
      </c>
      <c r="C2992" t="s">
        <v>33</v>
      </c>
      <c r="D2992" t="s">
        <v>17</v>
      </c>
      <c r="E2992">
        <v>8</v>
      </c>
      <c r="F2992">
        <v>7728</v>
      </c>
      <c r="G2992">
        <v>1748.26</v>
      </c>
      <c r="H2992">
        <v>2022</v>
      </c>
      <c r="I2992" t="s">
        <v>27</v>
      </c>
      <c r="J2992" s="4">
        <v>0.226224120082816</v>
      </c>
      <c r="K2992" t="s">
        <v>42</v>
      </c>
      <c r="L2992" t="s">
        <v>59</v>
      </c>
      <c r="M2992">
        <v>6</v>
      </c>
      <c r="N2992" t="s">
        <v>66</v>
      </c>
    </row>
    <row r="2993" spans="1:14" x14ac:dyDescent="0.3">
      <c r="A2993" s="1">
        <v>44795</v>
      </c>
      <c r="B2993" t="s">
        <v>36</v>
      </c>
      <c r="C2993" t="s">
        <v>33</v>
      </c>
      <c r="D2993" t="s">
        <v>12</v>
      </c>
      <c r="E2993">
        <v>9</v>
      </c>
      <c r="F2993">
        <v>5796</v>
      </c>
      <c r="G2993">
        <v>1729.18</v>
      </c>
      <c r="H2993">
        <v>2022</v>
      </c>
      <c r="I2993" t="s">
        <v>24</v>
      </c>
      <c r="J2993" s="4">
        <v>0.29834023464458198</v>
      </c>
      <c r="K2993" t="s">
        <v>42</v>
      </c>
      <c r="L2993" t="s">
        <v>60</v>
      </c>
      <c r="M2993">
        <v>8</v>
      </c>
      <c r="N2993" t="s">
        <v>63</v>
      </c>
    </row>
    <row r="2994" spans="1:14" x14ac:dyDescent="0.3">
      <c r="A2994" s="1">
        <v>44832</v>
      </c>
      <c r="B2994" t="s">
        <v>36</v>
      </c>
      <c r="C2994" t="s">
        <v>33</v>
      </c>
      <c r="D2994" t="s">
        <v>17</v>
      </c>
      <c r="E2994">
        <v>3</v>
      </c>
      <c r="F2994">
        <v>1050</v>
      </c>
      <c r="G2994">
        <v>292.64</v>
      </c>
      <c r="H2994">
        <v>2022</v>
      </c>
      <c r="I2994" t="s">
        <v>21</v>
      </c>
      <c r="J2994" s="4">
        <v>0.27870476190476201</v>
      </c>
      <c r="K2994" t="s">
        <v>42</v>
      </c>
      <c r="L2994" t="s">
        <v>60</v>
      </c>
      <c r="M2994">
        <v>9</v>
      </c>
      <c r="N2994" t="s">
        <v>61</v>
      </c>
    </row>
    <row r="2995" spans="1:14" x14ac:dyDescent="0.3">
      <c r="A2995" s="1">
        <v>44742</v>
      </c>
      <c r="B2995" t="s">
        <v>36</v>
      </c>
      <c r="C2995" t="s">
        <v>33</v>
      </c>
      <c r="D2995" t="s">
        <v>17</v>
      </c>
      <c r="E2995">
        <v>6</v>
      </c>
      <c r="F2995">
        <v>558</v>
      </c>
      <c r="G2995">
        <v>57.01</v>
      </c>
      <c r="H2995">
        <v>2022</v>
      </c>
      <c r="I2995" t="s">
        <v>27</v>
      </c>
      <c r="J2995" s="4">
        <v>0.10216845878136201</v>
      </c>
      <c r="K2995" t="s">
        <v>42</v>
      </c>
      <c r="L2995" t="s">
        <v>59</v>
      </c>
      <c r="M2995">
        <v>6</v>
      </c>
      <c r="N2995" t="s">
        <v>66</v>
      </c>
    </row>
    <row r="2996" spans="1:14" x14ac:dyDescent="0.3">
      <c r="A2996" s="1">
        <v>44729</v>
      </c>
      <c r="B2996" t="s">
        <v>36</v>
      </c>
      <c r="C2996" t="s">
        <v>33</v>
      </c>
      <c r="D2996" t="s">
        <v>12</v>
      </c>
      <c r="E2996">
        <v>4</v>
      </c>
      <c r="F2996">
        <v>200</v>
      </c>
      <c r="G2996">
        <v>20.25</v>
      </c>
      <c r="H2996">
        <v>2022</v>
      </c>
      <c r="I2996" t="s">
        <v>27</v>
      </c>
      <c r="J2996" s="4">
        <v>0.10125000000000001</v>
      </c>
      <c r="K2996" t="s">
        <v>42</v>
      </c>
      <c r="L2996" t="s">
        <v>59</v>
      </c>
      <c r="M2996">
        <v>6</v>
      </c>
      <c r="N2996" t="s">
        <v>66</v>
      </c>
    </row>
    <row r="2997" spans="1:14" x14ac:dyDescent="0.3">
      <c r="A2997" s="1">
        <v>44725</v>
      </c>
      <c r="B2997" t="s">
        <v>36</v>
      </c>
      <c r="C2997" t="s">
        <v>33</v>
      </c>
      <c r="D2997" t="s">
        <v>22</v>
      </c>
      <c r="E2997">
        <v>4</v>
      </c>
      <c r="F2997">
        <v>984</v>
      </c>
      <c r="G2997">
        <v>157.72</v>
      </c>
      <c r="H2997">
        <v>2022</v>
      </c>
      <c r="I2997" t="s">
        <v>27</v>
      </c>
      <c r="J2997" s="4">
        <v>0.16028455284552801</v>
      </c>
      <c r="K2997" t="s">
        <v>42</v>
      </c>
      <c r="L2997" t="s">
        <v>59</v>
      </c>
      <c r="M2997">
        <v>6</v>
      </c>
      <c r="N2997" t="s">
        <v>66</v>
      </c>
    </row>
    <row r="2998" spans="1:14" x14ac:dyDescent="0.3">
      <c r="A2998" s="1">
        <v>44889</v>
      </c>
      <c r="B2998" t="s">
        <v>36</v>
      </c>
      <c r="C2998" t="s">
        <v>33</v>
      </c>
      <c r="D2998" t="s">
        <v>12</v>
      </c>
      <c r="E2998">
        <v>9</v>
      </c>
      <c r="F2998">
        <v>6993</v>
      </c>
      <c r="G2998">
        <v>1945.56</v>
      </c>
      <c r="H2998">
        <v>2022</v>
      </c>
      <c r="I2998" t="s">
        <v>18</v>
      </c>
      <c r="J2998" s="4">
        <v>0.27821535821535798</v>
      </c>
      <c r="K2998" t="s">
        <v>42</v>
      </c>
      <c r="L2998" t="s">
        <v>52</v>
      </c>
      <c r="M2998">
        <v>11</v>
      </c>
      <c r="N2998" t="s">
        <v>58</v>
      </c>
    </row>
    <row r="2999" spans="1:14" x14ac:dyDescent="0.3">
      <c r="A2999" s="1">
        <v>44712</v>
      </c>
      <c r="B2999" t="s">
        <v>36</v>
      </c>
      <c r="C2999" t="s">
        <v>33</v>
      </c>
      <c r="D2999" t="s">
        <v>22</v>
      </c>
      <c r="E2999">
        <v>6</v>
      </c>
      <c r="F2999">
        <v>7020</v>
      </c>
      <c r="G2999">
        <v>726.72</v>
      </c>
      <c r="H2999">
        <v>2022</v>
      </c>
      <c r="I2999" t="s">
        <v>20</v>
      </c>
      <c r="J2999" s="4">
        <v>0.10352136752136799</v>
      </c>
      <c r="K2999" t="s">
        <v>42</v>
      </c>
      <c r="L2999" t="s">
        <v>59</v>
      </c>
      <c r="M2999">
        <v>5</v>
      </c>
      <c r="N2999" t="s">
        <v>20</v>
      </c>
    </row>
    <row r="3000" spans="1:14" x14ac:dyDescent="0.3">
      <c r="A3000" s="1">
        <v>44594</v>
      </c>
      <c r="B3000" t="s">
        <v>36</v>
      </c>
      <c r="C3000" t="s">
        <v>33</v>
      </c>
      <c r="D3000" t="s">
        <v>17</v>
      </c>
      <c r="E3000">
        <v>8</v>
      </c>
      <c r="F3000">
        <v>1800</v>
      </c>
      <c r="G3000">
        <v>494.02</v>
      </c>
      <c r="H3000">
        <v>2022</v>
      </c>
      <c r="I3000" t="s">
        <v>16</v>
      </c>
      <c r="J3000" s="4">
        <v>0.27445555555555601</v>
      </c>
      <c r="K3000" t="s">
        <v>42</v>
      </c>
      <c r="L3000" t="s">
        <v>55</v>
      </c>
      <c r="M3000">
        <v>2</v>
      </c>
      <c r="N3000" t="s">
        <v>57</v>
      </c>
    </row>
    <row r="3001" spans="1:14" x14ac:dyDescent="0.3">
      <c r="A3001" s="1">
        <v>44910</v>
      </c>
      <c r="B3001" t="s">
        <v>36</v>
      </c>
      <c r="C3001" t="s">
        <v>33</v>
      </c>
      <c r="D3001" t="s">
        <v>19</v>
      </c>
      <c r="E3001">
        <v>4</v>
      </c>
      <c r="F3001">
        <v>2436</v>
      </c>
      <c r="G3001">
        <v>142.81</v>
      </c>
      <c r="H3001">
        <v>2022</v>
      </c>
      <c r="I3001" t="s">
        <v>13</v>
      </c>
      <c r="J3001" s="4">
        <v>5.8624794745484397E-2</v>
      </c>
      <c r="K3001" t="s">
        <v>42</v>
      </c>
      <c r="L3001" t="s">
        <v>52</v>
      </c>
      <c r="M3001">
        <v>12</v>
      </c>
      <c r="N3001" t="s">
        <v>53</v>
      </c>
    </row>
    <row r="3002" spans="1:14" x14ac:dyDescent="0.3">
      <c r="A3002" s="1">
        <v>44641</v>
      </c>
      <c r="B3002" t="s">
        <v>36</v>
      </c>
      <c r="C3002" t="s">
        <v>33</v>
      </c>
      <c r="D3002" t="s">
        <v>22</v>
      </c>
      <c r="E3002">
        <v>8</v>
      </c>
      <c r="F3002">
        <v>1064</v>
      </c>
      <c r="G3002">
        <v>190.73</v>
      </c>
      <c r="H3002">
        <v>2022</v>
      </c>
      <c r="I3002" t="s">
        <v>15</v>
      </c>
      <c r="J3002" s="4">
        <v>0.179257518796992</v>
      </c>
      <c r="K3002" t="s">
        <v>42</v>
      </c>
      <c r="L3002" t="s">
        <v>55</v>
      </c>
      <c r="M3002">
        <v>3</v>
      </c>
      <c r="N3002" t="s">
        <v>56</v>
      </c>
    </row>
    <row r="3003" spans="1:14" x14ac:dyDescent="0.3">
      <c r="A3003" s="1">
        <v>44694</v>
      </c>
      <c r="B3003" t="s">
        <v>36</v>
      </c>
      <c r="C3003" t="s">
        <v>33</v>
      </c>
      <c r="D3003" t="s">
        <v>17</v>
      </c>
      <c r="E3003">
        <v>7</v>
      </c>
      <c r="F3003">
        <v>7588</v>
      </c>
      <c r="G3003">
        <v>1625.55</v>
      </c>
      <c r="H3003">
        <v>2022</v>
      </c>
      <c r="I3003" t="s">
        <v>20</v>
      </c>
      <c r="J3003" s="4">
        <v>0.21422641012124399</v>
      </c>
      <c r="K3003" t="s">
        <v>42</v>
      </c>
      <c r="L3003" t="s">
        <v>59</v>
      </c>
      <c r="M3003">
        <v>5</v>
      </c>
      <c r="N3003" t="s">
        <v>20</v>
      </c>
    </row>
    <row r="3004" spans="1:14" x14ac:dyDescent="0.3">
      <c r="A3004" s="1">
        <v>44697</v>
      </c>
      <c r="B3004" t="s">
        <v>36</v>
      </c>
      <c r="C3004" t="s">
        <v>33</v>
      </c>
      <c r="D3004" t="s">
        <v>17</v>
      </c>
      <c r="E3004">
        <v>8</v>
      </c>
      <c r="F3004">
        <v>3032</v>
      </c>
      <c r="G3004">
        <v>278.85000000000002</v>
      </c>
      <c r="H3004">
        <v>2022</v>
      </c>
      <c r="I3004" t="s">
        <v>20</v>
      </c>
      <c r="J3004" s="4">
        <v>9.1968997361477595E-2</v>
      </c>
      <c r="K3004" t="s">
        <v>42</v>
      </c>
      <c r="L3004" t="s">
        <v>59</v>
      </c>
      <c r="M3004">
        <v>5</v>
      </c>
      <c r="N3004" t="s">
        <v>20</v>
      </c>
    </row>
    <row r="3005" spans="1:14" x14ac:dyDescent="0.3">
      <c r="A3005" s="1">
        <v>44869</v>
      </c>
      <c r="B3005" t="s">
        <v>36</v>
      </c>
      <c r="C3005" t="s">
        <v>33</v>
      </c>
      <c r="D3005" t="s">
        <v>12</v>
      </c>
      <c r="E3005">
        <v>7</v>
      </c>
      <c r="F3005">
        <v>3619</v>
      </c>
      <c r="G3005">
        <v>827.39</v>
      </c>
      <c r="H3005">
        <v>2022</v>
      </c>
      <c r="I3005" t="s">
        <v>18</v>
      </c>
      <c r="J3005" s="4">
        <v>0.22862392926222699</v>
      </c>
      <c r="K3005" t="s">
        <v>42</v>
      </c>
      <c r="L3005" t="s">
        <v>52</v>
      </c>
      <c r="M3005">
        <v>11</v>
      </c>
      <c r="N3005" t="s">
        <v>58</v>
      </c>
    </row>
    <row r="3006" spans="1:14" x14ac:dyDescent="0.3">
      <c r="A3006" s="1">
        <v>44807</v>
      </c>
      <c r="B3006" t="s">
        <v>36</v>
      </c>
      <c r="C3006" t="s">
        <v>33</v>
      </c>
      <c r="D3006" t="s">
        <v>19</v>
      </c>
      <c r="E3006">
        <v>5</v>
      </c>
      <c r="F3006">
        <v>3850</v>
      </c>
      <c r="G3006">
        <v>419.55</v>
      </c>
      <c r="H3006">
        <v>2022</v>
      </c>
      <c r="I3006" t="s">
        <v>21</v>
      </c>
      <c r="J3006" s="4">
        <v>0.108974025974026</v>
      </c>
      <c r="K3006" t="s">
        <v>42</v>
      </c>
      <c r="L3006" t="s">
        <v>60</v>
      </c>
      <c r="M3006">
        <v>9</v>
      </c>
      <c r="N3006" t="s">
        <v>61</v>
      </c>
    </row>
    <row r="3007" spans="1:14" x14ac:dyDescent="0.3">
      <c r="A3007" s="1">
        <v>44811</v>
      </c>
      <c r="B3007" t="s">
        <v>36</v>
      </c>
      <c r="C3007" t="s">
        <v>33</v>
      </c>
      <c r="D3007" t="s">
        <v>17</v>
      </c>
      <c r="E3007">
        <v>8</v>
      </c>
      <c r="F3007">
        <v>1224</v>
      </c>
      <c r="G3007">
        <v>281.43</v>
      </c>
      <c r="H3007">
        <v>2022</v>
      </c>
      <c r="I3007" t="s">
        <v>21</v>
      </c>
      <c r="J3007" s="4">
        <v>0.22992647058823501</v>
      </c>
      <c r="K3007" t="s">
        <v>42</v>
      </c>
      <c r="L3007" t="s">
        <v>60</v>
      </c>
      <c r="M3007">
        <v>9</v>
      </c>
      <c r="N3007" t="s">
        <v>61</v>
      </c>
    </row>
    <row r="3008" spans="1:14" x14ac:dyDescent="0.3">
      <c r="A3008" s="1">
        <v>44875</v>
      </c>
      <c r="B3008" t="s">
        <v>36</v>
      </c>
      <c r="C3008" t="s">
        <v>33</v>
      </c>
      <c r="D3008" t="s">
        <v>19</v>
      </c>
      <c r="E3008">
        <v>6</v>
      </c>
      <c r="F3008">
        <v>6522</v>
      </c>
      <c r="G3008">
        <v>502.98</v>
      </c>
      <c r="H3008">
        <v>2022</v>
      </c>
      <c r="I3008" t="s">
        <v>18</v>
      </c>
      <c r="J3008" s="4">
        <v>7.7120515179392807E-2</v>
      </c>
      <c r="K3008" t="s">
        <v>42</v>
      </c>
      <c r="L3008" t="s">
        <v>52</v>
      </c>
      <c r="M3008">
        <v>11</v>
      </c>
      <c r="N3008" t="s">
        <v>58</v>
      </c>
    </row>
    <row r="3009" spans="1:14" x14ac:dyDescent="0.3">
      <c r="A3009" s="1">
        <v>44597</v>
      </c>
      <c r="B3009" t="s">
        <v>36</v>
      </c>
      <c r="C3009" t="s">
        <v>33</v>
      </c>
      <c r="D3009" t="s">
        <v>22</v>
      </c>
      <c r="E3009">
        <v>3</v>
      </c>
      <c r="F3009">
        <v>3075</v>
      </c>
      <c r="G3009">
        <v>804.06</v>
      </c>
      <c r="H3009">
        <v>2022</v>
      </c>
      <c r="I3009" t="s">
        <v>16</v>
      </c>
      <c r="J3009" s="4">
        <v>0.26148292682926799</v>
      </c>
      <c r="K3009" t="s">
        <v>42</v>
      </c>
      <c r="L3009" t="s">
        <v>55</v>
      </c>
      <c r="M3009">
        <v>2</v>
      </c>
      <c r="N3009" t="s">
        <v>57</v>
      </c>
    </row>
    <row r="3010" spans="1:14" x14ac:dyDescent="0.3">
      <c r="A3010" s="1">
        <v>44684</v>
      </c>
      <c r="B3010" t="s">
        <v>36</v>
      </c>
      <c r="C3010" t="s">
        <v>33</v>
      </c>
      <c r="D3010" t="s">
        <v>12</v>
      </c>
      <c r="E3010">
        <v>2</v>
      </c>
      <c r="F3010">
        <v>1476</v>
      </c>
      <c r="G3010">
        <v>195.74</v>
      </c>
      <c r="H3010">
        <v>2022</v>
      </c>
      <c r="I3010" t="s">
        <v>20</v>
      </c>
      <c r="J3010" s="4">
        <v>0.13261517615176199</v>
      </c>
      <c r="K3010" t="s">
        <v>42</v>
      </c>
      <c r="L3010" t="s">
        <v>59</v>
      </c>
      <c r="M3010">
        <v>5</v>
      </c>
      <c r="N3010" t="s">
        <v>20</v>
      </c>
    </row>
    <row r="3011" spans="1:14" x14ac:dyDescent="0.3">
      <c r="A3011" s="1">
        <v>44911</v>
      </c>
      <c r="B3011" t="s">
        <v>36</v>
      </c>
      <c r="C3011" t="s">
        <v>33</v>
      </c>
      <c r="D3011" t="s">
        <v>17</v>
      </c>
      <c r="E3011">
        <v>7</v>
      </c>
      <c r="F3011">
        <v>7812</v>
      </c>
      <c r="G3011">
        <v>1478.43</v>
      </c>
      <c r="H3011">
        <v>2022</v>
      </c>
      <c r="I3011" t="s">
        <v>13</v>
      </c>
      <c r="J3011" s="4">
        <v>0.189251152073733</v>
      </c>
      <c r="K3011" t="s">
        <v>42</v>
      </c>
      <c r="L3011" t="s">
        <v>52</v>
      </c>
      <c r="M3011">
        <v>12</v>
      </c>
      <c r="N3011" t="s">
        <v>53</v>
      </c>
    </row>
    <row r="3012" spans="1:14" x14ac:dyDescent="0.3">
      <c r="A3012" s="1">
        <v>44822</v>
      </c>
      <c r="B3012" t="s">
        <v>36</v>
      </c>
      <c r="C3012" t="s">
        <v>33</v>
      </c>
      <c r="D3012" t="s">
        <v>19</v>
      </c>
      <c r="E3012">
        <v>1</v>
      </c>
      <c r="F3012">
        <v>1117</v>
      </c>
      <c r="G3012">
        <v>119.89</v>
      </c>
      <c r="H3012">
        <v>2022</v>
      </c>
      <c r="I3012" t="s">
        <v>21</v>
      </c>
      <c r="J3012" s="4">
        <v>0.107332139659803</v>
      </c>
      <c r="K3012" t="s">
        <v>42</v>
      </c>
      <c r="L3012" t="s">
        <v>60</v>
      </c>
      <c r="M3012">
        <v>9</v>
      </c>
      <c r="N3012" t="s">
        <v>61</v>
      </c>
    </row>
    <row r="3013" spans="1:14" x14ac:dyDescent="0.3">
      <c r="A3013" s="1">
        <v>45565</v>
      </c>
      <c r="B3013" t="s">
        <v>36</v>
      </c>
      <c r="C3013" t="s">
        <v>33</v>
      </c>
      <c r="D3013" t="s">
        <v>12</v>
      </c>
      <c r="E3013">
        <v>5</v>
      </c>
      <c r="F3013">
        <v>5210</v>
      </c>
      <c r="G3013">
        <v>1338.8</v>
      </c>
      <c r="H3013">
        <v>2024</v>
      </c>
      <c r="I3013" t="s">
        <v>21</v>
      </c>
      <c r="J3013" s="4">
        <v>0.25696737044145901</v>
      </c>
      <c r="K3013" t="s">
        <v>41</v>
      </c>
      <c r="L3013" t="s">
        <v>60</v>
      </c>
      <c r="M3013">
        <v>9</v>
      </c>
      <c r="N3013" t="s">
        <v>61</v>
      </c>
    </row>
    <row r="3014" spans="1:14" x14ac:dyDescent="0.3">
      <c r="A3014" s="1">
        <v>45404</v>
      </c>
      <c r="B3014" t="s">
        <v>36</v>
      </c>
      <c r="C3014" t="s">
        <v>33</v>
      </c>
      <c r="D3014" t="s">
        <v>22</v>
      </c>
      <c r="E3014">
        <v>6</v>
      </c>
      <c r="F3014">
        <v>4038</v>
      </c>
      <c r="G3014">
        <v>364.11</v>
      </c>
      <c r="H3014">
        <v>2024</v>
      </c>
      <c r="I3014" t="s">
        <v>23</v>
      </c>
      <c r="J3014" s="4">
        <v>9.0170876671619604E-2</v>
      </c>
      <c r="K3014" t="s">
        <v>41</v>
      </c>
      <c r="L3014" t="s">
        <v>59</v>
      </c>
      <c r="M3014">
        <v>4</v>
      </c>
      <c r="N3014" t="s">
        <v>62</v>
      </c>
    </row>
    <row r="3015" spans="1:14" x14ac:dyDescent="0.3">
      <c r="A3015" s="1">
        <v>45406</v>
      </c>
      <c r="B3015" t="s">
        <v>36</v>
      </c>
      <c r="C3015" t="s">
        <v>33</v>
      </c>
      <c r="D3015" t="s">
        <v>19</v>
      </c>
      <c r="E3015">
        <v>5</v>
      </c>
      <c r="F3015">
        <v>940</v>
      </c>
      <c r="G3015">
        <v>266.02</v>
      </c>
      <c r="H3015">
        <v>2024</v>
      </c>
      <c r="I3015" t="s">
        <v>23</v>
      </c>
      <c r="J3015" s="4">
        <v>0.28299999999999997</v>
      </c>
      <c r="K3015" t="s">
        <v>41</v>
      </c>
      <c r="L3015" t="s">
        <v>59</v>
      </c>
      <c r="M3015">
        <v>4</v>
      </c>
      <c r="N3015" t="s">
        <v>62</v>
      </c>
    </row>
    <row r="3016" spans="1:14" x14ac:dyDescent="0.3">
      <c r="A3016" s="1">
        <v>45512</v>
      </c>
      <c r="B3016" t="s">
        <v>36</v>
      </c>
      <c r="C3016" t="s">
        <v>33</v>
      </c>
      <c r="D3016" t="s">
        <v>17</v>
      </c>
      <c r="E3016">
        <v>9</v>
      </c>
      <c r="F3016">
        <v>10530</v>
      </c>
      <c r="G3016">
        <v>2387.63</v>
      </c>
      <c r="H3016">
        <v>2024</v>
      </c>
      <c r="I3016" t="s">
        <v>24</v>
      </c>
      <c r="J3016" s="4">
        <v>0.226745489078822</v>
      </c>
      <c r="K3016" t="s">
        <v>41</v>
      </c>
      <c r="L3016" t="s">
        <v>60</v>
      </c>
      <c r="M3016">
        <v>8</v>
      </c>
      <c r="N3016" t="s">
        <v>63</v>
      </c>
    </row>
    <row r="3017" spans="1:14" x14ac:dyDescent="0.3">
      <c r="A3017" s="1">
        <v>45486</v>
      </c>
      <c r="B3017" t="s">
        <v>36</v>
      </c>
      <c r="C3017" t="s">
        <v>33</v>
      </c>
      <c r="D3017" t="s">
        <v>19</v>
      </c>
      <c r="E3017">
        <v>3</v>
      </c>
      <c r="F3017">
        <v>2640</v>
      </c>
      <c r="G3017">
        <v>199.97</v>
      </c>
      <c r="H3017">
        <v>2024</v>
      </c>
      <c r="I3017" t="s">
        <v>25</v>
      </c>
      <c r="J3017" s="4">
        <v>7.5746212121212103E-2</v>
      </c>
      <c r="K3017" t="s">
        <v>41</v>
      </c>
      <c r="L3017" t="s">
        <v>60</v>
      </c>
      <c r="M3017">
        <v>7</v>
      </c>
      <c r="N3017" t="s">
        <v>64</v>
      </c>
    </row>
    <row r="3018" spans="1:14" x14ac:dyDescent="0.3">
      <c r="A3018" s="1">
        <v>45340</v>
      </c>
      <c r="B3018" t="s">
        <v>36</v>
      </c>
      <c r="C3018" t="s">
        <v>33</v>
      </c>
      <c r="D3018" t="s">
        <v>22</v>
      </c>
      <c r="E3018">
        <v>9</v>
      </c>
      <c r="F3018">
        <v>7650</v>
      </c>
      <c r="G3018">
        <v>2204.44</v>
      </c>
      <c r="H3018">
        <v>2024</v>
      </c>
      <c r="I3018" t="s">
        <v>16</v>
      </c>
      <c r="J3018" s="4">
        <v>0.28816209150326799</v>
      </c>
      <c r="K3018" t="s">
        <v>41</v>
      </c>
      <c r="L3018" t="s">
        <v>55</v>
      </c>
      <c r="M3018">
        <v>2</v>
      </c>
      <c r="N3018" t="s">
        <v>57</v>
      </c>
    </row>
    <row r="3019" spans="1:14" x14ac:dyDescent="0.3">
      <c r="A3019" s="1">
        <v>45423</v>
      </c>
      <c r="B3019" t="s">
        <v>36</v>
      </c>
      <c r="C3019" t="s">
        <v>33</v>
      </c>
      <c r="D3019" t="s">
        <v>17</v>
      </c>
      <c r="E3019">
        <v>1</v>
      </c>
      <c r="F3019">
        <v>952</v>
      </c>
      <c r="G3019">
        <v>157.69999999999999</v>
      </c>
      <c r="H3019">
        <v>2024</v>
      </c>
      <c r="I3019" t="s">
        <v>20</v>
      </c>
      <c r="J3019" s="4">
        <v>0.16565126050420201</v>
      </c>
      <c r="K3019" t="s">
        <v>41</v>
      </c>
      <c r="L3019" t="s">
        <v>59</v>
      </c>
      <c r="M3019">
        <v>5</v>
      </c>
      <c r="N3019" t="s">
        <v>20</v>
      </c>
    </row>
    <row r="3020" spans="1:14" x14ac:dyDescent="0.3">
      <c r="A3020" s="1">
        <v>45403</v>
      </c>
      <c r="B3020" t="s">
        <v>36</v>
      </c>
      <c r="C3020" t="s">
        <v>33</v>
      </c>
      <c r="D3020" t="s">
        <v>22</v>
      </c>
      <c r="E3020">
        <v>3</v>
      </c>
      <c r="F3020">
        <v>3051</v>
      </c>
      <c r="G3020">
        <v>662.23</v>
      </c>
      <c r="H3020">
        <v>2024</v>
      </c>
      <c r="I3020" t="s">
        <v>23</v>
      </c>
      <c r="J3020" s="4">
        <v>0.21705342510652201</v>
      </c>
      <c r="K3020" t="s">
        <v>41</v>
      </c>
      <c r="L3020" t="s">
        <v>59</v>
      </c>
      <c r="M3020">
        <v>4</v>
      </c>
      <c r="N3020" t="s">
        <v>62</v>
      </c>
    </row>
    <row r="3021" spans="1:14" x14ac:dyDescent="0.3">
      <c r="A3021" s="1">
        <v>45611</v>
      </c>
      <c r="B3021" t="s">
        <v>36</v>
      </c>
      <c r="C3021" t="s">
        <v>33</v>
      </c>
      <c r="D3021" t="s">
        <v>17</v>
      </c>
      <c r="E3021">
        <v>5</v>
      </c>
      <c r="F3021">
        <v>3875</v>
      </c>
      <c r="G3021">
        <v>768.74</v>
      </c>
      <c r="H3021">
        <v>2024</v>
      </c>
      <c r="I3021" t="s">
        <v>18</v>
      </c>
      <c r="J3021" s="4">
        <v>0.19838451612903199</v>
      </c>
      <c r="K3021" t="s">
        <v>41</v>
      </c>
      <c r="L3021" t="s">
        <v>52</v>
      </c>
      <c r="M3021">
        <v>11</v>
      </c>
      <c r="N3021" t="s">
        <v>58</v>
      </c>
    </row>
    <row r="3022" spans="1:14" x14ac:dyDescent="0.3">
      <c r="A3022" s="1">
        <v>45592</v>
      </c>
      <c r="B3022" t="s">
        <v>36</v>
      </c>
      <c r="C3022" t="s">
        <v>33</v>
      </c>
      <c r="D3022" t="s">
        <v>12</v>
      </c>
      <c r="E3022">
        <v>2</v>
      </c>
      <c r="F3022">
        <v>366</v>
      </c>
      <c r="G3022">
        <v>31.23</v>
      </c>
      <c r="H3022">
        <v>2024</v>
      </c>
      <c r="I3022" t="s">
        <v>14</v>
      </c>
      <c r="J3022" s="4">
        <v>8.5327868852458993E-2</v>
      </c>
      <c r="K3022" t="s">
        <v>41</v>
      </c>
      <c r="L3022" t="s">
        <v>52</v>
      </c>
      <c r="M3022">
        <v>10</v>
      </c>
      <c r="N3022" t="s">
        <v>54</v>
      </c>
    </row>
    <row r="3023" spans="1:14" x14ac:dyDescent="0.3">
      <c r="A3023" s="1">
        <v>45394</v>
      </c>
      <c r="B3023" t="s">
        <v>36</v>
      </c>
      <c r="C3023" t="s">
        <v>33</v>
      </c>
      <c r="D3023" t="s">
        <v>22</v>
      </c>
      <c r="E3023">
        <v>1</v>
      </c>
      <c r="F3023">
        <v>213</v>
      </c>
      <c r="G3023">
        <v>42.94</v>
      </c>
      <c r="H3023">
        <v>2024</v>
      </c>
      <c r="I3023" t="s">
        <v>23</v>
      </c>
      <c r="J3023" s="4">
        <v>0.20159624413145499</v>
      </c>
      <c r="K3023" t="s">
        <v>41</v>
      </c>
      <c r="L3023" t="s">
        <v>59</v>
      </c>
      <c r="M3023">
        <v>4</v>
      </c>
      <c r="N3023" t="s">
        <v>62</v>
      </c>
    </row>
    <row r="3024" spans="1:14" x14ac:dyDescent="0.3">
      <c r="A3024" s="1">
        <v>45463</v>
      </c>
      <c r="B3024" t="s">
        <v>36</v>
      </c>
      <c r="C3024" t="s">
        <v>33</v>
      </c>
      <c r="D3024" t="s">
        <v>17</v>
      </c>
      <c r="E3024">
        <v>4</v>
      </c>
      <c r="F3024">
        <v>3792</v>
      </c>
      <c r="G3024">
        <v>1092.8499999999999</v>
      </c>
      <c r="H3024">
        <v>2024</v>
      </c>
      <c r="I3024" t="s">
        <v>27</v>
      </c>
      <c r="J3024" s="4">
        <v>0.28819883966244703</v>
      </c>
      <c r="K3024" t="s">
        <v>41</v>
      </c>
      <c r="L3024" t="s">
        <v>59</v>
      </c>
      <c r="M3024">
        <v>6</v>
      </c>
      <c r="N3024" t="s">
        <v>66</v>
      </c>
    </row>
    <row r="3025" spans="1:14" x14ac:dyDescent="0.3">
      <c r="A3025" s="1">
        <v>45421</v>
      </c>
      <c r="B3025" t="s">
        <v>36</v>
      </c>
      <c r="C3025" t="s">
        <v>33</v>
      </c>
      <c r="D3025" t="s">
        <v>17</v>
      </c>
      <c r="E3025">
        <v>6</v>
      </c>
      <c r="F3025">
        <v>1704</v>
      </c>
      <c r="G3025">
        <v>199.94</v>
      </c>
      <c r="H3025">
        <v>2024</v>
      </c>
      <c r="I3025" t="s">
        <v>20</v>
      </c>
      <c r="J3025" s="4">
        <v>0.117335680751174</v>
      </c>
      <c r="K3025" t="s">
        <v>41</v>
      </c>
      <c r="L3025" t="s">
        <v>59</v>
      </c>
      <c r="M3025">
        <v>5</v>
      </c>
      <c r="N3025" t="s">
        <v>20</v>
      </c>
    </row>
    <row r="3026" spans="1:14" x14ac:dyDescent="0.3">
      <c r="A3026" s="1">
        <v>45414</v>
      </c>
      <c r="B3026" t="s">
        <v>36</v>
      </c>
      <c r="C3026" t="s">
        <v>33</v>
      </c>
      <c r="D3026" t="s">
        <v>17</v>
      </c>
      <c r="E3026">
        <v>6</v>
      </c>
      <c r="F3026">
        <v>3954</v>
      </c>
      <c r="G3026">
        <v>676.82</v>
      </c>
      <c r="H3026">
        <v>2024</v>
      </c>
      <c r="I3026" t="s">
        <v>20</v>
      </c>
      <c r="J3026" s="4">
        <v>0.17117349519474001</v>
      </c>
      <c r="K3026" t="s">
        <v>41</v>
      </c>
      <c r="L3026" t="s">
        <v>59</v>
      </c>
      <c r="M3026">
        <v>5</v>
      </c>
      <c r="N3026" t="s">
        <v>20</v>
      </c>
    </row>
    <row r="3027" spans="1:14" x14ac:dyDescent="0.3">
      <c r="A3027" s="1">
        <v>45504</v>
      </c>
      <c r="B3027" t="s">
        <v>36</v>
      </c>
      <c r="C3027" t="s">
        <v>33</v>
      </c>
      <c r="D3027" t="s">
        <v>12</v>
      </c>
      <c r="E3027">
        <v>2</v>
      </c>
      <c r="F3027">
        <v>1390</v>
      </c>
      <c r="G3027">
        <v>316.31</v>
      </c>
      <c r="H3027">
        <v>2024</v>
      </c>
      <c r="I3027" t="s">
        <v>25</v>
      </c>
      <c r="J3027" s="4">
        <v>0.22756115107913699</v>
      </c>
      <c r="K3027" t="s">
        <v>41</v>
      </c>
      <c r="L3027" t="s">
        <v>60</v>
      </c>
      <c r="M3027">
        <v>7</v>
      </c>
      <c r="N3027" t="s">
        <v>64</v>
      </c>
    </row>
    <row r="3028" spans="1:14" x14ac:dyDescent="0.3">
      <c r="A3028" s="1">
        <v>45460</v>
      </c>
      <c r="B3028" t="s">
        <v>36</v>
      </c>
      <c r="C3028" t="s">
        <v>33</v>
      </c>
      <c r="D3028" t="s">
        <v>22</v>
      </c>
      <c r="E3028">
        <v>9</v>
      </c>
      <c r="F3028">
        <v>1188</v>
      </c>
      <c r="G3028">
        <v>348.31</v>
      </c>
      <c r="H3028">
        <v>2024</v>
      </c>
      <c r="I3028" t="s">
        <v>27</v>
      </c>
      <c r="J3028" s="4">
        <v>0.293190235690236</v>
      </c>
      <c r="K3028" t="s">
        <v>41</v>
      </c>
      <c r="L3028" t="s">
        <v>59</v>
      </c>
      <c r="M3028">
        <v>6</v>
      </c>
      <c r="N3028" t="s">
        <v>66</v>
      </c>
    </row>
    <row r="3029" spans="1:14" x14ac:dyDescent="0.3">
      <c r="A3029" s="1">
        <v>45647</v>
      </c>
      <c r="B3029" t="s">
        <v>36</v>
      </c>
      <c r="C3029" t="s">
        <v>33</v>
      </c>
      <c r="D3029" t="s">
        <v>17</v>
      </c>
      <c r="E3029">
        <v>9</v>
      </c>
      <c r="F3029">
        <v>6696</v>
      </c>
      <c r="G3029">
        <v>1224.22</v>
      </c>
      <c r="H3029">
        <v>2024</v>
      </c>
      <c r="I3029" t="s">
        <v>13</v>
      </c>
      <c r="J3029" s="4">
        <v>0.182828554360812</v>
      </c>
      <c r="K3029" t="s">
        <v>41</v>
      </c>
      <c r="L3029" t="s">
        <v>52</v>
      </c>
      <c r="M3029">
        <v>12</v>
      </c>
      <c r="N3029" t="s">
        <v>53</v>
      </c>
    </row>
    <row r="3030" spans="1:14" x14ac:dyDescent="0.3">
      <c r="A3030" s="1">
        <v>45408</v>
      </c>
      <c r="B3030" t="s">
        <v>36</v>
      </c>
      <c r="C3030" t="s">
        <v>33</v>
      </c>
      <c r="D3030" t="s">
        <v>17</v>
      </c>
      <c r="E3030">
        <v>2</v>
      </c>
      <c r="F3030">
        <v>488</v>
      </c>
      <c r="G3030">
        <v>129.02000000000001</v>
      </c>
      <c r="H3030">
        <v>2024</v>
      </c>
      <c r="I3030" t="s">
        <v>23</v>
      </c>
      <c r="J3030" s="4">
        <v>0.26438524590163898</v>
      </c>
      <c r="K3030" t="s">
        <v>41</v>
      </c>
      <c r="L3030" t="s">
        <v>59</v>
      </c>
      <c r="M3030">
        <v>4</v>
      </c>
      <c r="N3030" t="s">
        <v>62</v>
      </c>
    </row>
    <row r="3031" spans="1:14" x14ac:dyDescent="0.3">
      <c r="A3031" s="1">
        <v>45605</v>
      </c>
      <c r="B3031" t="s">
        <v>36</v>
      </c>
      <c r="C3031" t="s">
        <v>33</v>
      </c>
      <c r="D3031" t="s">
        <v>17</v>
      </c>
      <c r="E3031">
        <v>7</v>
      </c>
      <c r="F3031">
        <v>3675</v>
      </c>
      <c r="G3031">
        <v>236.8</v>
      </c>
      <c r="H3031">
        <v>2024</v>
      </c>
      <c r="I3031" t="s">
        <v>18</v>
      </c>
      <c r="J3031" s="4">
        <v>6.4435374149659899E-2</v>
      </c>
      <c r="K3031" t="s">
        <v>41</v>
      </c>
      <c r="L3031" t="s">
        <v>52</v>
      </c>
      <c r="M3031">
        <v>11</v>
      </c>
      <c r="N3031" t="s">
        <v>58</v>
      </c>
    </row>
    <row r="3032" spans="1:14" x14ac:dyDescent="0.3">
      <c r="A3032" s="1">
        <v>45650</v>
      </c>
      <c r="B3032" t="s">
        <v>36</v>
      </c>
      <c r="C3032" t="s">
        <v>33</v>
      </c>
      <c r="D3032" t="s">
        <v>12</v>
      </c>
      <c r="E3032">
        <v>5</v>
      </c>
      <c r="F3032">
        <v>2945</v>
      </c>
      <c r="G3032">
        <v>672.35</v>
      </c>
      <c r="H3032">
        <v>2024</v>
      </c>
      <c r="I3032" t="s">
        <v>13</v>
      </c>
      <c r="J3032" s="4">
        <v>0.22830220713072999</v>
      </c>
      <c r="K3032" t="s">
        <v>41</v>
      </c>
      <c r="L3032" t="s">
        <v>52</v>
      </c>
      <c r="M3032">
        <v>12</v>
      </c>
      <c r="N3032" t="s">
        <v>53</v>
      </c>
    </row>
    <row r="3033" spans="1:14" x14ac:dyDescent="0.3">
      <c r="A3033" s="1">
        <v>45301</v>
      </c>
      <c r="B3033" t="s">
        <v>36</v>
      </c>
      <c r="C3033" t="s">
        <v>33</v>
      </c>
      <c r="D3033" t="s">
        <v>22</v>
      </c>
      <c r="E3033">
        <v>4</v>
      </c>
      <c r="F3033">
        <v>2360</v>
      </c>
      <c r="G3033">
        <v>391.82</v>
      </c>
      <c r="H3033">
        <v>2024</v>
      </c>
      <c r="I3033" t="s">
        <v>26</v>
      </c>
      <c r="J3033" s="4">
        <v>0.16602542372881399</v>
      </c>
      <c r="K3033" t="s">
        <v>41</v>
      </c>
      <c r="L3033" t="s">
        <v>55</v>
      </c>
      <c r="M3033">
        <v>1</v>
      </c>
      <c r="N3033" t="s">
        <v>65</v>
      </c>
    </row>
    <row r="3034" spans="1:14" x14ac:dyDescent="0.3">
      <c r="A3034" s="1">
        <v>45429</v>
      </c>
      <c r="B3034" t="s">
        <v>36</v>
      </c>
      <c r="C3034" t="s">
        <v>33</v>
      </c>
      <c r="D3034" t="s">
        <v>22</v>
      </c>
      <c r="E3034">
        <v>3</v>
      </c>
      <c r="F3034">
        <v>1827</v>
      </c>
      <c r="G3034">
        <v>94.4</v>
      </c>
      <c r="H3034">
        <v>2024</v>
      </c>
      <c r="I3034" t="s">
        <v>20</v>
      </c>
      <c r="J3034" s="4">
        <v>5.1669403393541299E-2</v>
      </c>
      <c r="K3034" t="s">
        <v>41</v>
      </c>
      <c r="L3034" t="s">
        <v>59</v>
      </c>
      <c r="M3034">
        <v>5</v>
      </c>
      <c r="N3034" t="s">
        <v>20</v>
      </c>
    </row>
    <row r="3035" spans="1:14" x14ac:dyDescent="0.3">
      <c r="A3035" s="1">
        <v>45357</v>
      </c>
      <c r="B3035" t="s">
        <v>36</v>
      </c>
      <c r="C3035" t="s">
        <v>33</v>
      </c>
      <c r="D3035" t="s">
        <v>17</v>
      </c>
      <c r="E3035">
        <v>9</v>
      </c>
      <c r="F3035">
        <v>3096</v>
      </c>
      <c r="G3035">
        <v>362.89</v>
      </c>
      <c r="H3035">
        <v>2024</v>
      </c>
      <c r="I3035" t="s">
        <v>15</v>
      </c>
      <c r="J3035" s="4">
        <v>0.117212532299742</v>
      </c>
      <c r="K3035" t="s">
        <v>41</v>
      </c>
      <c r="L3035" t="s">
        <v>55</v>
      </c>
      <c r="M3035">
        <v>3</v>
      </c>
      <c r="N3035" t="s">
        <v>56</v>
      </c>
    </row>
    <row r="3036" spans="1:14" x14ac:dyDescent="0.3">
      <c r="A3036" s="1">
        <v>45414</v>
      </c>
      <c r="B3036" t="s">
        <v>36</v>
      </c>
      <c r="C3036" t="s">
        <v>33</v>
      </c>
      <c r="D3036" t="s">
        <v>22</v>
      </c>
      <c r="E3036">
        <v>5</v>
      </c>
      <c r="F3036">
        <v>3490</v>
      </c>
      <c r="G3036">
        <v>205.04</v>
      </c>
      <c r="H3036">
        <v>2024</v>
      </c>
      <c r="I3036" t="s">
        <v>20</v>
      </c>
      <c r="J3036" s="4">
        <v>5.8750716332378203E-2</v>
      </c>
      <c r="K3036" t="s">
        <v>41</v>
      </c>
      <c r="L3036" t="s">
        <v>59</v>
      </c>
      <c r="M3036">
        <v>5</v>
      </c>
      <c r="N3036" t="s">
        <v>20</v>
      </c>
    </row>
    <row r="3037" spans="1:14" x14ac:dyDescent="0.3">
      <c r="A3037" s="1">
        <v>45623</v>
      </c>
      <c r="B3037" t="s">
        <v>36</v>
      </c>
      <c r="C3037" t="s">
        <v>33</v>
      </c>
      <c r="D3037" t="s">
        <v>17</v>
      </c>
      <c r="E3037">
        <v>2</v>
      </c>
      <c r="F3037">
        <v>340</v>
      </c>
      <c r="G3037">
        <v>39.119999999999997</v>
      </c>
      <c r="H3037">
        <v>2024</v>
      </c>
      <c r="I3037" t="s">
        <v>18</v>
      </c>
      <c r="J3037" s="4">
        <v>0.115058823529412</v>
      </c>
      <c r="K3037" t="s">
        <v>41</v>
      </c>
      <c r="L3037" t="s">
        <v>52</v>
      </c>
      <c r="M3037">
        <v>11</v>
      </c>
      <c r="N3037" t="s">
        <v>58</v>
      </c>
    </row>
    <row r="3038" spans="1:14" x14ac:dyDescent="0.3">
      <c r="A3038" s="1">
        <v>45454</v>
      </c>
      <c r="B3038" t="s">
        <v>36</v>
      </c>
      <c r="C3038" t="s">
        <v>33</v>
      </c>
      <c r="D3038" t="s">
        <v>12</v>
      </c>
      <c r="E3038">
        <v>2</v>
      </c>
      <c r="F3038">
        <v>760</v>
      </c>
      <c r="G3038">
        <v>192.42</v>
      </c>
      <c r="H3038">
        <v>2024</v>
      </c>
      <c r="I3038" t="s">
        <v>27</v>
      </c>
      <c r="J3038" s="4">
        <v>0.25318421052631601</v>
      </c>
      <c r="K3038" t="s">
        <v>41</v>
      </c>
      <c r="L3038" t="s">
        <v>59</v>
      </c>
      <c r="M3038">
        <v>6</v>
      </c>
      <c r="N3038" t="s">
        <v>66</v>
      </c>
    </row>
    <row r="3039" spans="1:14" x14ac:dyDescent="0.3">
      <c r="A3039" s="1">
        <v>45547</v>
      </c>
      <c r="B3039" t="s">
        <v>36</v>
      </c>
      <c r="C3039" t="s">
        <v>33</v>
      </c>
      <c r="D3039" t="s">
        <v>22</v>
      </c>
      <c r="E3039">
        <v>4</v>
      </c>
      <c r="F3039">
        <v>4324</v>
      </c>
      <c r="G3039">
        <v>288.12</v>
      </c>
      <c r="H3039">
        <v>2024</v>
      </c>
      <c r="I3039" t="s">
        <v>21</v>
      </c>
      <c r="J3039" s="4">
        <v>6.6632747456059196E-2</v>
      </c>
      <c r="K3039" t="s">
        <v>41</v>
      </c>
      <c r="L3039" t="s">
        <v>60</v>
      </c>
      <c r="M3039">
        <v>9</v>
      </c>
      <c r="N3039" t="s">
        <v>61</v>
      </c>
    </row>
    <row r="3040" spans="1:14" x14ac:dyDescent="0.3">
      <c r="A3040" s="1">
        <v>45533</v>
      </c>
      <c r="B3040" t="s">
        <v>36</v>
      </c>
      <c r="C3040" t="s">
        <v>33</v>
      </c>
      <c r="D3040" t="s">
        <v>12</v>
      </c>
      <c r="E3040">
        <v>9</v>
      </c>
      <c r="F3040">
        <v>6633</v>
      </c>
      <c r="G3040">
        <v>1239.1099999999999</v>
      </c>
      <c r="H3040">
        <v>2024</v>
      </c>
      <c r="I3040" t="s">
        <v>24</v>
      </c>
      <c r="J3040" s="4">
        <v>0.18680988994421799</v>
      </c>
      <c r="K3040" t="s">
        <v>41</v>
      </c>
      <c r="L3040" t="s">
        <v>60</v>
      </c>
      <c r="M3040">
        <v>8</v>
      </c>
      <c r="N3040" t="s">
        <v>63</v>
      </c>
    </row>
    <row r="3041" spans="1:14" x14ac:dyDescent="0.3">
      <c r="A3041" s="1">
        <v>45319</v>
      </c>
      <c r="B3041" t="s">
        <v>36</v>
      </c>
      <c r="C3041" t="s">
        <v>33</v>
      </c>
      <c r="D3041" t="s">
        <v>22</v>
      </c>
      <c r="E3041">
        <v>8</v>
      </c>
      <c r="F3041">
        <v>2152</v>
      </c>
      <c r="G3041">
        <v>196.53</v>
      </c>
      <c r="H3041">
        <v>2024</v>
      </c>
      <c r="I3041" t="s">
        <v>26</v>
      </c>
      <c r="J3041" s="4">
        <v>9.1324349442379202E-2</v>
      </c>
      <c r="K3041" t="s">
        <v>41</v>
      </c>
      <c r="L3041" t="s">
        <v>55</v>
      </c>
      <c r="M3041">
        <v>1</v>
      </c>
      <c r="N3041" t="s">
        <v>65</v>
      </c>
    </row>
    <row r="3042" spans="1:14" x14ac:dyDescent="0.3">
      <c r="A3042" s="1">
        <v>45340</v>
      </c>
      <c r="B3042" t="s">
        <v>36</v>
      </c>
      <c r="C3042" t="s">
        <v>33</v>
      </c>
      <c r="D3042" t="s">
        <v>17</v>
      </c>
      <c r="E3042">
        <v>1</v>
      </c>
      <c r="F3042">
        <v>199</v>
      </c>
      <c r="G3042">
        <v>48.92</v>
      </c>
      <c r="H3042">
        <v>2024</v>
      </c>
      <c r="I3042" t="s">
        <v>16</v>
      </c>
      <c r="J3042" s="4">
        <v>0.24582914572864301</v>
      </c>
      <c r="K3042" t="s">
        <v>41</v>
      </c>
      <c r="L3042" t="s">
        <v>55</v>
      </c>
      <c r="M3042">
        <v>2</v>
      </c>
      <c r="N3042" t="s">
        <v>57</v>
      </c>
    </row>
    <row r="3043" spans="1:14" x14ac:dyDescent="0.3">
      <c r="A3043" s="1">
        <v>45308</v>
      </c>
      <c r="B3043" t="s">
        <v>36</v>
      </c>
      <c r="C3043" t="s">
        <v>33</v>
      </c>
      <c r="D3043" t="s">
        <v>19</v>
      </c>
      <c r="E3043">
        <v>9</v>
      </c>
      <c r="F3043">
        <v>4302</v>
      </c>
      <c r="G3043">
        <v>344.64</v>
      </c>
      <c r="H3043">
        <v>2024</v>
      </c>
      <c r="I3043" t="s">
        <v>26</v>
      </c>
      <c r="J3043" s="4">
        <v>8.0111576011157606E-2</v>
      </c>
      <c r="K3043" t="s">
        <v>41</v>
      </c>
      <c r="L3043" t="s">
        <v>55</v>
      </c>
      <c r="M3043">
        <v>1</v>
      </c>
      <c r="N3043" t="s">
        <v>65</v>
      </c>
    </row>
    <row r="3044" spans="1:14" x14ac:dyDescent="0.3">
      <c r="A3044" s="1">
        <v>45652</v>
      </c>
      <c r="B3044" t="s">
        <v>36</v>
      </c>
      <c r="C3044" t="s">
        <v>33</v>
      </c>
      <c r="D3044" t="s">
        <v>12</v>
      </c>
      <c r="E3044">
        <v>6</v>
      </c>
      <c r="F3044">
        <v>3828</v>
      </c>
      <c r="G3044">
        <v>1102.8599999999999</v>
      </c>
      <c r="H3044">
        <v>2024</v>
      </c>
      <c r="I3044" t="s">
        <v>13</v>
      </c>
      <c r="J3044" s="4">
        <v>0.28810344827586198</v>
      </c>
      <c r="K3044" t="s">
        <v>41</v>
      </c>
      <c r="L3044" t="s">
        <v>52</v>
      </c>
      <c r="M3044">
        <v>12</v>
      </c>
      <c r="N3044" t="s">
        <v>53</v>
      </c>
    </row>
    <row r="3045" spans="1:14" x14ac:dyDescent="0.3">
      <c r="A3045" s="1">
        <v>45500</v>
      </c>
      <c r="B3045" t="s">
        <v>36</v>
      </c>
      <c r="C3045" t="s">
        <v>33</v>
      </c>
      <c r="D3045" t="s">
        <v>19</v>
      </c>
      <c r="E3045">
        <v>8</v>
      </c>
      <c r="F3045">
        <v>2256</v>
      </c>
      <c r="G3045">
        <v>468.52</v>
      </c>
      <c r="H3045">
        <v>2024</v>
      </c>
      <c r="I3045" t="s">
        <v>25</v>
      </c>
      <c r="J3045" s="4">
        <v>0.20767730496453901</v>
      </c>
      <c r="K3045" t="s">
        <v>41</v>
      </c>
      <c r="L3045" t="s">
        <v>60</v>
      </c>
      <c r="M3045">
        <v>7</v>
      </c>
      <c r="N3045" t="s">
        <v>64</v>
      </c>
    </row>
    <row r="3046" spans="1:14" x14ac:dyDescent="0.3">
      <c r="A3046" s="1">
        <v>45388</v>
      </c>
      <c r="B3046" t="s">
        <v>36</v>
      </c>
      <c r="C3046" t="s">
        <v>33</v>
      </c>
      <c r="D3046" t="s">
        <v>12</v>
      </c>
      <c r="E3046">
        <v>3</v>
      </c>
      <c r="F3046">
        <v>2211</v>
      </c>
      <c r="G3046">
        <v>292.31</v>
      </c>
      <c r="H3046">
        <v>2024</v>
      </c>
      <c r="I3046" t="s">
        <v>23</v>
      </c>
      <c r="J3046" s="4">
        <v>0.132207146087743</v>
      </c>
      <c r="K3046" t="s">
        <v>41</v>
      </c>
      <c r="L3046" t="s">
        <v>59</v>
      </c>
      <c r="M3046">
        <v>4</v>
      </c>
      <c r="N3046" t="s">
        <v>62</v>
      </c>
    </row>
    <row r="3047" spans="1:14" x14ac:dyDescent="0.3">
      <c r="A3047" s="1">
        <v>45404</v>
      </c>
      <c r="B3047" t="s">
        <v>36</v>
      </c>
      <c r="C3047" t="s">
        <v>33</v>
      </c>
      <c r="D3047" t="s">
        <v>22</v>
      </c>
      <c r="E3047">
        <v>7</v>
      </c>
      <c r="F3047">
        <v>1547</v>
      </c>
      <c r="G3047">
        <v>152.59</v>
      </c>
      <c r="H3047">
        <v>2024</v>
      </c>
      <c r="I3047" t="s">
        <v>23</v>
      </c>
      <c r="J3047" s="4">
        <v>9.8636069812540403E-2</v>
      </c>
      <c r="K3047" t="s">
        <v>41</v>
      </c>
      <c r="L3047" t="s">
        <v>59</v>
      </c>
      <c r="M3047">
        <v>4</v>
      </c>
      <c r="N3047" t="s">
        <v>62</v>
      </c>
    </row>
    <row r="3048" spans="1:14" x14ac:dyDescent="0.3">
      <c r="A3048" s="1">
        <v>45535</v>
      </c>
      <c r="B3048" t="s">
        <v>36</v>
      </c>
      <c r="C3048" t="s">
        <v>33</v>
      </c>
      <c r="D3048" t="s">
        <v>17</v>
      </c>
      <c r="E3048">
        <v>8</v>
      </c>
      <c r="F3048">
        <v>2872</v>
      </c>
      <c r="G3048">
        <v>483.94</v>
      </c>
      <c r="H3048">
        <v>2024</v>
      </c>
      <c r="I3048" t="s">
        <v>24</v>
      </c>
      <c r="J3048" s="4">
        <v>0.16850278551532</v>
      </c>
      <c r="K3048" t="s">
        <v>41</v>
      </c>
      <c r="L3048" t="s">
        <v>60</v>
      </c>
      <c r="M3048">
        <v>8</v>
      </c>
      <c r="N3048" t="s">
        <v>63</v>
      </c>
    </row>
    <row r="3049" spans="1:14" x14ac:dyDescent="0.3">
      <c r="A3049" s="1">
        <v>45456</v>
      </c>
      <c r="B3049" t="s">
        <v>36</v>
      </c>
      <c r="C3049" t="s">
        <v>33</v>
      </c>
      <c r="D3049" t="s">
        <v>17</v>
      </c>
      <c r="E3049">
        <v>1</v>
      </c>
      <c r="F3049">
        <v>579</v>
      </c>
      <c r="G3049">
        <v>133.57</v>
      </c>
      <c r="H3049">
        <v>2024</v>
      </c>
      <c r="I3049" t="s">
        <v>27</v>
      </c>
      <c r="J3049" s="4">
        <v>0.230690846286701</v>
      </c>
      <c r="K3049" t="s">
        <v>41</v>
      </c>
      <c r="L3049" t="s">
        <v>59</v>
      </c>
      <c r="M3049">
        <v>6</v>
      </c>
      <c r="N3049" t="s">
        <v>66</v>
      </c>
    </row>
    <row r="3050" spans="1:14" x14ac:dyDescent="0.3">
      <c r="A3050" s="1">
        <v>45473</v>
      </c>
      <c r="B3050" t="s">
        <v>36</v>
      </c>
      <c r="C3050" t="s">
        <v>33</v>
      </c>
      <c r="D3050" t="s">
        <v>12</v>
      </c>
      <c r="E3050">
        <v>7</v>
      </c>
      <c r="F3050">
        <v>7833</v>
      </c>
      <c r="G3050">
        <v>1843.94</v>
      </c>
      <c r="H3050">
        <v>2024</v>
      </c>
      <c r="I3050" t="s">
        <v>27</v>
      </c>
      <c r="J3050" s="4">
        <v>0.23540661304736399</v>
      </c>
      <c r="K3050" t="s">
        <v>41</v>
      </c>
      <c r="L3050" t="s">
        <v>59</v>
      </c>
      <c r="M3050">
        <v>6</v>
      </c>
      <c r="N3050" t="s">
        <v>66</v>
      </c>
    </row>
    <row r="3051" spans="1:14" x14ac:dyDescent="0.3">
      <c r="A3051" s="1">
        <v>45365</v>
      </c>
      <c r="B3051" t="s">
        <v>36</v>
      </c>
      <c r="C3051" t="s">
        <v>33</v>
      </c>
      <c r="D3051" t="s">
        <v>17</v>
      </c>
      <c r="E3051">
        <v>4</v>
      </c>
      <c r="F3051">
        <v>3648</v>
      </c>
      <c r="G3051">
        <v>768.61</v>
      </c>
      <c r="H3051">
        <v>2024</v>
      </c>
      <c r="I3051" t="s">
        <v>15</v>
      </c>
      <c r="J3051" s="4">
        <v>0.21069353070175401</v>
      </c>
      <c r="K3051" t="s">
        <v>41</v>
      </c>
      <c r="L3051" t="s">
        <v>55</v>
      </c>
      <c r="M3051">
        <v>3</v>
      </c>
      <c r="N3051" t="s">
        <v>56</v>
      </c>
    </row>
    <row r="3052" spans="1:14" x14ac:dyDescent="0.3">
      <c r="A3052" s="1">
        <v>45397</v>
      </c>
      <c r="B3052" t="s">
        <v>36</v>
      </c>
      <c r="C3052" t="s">
        <v>33</v>
      </c>
      <c r="D3052" t="s">
        <v>19</v>
      </c>
      <c r="E3052">
        <v>4</v>
      </c>
      <c r="F3052">
        <v>1928</v>
      </c>
      <c r="G3052">
        <v>232.48</v>
      </c>
      <c r="H3052">
        <v>2024</v>
      </c>
      <c r="I3052" t="s">
        <v>23</v>
      </c>
      <c r="J3052" s="4">
        <v>0.120580912863071</v>
      </c>
      <c r="K3052" t="s">
        <v>41</v>
      </c>
      <c r="L3052" t="s">
        <v>59</v>
      </c>
      <c r="M3052">
        <v>4</v>
      </c>
      <c r="N3052" t="s">
        <v>62</v>
      </c>
    </row>
    <row r="3053" spans="1:14" x14ac:dyDescent="0.3">
      <c r="A3053" s="1">
        <v>45331</v>
      </c>
      <c r="B3053" t="s">
        <v>36</v>
      </c>
      <c r="C3053" t="s">
        <v>33</v>
      </c>
      <c r="D3053" t="s">
        <v>17</v>
      </c>
      <c r="E3053">
        <v>1</v>
      </c>
      <c r="F3053">
        <v>404</v>
      </c>
      <c r="G3053">
        <v>84.4</v>
      </c>
      <c r="H3053">
        <v>2024</v>
      </c>
      <c r="I3053" t="s">
        <v>16</v>
      </c>
      <c r="J3053" s="4">
        <v>0.20891089108910901</v>
      </c>
      <c r="K3053" t="s">
        <v>41</v>
      </c>
      <c r="L3053" t="s">
        <v>55</v>
      </c>
      <c r="M3053">
        <v>2</v>
      </c>
      <c r="N3053" t="s">
        <v>57</v>
      </c>
    </row>
    <row r="3054" spans="1:14" x14ac:dyDescent="0.3">
      <c r="A3054" s="1">
        <v>45567</v>
      </c>
      <c r="B3054" t="s">
        <v>36</v>
      </c>
      <c r="C3054" t="s">
        <v>33</v>
      </c>
      <c r="D3054" t="s">
        <v>22</v>
      </c>
      <c r="E3054">
        <v>1</v>
      </c>
      <c r="F3054">
        <v>436</v>
      </c>
      <c r="G3054">
        <v>73.89</v>
      </c>
      <c r="H3054">
        <v>2024</v>
      </c>
      <c r="I3054" t="s">
        <v>14</v>
      </c>
      <c r="J3054" s="4">
        <v>0.16947247706422</v>
      </c>
      <c r="K3054" t="s">
        <v>41</v>
      </c>
      <c r="L3054" t="s">
        <v>52</v>
      </c>
      <c r="M3054">
        <v>10</v>
      </c>
      <c r="N3054" t="s">
        <v>54</v>
      </c>
    </row>
    <row r="3055" spans="1:14" x14ac:dyDescent="0.3">
      <c r="A3055" s="1">
        <v>45414</v>
      </c>
      <c r="B3055" t="s">
        <v>36</v>
      </c>
      <c r="C3055" t="s">
        <v>33</v>
      </c>
      <c r="D3055" t="s">
        <v>12</v>
      </c>
      <c r="E3055">
        <v>5</v>
      </c>
      <c r="F3055">
        <v>1245</v>
      </c>
      <c r="G3055">
        <v>345.84</v>
      </c>
      <c r="H3055">
        <v>2024</v>
      </c>
      <c r="I3055" t="s">
        <v>20</v>
      </c>
      <c r="J3055" s="4">
        <v>0.27778313253011999</v>
      </c>
      <c r="K3055" t="s">
        <v>41</v>
      </c>
      <c r="L3055" t="s">
        <v>59</v>
      </c>
      <c r="M3055">
        <v>5</v>
      </c>
      <c r="N3055" t="s">
        <v>20</v>
      </c>
    </row>
    <row r="3056" spans="1:14" x14ac:dyDescent="0.3">
      <c r="A3056" s="1">
        <v>45587</v>
      </c>
      <c r="B3056" t="s">
        <v>36</v>
      </c>
      <c r="C3056" t="s">
        <v>33</v>
      </c>
      <c r="D3056" t="s">
        <v>12</v>
      </c>
      <c r="E3056">
        <v>5</v>
      </c>
      <c r="F3056">
        <v>4375</v>
      </c>
      <c r="G3056">
        <v>987.96</v>
      </c>
      <c r="H3056">
        <v>2024</v>
      </c>
      <c r="I3056" t="s">
        <v>14</v>
      </c>
      <c r="J3056" s="4">
        <v>0.225819428571429</v>
      </c>
      <c r="K3056" t="s">
        <v>41</v>
      </c>
      <c r="L3056" t="s">
        <v>52</v>
      </c>
      <c r="M3056">
        <v>10</v>
      </c>
      <c r="N3056" t="s">
        <v>54</v>
      </c>
    </row>
    <row r="3057" spans="1:14" x14ac:dyDescent="0.3">
      <c r="A3057" s="1">
        <v>45505</v>
      </c>
      <c r="B3057" t="s">
        <v>36</v>
      </c>
      <c r="C3057" t="s">
        <v>33</v>
      </c>
      <c r="D3057" t="s">
        <v>19</v>
      </c>
      <c r="E3057">
        <v>6</v>
      </c>
      <c r="F3057">
        <v>4938</v>
      </c>
      <c r="G3057">
        <v>847.89</v>
      </c>
      <c r="H3057">
        <v>2024</v>
      </c>
      <c r="I3057" t="s">
        <v>24</v>
      </c>
      <c r="J3057" s="4">
        <v>0.171707168894289</v>
      </c>
      <c r="K3057" t="s">
        <v>41</v>
      </c>
      <c r="L3057" t="s">
        <v>60</v>
      </c>
      <c r="M3057">
        <v>8</v>
      </c>
      <c r="N3057" t="s">
        <v>63</v>
      </c>
    </row>
    <row r="3058" spans="1:14" x14ac:dyDescent="0.3">
      <c r="A3058" s="1">
        <v>45482</v>
      </c>
      <c r="B3058" t="s">
        <v>36</v>
      </c>
      <c r="C3058" t="s">
        <v>33</v>
      </c>
      <c r="D3058" t="s">
        <v>12</v>
      </c>
      <c r="E3058">
        <v>3</v>
      </c>
      <c r="F3058">
        <v>1986</v>
      </c>
      <c r="G3058">
        <v>361.33</v>
      </c>
      <c r="H3058">
        <v>2024</v>
      </c>
      <c r="I3058" t="s">
        <v>25</v>
      </c>
      <c r="J3058" s="4">
        <v>0.18193856998992999</v>
      </c>
      <c r="K3058" t="s">
        <v>41</v>
      </c>
      <c r="L3058" t="s">
        <v>60</v>
      </c>
      <c r="M3058">
        <v>7</v>
      </c>
      <c r="N3058" t="s">
        <v>64</v>
      </c>
    </row>
    <row r="3059" spans="1:14" x14ac:dyDescent="0.3">
      <c r="A3059" s="1">
        <v>45330</v>
      </c>
      <c r="B3059" t="s">
        <v>36</v>
      </c>
      <c r="C3059" t="s">
        <v>33</v>
      </c>
      <c r="D3059" t="s">
        <v>17</v>
      </c>
      <c r="E3059">
        <v>3</v>
      </c>
      <c r="F3059">
        <v>456</v>
      </c>
      <c r="G3059">
        <v>61.42</v>
      </c>
      <c r="H3059">
        <v>2024</v>
      </c>
      <c r="I3059" t="s">
        <v>16</v>
      </c>
      <c r="J3059" s="4">
        <v>0.13469298245614</v>
      </c>
      <c r="K3059" t="s">
        <v>41</v>
      </c>
      <c r="L3059" t="s">
        <v>55</v>
      </c>
      <c r="M3059">
        <v>2</v>
      </c>
      <c r="N3059" t="s">
        <v>57</v>
      </c>
    </row>
    <row r="3060" spans="1:14" x14ac:dyDescent="0.3">
      <c r="A3060" s="1">
        <v>45611</v>
      </c>
      <c r="B3060" t="s">
        <v>36</v>
      </c>
      <c r="C3060" t="s">
        <v>33</v>
      </c>
      <c r="D3060" t="s">
        <v>17</v>
      </c>
      <c r="E3060">
        <v>2</v>
      </c>
      <c r="F3060">
        <v>1984</v>
      </c>
      <c r="G3060">
        <v>125.13</v>
      </c>
      <c r="H3060">
        <v>2024</v>
      </c>
      <c r="I3060" t="s">
        <v>18</v>
      </c>
      <c r="J3060" s="4">
        <v>6.3069556451612899E-2</v>
      </c>
      <c r="K3060" t="s">
        <v>41</v>
      </c>
      <c r="L3060" t="s">
        <v>52</v>
      </c>
      <c r="M3060">
        <v>11</v>
      </c>
      <c r="N3060" t="s">
        <v>58</v>
      </c>
    </row>
    <row r="3061" spans="1:14" x14ac:dyDescent="0.3">
      <c r="A3061" s="1">
        <v>45622</v>
      </c>
      <c r="B3061" t="s">
        <v>36</v>
      </c>
      <c r="C3061" t="s">
        <v>33</v>
      </c>
      <c r="D3061" t="s">
        <v>22</v>
      </c>
      <c r="E3061">
        <v>9</v>
      </c>
      <c r="F3061">
        <v>3033</v>
      </c>
      <c r="G3061">
        <v>177.92</v>
      </c>
      <c r="H3061">
        <v>2024</v>
      </c>
      <c r="I3061" t="s">
        <v>18</v>
      </c>
      <c r="J3061" s="4">
        <v>5.8661391361688103E-2</v>
      </c>
      <c r="K3061" t="s">
        <v>41</v>
      </c>
      <c r="L3061" t="s">
        <v>52</v>
      </c>
      <c r="M3061">
        <v>11</v>
      </c>
      <c r="N3061" t="s">
        <v>58</v>
      </c>
    </row>
    <row r="3062" spans="1:14" x14ac:dyDescent="0.3">
      <c r="A3062" s="1">
        <v>45560</v>
      </c>
      <c r="B3062" t="s">
        <v>36</v>
      </c>
      <c r="C3062" t="s">
        <v>33</v>
      </c>
      <c r="D3062" t="s">
        <v>12</v>
      </c>
      <c r="E3062">
        <v>4</v>
      </c>
      <c r="F3062">
        <v>408</v>
      </c>
      <c r="G3062">
        <v>45.2</v>
      </c>
      <c r="H3062">
        <v>2024</v>
      </c>
      <c r="I3062" t="s">
        <v>21</v>
      </c>
      <c r="J3062" s="4">
        <v>0.11078431372549</v>
      </c>
      <c r="K3062" t="s">
        <v>41</v>
      </c>
      <c r="L3062" t="s">
        <v>60</v>
      </c>
      <c r="M3062">
        <v>9</v>
      </c>
      <c r="N3062" t="s">
        <v>61</v>
      </c>
    </row>
    <row r="3063" spans="1:14" x14ac:dyDescent="0.3">
      <c r="A3063" s="1">
        <v>45436</v>
      </c>
      <c r="B3063" t="s">
        <v>36</v>
      </c>
      <c r="C3063" t="s">
        <v>33</v>
      </c>
      <c r="D3063" t="s">
        <v>19</v>
      </c>
      <c r="E3063">
        <v>7</v>
      </c>
      <c r="F3063">
        <v>4648</v>
      </c>
      <c r="G3063">
        <v>1240.98</v>
      </c>
      <c r="H3063">
        <v>2024</v>
      </c>
      <c r="I3063" t="s">
        <v>20</v>
      </c>
      <c r="J3063" s="4">
        <v>0.26699225473321903</v>
      </c>
      <c r="K3063" t="s">
        <v>41</v>
      </c>
      <c r="L3063" t="s">
        <v>59</v>
      </c>
      <c r="M3063">
        <v>5</v>
      </c>
      <c r="N3063" t="s">
        <v>20</v>
      </c>
    </row>
    <row r="3064" spans="1:14" x14ac:dyDescent="0.3">
      <c r="A3064" s="1">
        <v>45448</v>
      </c>
      <c r="B3064" t="s">
        <v>36</v>
      </c>
      <c r="C3064" t="s">
        <v>33</v>
      </c>
      <c r="D3064" t="s">
        <v>19</v>
      </c>
      <c r="E3064">
        <v>4</v>
      </c>
      <c r="F3064">
        <v>1060</v>
      </c>
      <c r="G3064">
        <v>260.20999999999998</v>
      </c>
      <c r="H3064">
        <v>2024</v>
      </c>
      <c r="I3064" t="s">
        <v>27</v>
      </c>
      <c r="J3064" s="4">
        <v>0.24548113207547201</v>
      </c>
      <c r="K3064" t="s">
        <v>41</v>
      </c>
      <c r="L3064" t="s">
        <v>59</v>
      </c>
      <c r="M3064">
        <v>6</v>
      </c>
      <c r="N3064" t="s">
        <v>66</v>
      </c>
    </row>
    <row r="3065" spans="1:14" x14ac:dyDescent="0.3">
      <c r="A3065" s="1">
        <v>45641</v>
      </c>
      <c r="B3065" t="s">
        <v>36</v>
      </c>
      <c r="C3065" t="s">
        <v>33</v>
      </c>
      <c r="D3065" t="s">
        <v>19</v>
      </c>
      <c r="E3065">
        <v>3</v>
      </c>
      <c r="F3065">
        <v>2580</v>
      </c>
      <c r="G3065">
        <v>448.02</v>
      </c>
      <c r="H3065">
        <v>2024</v>
      </c>
      <c r="I3065" t="s">
        <v>13</v>
      </c>
      <c r="J3065" s="4">
        <v>0.173651162790698</v>
      </c>
      <c r="K3065" t="s">
        <v>41</v>
      </c>
      <c r="L3065" t="s">
        <v>52</v>
      </c>
      <c r="M3065">
        <v>12</v>
      </c>
      <c r="N3065" t="s">
        <v>53</v>
      </c>
    </row>
    <row r="3066" spans="1:14" x14ac:dyDescent="0.3">
      <c r="A3066" s="1">
        <v>45500</v>
      </c>
      <c r="B3066" t="s">
        <v>36</v>
      </c>
      <c r="C3066" t="s">
        <v>33</v>
      </c>
      <c r="D3066" t="s">
        <v>19</v>
      </c>
      <c r="E3066">
        <v>7</v>
      </c>
      <c r="F3066">
        <v>637</v>
      </c>
      <c r="G3066">
        <v>87.86</v>
      </c>
      <c r="H3066">
        <v>2024</v>
      </c>
      <c r="I3066" t="s">
        <v>25</v>
      </c>
      <c r="J3066" s="4">
        <v>0.137927786499215</v>
      </c>
      <c r="K3066" t="s">
        <v>41</v>
      </c>
      <c r="L3066" t="s">
        <v>60</v>
      </c>
      <c r="M3066">
        <v>7</v>
      </c>
      <c r="N3066" t="s">
        <v>64</v>
      </c>
    </row>
    <row r="3067" spans="1:14" x14ac:dyDescent="0.3">
      <c r="A3067" s="1">
        <v>45473</v>
      </c>
      <c r="B3067" t="s">
        <v>36</v>
      </c>
      <c r="C3067" t="s">
        <v>33</v>
      </c>
      <c r="D3067" t="s">
        <v>12</v>
      </c>
      <c r="E3067">
        <v>2</v>
      </c>
      <c r="F3067">
        <v>798</v>
      </c>
      <c r="G3067">
        <v>79.25</v>
      </c>
      <c r="H3067">
        <v>2024</v>
      </c>
      <c r="I3067" t="s">
        <v>27</v>
      </c>
      <c r="J3067" s="4">
        <v>9.9310776942355905E-2</v>
      </c>
      <c r="K3067" t="s">
        <v>41</v>
      </c>
      <c r="L3067" t="s">
        <v>59</v>
      </c>
      <c r="M3067">
        <v>6</v>
      </c>
      <c r="N3067" t="s">
        <v>66</v>
      </c>
    </row>
    <row r="3068" spans="1:14" x14ac:dyDescent="0.3">
      <c r="A3068" s="1">
        <v>45637</v>
      </c>
      <c r="B3068" t="s">
        <v>36</v>
      </c>
      <c r="C3068" t="s">
        <v>33</v>
      </c>
      <c r="D3068" t="s">
        <v>12</v>
      </c>
      <c r="E3068">
        <v>9</v>
      </c>
      <c r="F3068">
        <v>4140</v>
      </c>
      <c r="G3068">
        <v>301.12</v>
      </c>
      <c r="H3068">
        <v>2024</v>
      </c>
      <c r="I3068" t="s">
        <v>13</v>
      </c>
      <c r="J3068" s="4">
        <v>7.2734299516908199E-2</v>
      </c>
      <c r="K3068" t="s">
        <v>41</v>
      </c>
      <c r="L3068" t="s">
        <v>52</v>
      </c>
      <c r="M3068">
        <v>12</v>
      </c>
      <c r="N3068" t="s">
        <v>53</v>
      </c>
    </row>
    <row r="3069" spans="1:14" x14ac:dyDescent="0.3">
      <c r="A3069" s="1">
        <v>45501</v>
      </c>
      <c r="B3069" t="s">
        <v>36</v>
      </c>
      <c r="C3069" t="s">
        <v>33</v>
      </c>
      <c r="D3069" t="s">
        <v>19</v>
      </c>
      <c r="E3069">
        <v>8</v>
      </c>
      <c r="F3069">
        <v>2024</v>
      </c>
      <c r="G3069">
        <v>203.11</v>
      </c>
      <c r="H3069">
        <v>2024</v>
      </c>
      <c r="I3069" t="s">
        <v>25</v>
      </c>
      <c r="J3069" s="4">
        <v>0.100350790513834</v>
      </c>
      <c r="K3069" t="s">
        <v>41</v>
      </c>
      <c r="L3069" t="s">
        <v>60</v>
      </c>
      <c r="M3069">
        <v>7</v>
      </c>
      <c r="N3069" t="s">
        <v>64</v>
      </c>
    </row>
    <row r="3070" spans="1:14" x14ac:dyDescent="0.3">
      <c r="A3070" s="1">
        <v>45436</v>
      </c>
      <c r="B3070" t="s">
        <v>36</v>
      </c>
      <c r="C3070" t="s">
        <v>33</v>
      </c>
      <c r="D3070" t="s">
        <v>22</v>
      </c>
      <c r="E3070">
        <v>1</v>
      </c>
      <c r="F3070">
        <v>618</v>
      </c>
      <c r="G3070">
        <v>81.040000000000006</v>
      </c>
      <c r="H3070">
        <v>2024</v>
      </c>
      <c r="I3070" t="s">
        <v>20</v>
      </c>
      <c r="J3070" s="4">
        <v>0.131132686084142</v>
      </c>
      <c r="K3070" t="s">
        <v>41</v>
      </c>
      <c r="L3070" t="s">
        <v>59</v>
      </c>
      <c r="M3070">
        <v>5</v>
      </c>
      <c r="N3070" t="s">
        <v>20</v>
      </c>
    </row>
    <row r="3071" spans="1:14" x14ac:dyDescent="0.3">
      <c r="A3071" s="1">
        <v>45427</v>
      </c>
      <c r="B3071" t="s">
        <v>36</v>
      </c>
      <c r="C3071" t="s">
        <v>33</v>
      </c>
      <c r="D3071" t="s">
        <v>22</v>
      </c>
      <c r="E3071">
        <v>4</v>
      </c>
      <c r="F3071">
        <v>2536</v>
      </c>
      <c r="G3071">
        <v>495.13</v>
      </c>
      <c r="H3071">
        <v>2024</v>
      </c>
      <c r="I3071" t="s">
        <v>20</v>
      </c>
      <c r="J3071" s="4">
        <v>0.19524053627760299</v>
      </c>
      <c r="K3071" t="s">
        <v>41</v>
      </c>
      <c r="L3071" t="s">
        <v>59</v>
      </c>
      <c r="M3071">
        <v>5</v>
      </c>
      <c r="N3071" t="s">
        <v>20</v>
      </c>
    </row>
    <row r="3072" spans="1:14" x14ac:dyDescent="0.3">
      <c r="A3072" s="1">
        <v>45386</v>
      </c>
      <c r="B3072" t="s">
        <v>36</v>
      </c>
      <c r="C3072" t="s">
        <v>33</v>
      </c>
      <c r="D3072" t="s">
        <v>17</v>
      </c>
      <c r="E3072">
        <v>9</v>
      </c>
      <c r="F3072">
        <v>7596</v>
      </c>
      <c r="G3072">
        <v>1454.15</v>
      </c>
      <c r="H3072">
        <v>2024</v>
      </c>
      <c r="I3072" t="s">
        <v>23</v>
      </c>
      <c r="J3072" s="4">
        <v>0.19143628225381801</v>
      </c>
      <c r="K3072" t="s">
        <v>41</v>
      </c>
      <c r="L3072" t="s">
        <v>59</v>
      </c>
      <c r="M3072">
        <v>4</v>
      </c>
      <c r="N3072" t="s">
        <v>62</v>
      </c>
    </row>
    <row r="3073" spans="1:14" x14ac:dyDescent="0.3">
      <c r="A3073" s="1">
        <v>45358</v>
      </c>
      <c r="B3073" t="s">
        <v>36</v>
      </c>
      <c r="C3073" t="s">
        <v>33</v>
      </c>
      <c r="D3073" t="s">
        <v>17</v>
      </c>
      <c r="E3073">
        <v>1</v>
      </c>
      <c r="F3073">
        <v>104</v>
      </c>
      <c r="G3073">
        <v>26.86</v>
      </c>
      <c r="H3073">
        <v>2024</v>
      </c>
      <c r="I3073" t="s">
        <v>15</v>
      </c>
      <c r="J3073" s="4">
        <v>0.25826923076923097</v>
      </c>
      <c r="K3073" t="s">
        <v>41</v>
      </c>
      <c r="L3073" t="s">
        <v>55</v>
      </c>
      <c r="M3073">
        <v>3</v>
      </c>
      <c r="N3073" t="s">
        <v>56</v>
      </c>
    </row>
    <row r="3074" spans="1:14" x14ac:dyDescent="0.3">
      <c r="A3074" s="1">
        <v>45323</v>
      </c>
      <c r="B3074" t="s">
        <v>36</v>
      </c>
      <c r="C3074" t="s">
        <v>33</v>
      </c>
      <c r="D3074" t="s">
        <v>19</v>
      </c>
      <c r="E3074">
        <v>6</v>
      </c>
      <c r="F3074">
        <v>5292</v>
      </c>
      <c r="G3074">
        <v>659.58</v>
      </c>
      <c r="H3074">
        <v>2024</v>
      </c>
      <c r="I3074" t="s">
        <v>16</v>
      </c>
      <c r="J3074" s="4">
        <v>0.12463718820861699</v>
      </c>
      <c r="K3074" t="s">
        <v>41</v>
      </c>
      <c r="L3074" t="s">
        <v>55</v>
      </c>
      <c r="M3074">
        <v>2</v>
      </c>
      <c r="N3074" t="s">
        <v>57</v>
      </c>
    </row>
    <row r="3075" spans="1:14" x14ac:dyDescent="0.3">
      <c r="A3075" s="1">
        <v>45440</v>
      </c>
      <c r="B3075" t="s">
        <v>36</v>
      </c>
      <c r="C3075" t="s">
        <v>33</v>
      </c>
      <c r="D3075" t="s">
        <v>17</v>
      </c>
      <c r="E3075">
        <v>3</v>
      </c>
      <c r="F3075">
        <v>1347</v>
      </c>
      <c r="G3075">
        <v>196.59</v>
      </c>
      <c r="H3075">
        <v>2024</v>
      </c>
      <c r="I3075" t="s">
        <v>20</v>
      </c>
      <c r="J3075" s="4">
        <v>0.14594654788418701</v>
      </c>
      <c r="K3075" t="s">
        <v>41</v>
      </c>
      <c r="L3075" t="s">
        <v>59</v>
      </c>
      <c r="M3075">
        <v>5</v>
      </c>
      <c r="N3075" t="s">
        <v>20</v>
      </c>
    </row>
    <row r="3076" spans="1:14" x14ac:dyDescent="0.3">
      <c r="A3076" s="1">
        <v>45474</v>
      </c>
      <c r="B3076" t="s">
        <v>36</v>
      </c>
      <c r="C3076" t="s">
        <v>33</v>
      </c>
      <c r="D3076" t="s">
        <v>17</v>
      </c>
      <c r="E3076">
        <v>8</v>
      </c>
      <c r="F3076">
        <v>1600</v>
      </c>
      <c r="G3076">
        <v>305.3</v>
      </c>
      <c r="H3076">
        <v>2024</v>
      </c>
      <c r="I3076" t="s">
        <v>25</v>
      </c>
      <c r="J3076" s="4">
        <v>0.1908125</v>
      </c>
      <c r="K3076" t="s">
        <v>41</v>
      </c>
      <c r="L3076" t="s">
        <v>60</v>
      </c>
      <c r="M3076">
        <v>7</v>
      </c>
      <c r="N3076" t="s">
        <v>64</v>
      </c>
    </row>
    <row r="3077" spans="1:14" x14ac:dyDescent="0.3">
      <c r="A3077" s="1">
        <v>45382</v>
      </c>
      <c r="B3077" t="s">
        <v>36</v>
      </c>
      <c r="C3077" t="s">
        <v>33</v>
      </c>
      <c r="D3077" t="s">
        <v>22</v>
      </c>
      <c r="E3077">
        <v>8</v>
      </c>
      <c r="F3077">
        <v>7104</v>
      </c>
      <c r="G3077">
        <v>529.35</v>
      </c>
      <c r="H3077">
        <v>2024</v>
      </c>
      <c r="I3077" t="s">
        <v>15</v>
      </c>
      <c r="J3077" s="4">
        <v>7.4514358108108095E-2</v>
      </c>
      <c r="K3077" t="s">
        <v>41</v>
      </c>
      <c r="L3077" t="s">
        <v>55</v>
      </c>
      <c r="M3077">
        <v>3</v>
      </c>
      <c r="N3077" t="s">
        <v>56</v>
      </c>
    </row>
    <row r="3078" spans="1:14" x14ac:dyDescent="0.3">
      <c r="A3078" s="1">
        <v>45543</v>
      </c>
      <c r="B3078" t="s">
        <v>36</v>
      </c>
      <c r="C3078" t="s">
        <v>33</v>
      </c>
      <c r="D3078" t="s">
        <v>12</v>
      </c>
      <c r="E3078">
        <v>3</v>
      </c>
      <c r="F3078">
        <v>2043</v>
      </c>
      <c r="G3078">
        <v>479.9</v>
      </c>
      <c r="H3078">
        <v>2024</v>
      </c>
      <c r="I3078" t="s">
        <v>21</v>
      </c>
      <c r="J3078" s="4">
        <v>0.234899657366618</v>
      </c>
      <c r="K3078" t="s">
        <v>41</v>
      </c>
      <c r="L3078" t="s">
        <v>60</v>
      </c>
      <c r="M3078">
        <v>9</v>
      </c>
      <c r="N3078" t="s">
        <v>61</v>
      </c>
    </row>
    <row r="3079" spans="1:14" x14ac:dyDescent="0.3">
      <c r="A3079" s="1">
        <v>45591</v>
      </c>
      <c r="B3079" t="s">
        <v>36</v>
      </c>
      <c r="C3079" t="s">
        <v>33</v>
      </c>
      <c r="D3079" t="s">
        <v>17</v>
      </c>
      <c r="E3079">
        <v>6</v>
      </c>
      <c r="F3079">
        <v>3438</v>
      </c>
      <c r="G3079">
        <v>631.95000000000005</v>
      </c>
      <c r="H3079">
        <v>2024</v>
      </c>
      <c r="I3079" t="s">
        <v>14</v>
      </c>
      <c r="J3079" s="4">
        <v>0.183813263525305</v>
      </c>
      <c r="K3079" t="s">
        <v>41</v>
      </c>
      <c r="L3079" t="s">
        <v>52</v>
      </c>
      <c r="M3079">
        <v>10</v>
      </c>
      <c r="N3079" t="s">
        <v>54</v>
      </c>
    </row>
    <row r="3080" spans="1:14" x14ac:dyDescent="0.3">
      <c r="A3080" s="1">
        <v>45367</v>
      </c>
      <c r="B3080" t="s">
        <v>36</v>
      </c>
      <c r="C3080" t="s">
        <v>33</v>
      </c>
      <c r="D3080" t="s">
        <v>22</v>
      </c>
      <c r="E3080">
        <v>8</v>
      </c>
      <c r="F3080">
        <v>9416</v>
      </c>
      <c r="G3080">
        <v>2125.54</v>
      </c>
      <c r="H3080">
        <v>2024</v>
      </c>
      <c r="I3080" t="s">
        <v>15</v>
      </c>
      <c r="J3080" s="4">
        <v>0.22573704333050101</v>
      </c>
      <c r="K3080" t="s">
        <v>41</v>
      </c>
      <c r="L3080" t="s">
        <v>55</v>
      </c>
      <c r="M3080">
        <v>3</v>
      </c>
      <c r="N3080" t="s">
        <v>56</v>
      </c>
    </row>
    <row r="3081" spans="1:14" x14ac:dyDescent="0.3">
      <c r="A3081" s="1">
        <v>45530</v>
      </c>
      <c r="B3081" t="s">
        <v>36</v>
      </c>
      <c r="C3081" t="s">
        <v>33</v>
      </c>
      <c r="D3081" t="s">
        <v>19</v>
      </c>
      <c r="E3081">
        <v>1</v>
      </c>
      <c r="F3081">
        <v>545</v>
      </c>
      <c r="G3081">
        <v>68.28</v>
      </c>
      <c r="H3081">
        <v>2024</v>
      </c>
      <c r="I3081" t="s">
        <v>24</v>
      </c>
      <c r="J3081" s="4">
        <v>0.12528440366972499</v>
      </c>
      <c r="K3081" t="s">
        <v>41</v>
      </c>
      <c r="L3081" t="s">
        <v>60</v>
      </c>
      <c r="M3081">
        <v>8</v>
      </c>
      <c r="N3081" t="s">
        <v>63</v>
      </c>
    </row>
    <row r="3082" spans="1:14" x14ac:dyDescent="0.3">
      <c r="A3082" s="1">
        <v>45351</v>
      </c>
      <c r="B3082" t="s">
        <v>36</v>
      </c>
      <c r="C3082" t="s">
        <v>33</v>
      </c>
      <c r="D3082" t="s">
        <v>22</v>
      </c>
      <c r="E3082">
        <v>1</v>
      </c>
      <c r="F3082">
        <v>975</v>
      </c>
      <c r="G3082">
        <v>125.85</v>
      </c>
      <c r="H3082">
        <v>2024</v>
      </c>
      <c r="I3082" t="s">
        <v>16</v>
      </c>
      <c r="J3082" s="4">
        <v>0.12907692307692301</v>
      </c>
      <c r="K3082" t="s">
        <v>41</v>
      </c>
      <c r="L3082" t="s">
        <v>55</v>
      </c>
      <c r="M3082">
        <v>2</v>
      </c>
      <c r="N3082" t="s">
        <v>57</v>
      </c>
    </row>
    <row r="3083" spans="1:14" x14ac:dyDescent="0.3">
      <c r="A3083" s="1">
        <v>45431</v>
      </c>
      <c r="B3083" t="s">
        <v>36</v>
      </c>
      <c r="C3083" t="s">
        <v>33</v>
      </c>
      <c r="D3083" t="s">
        <v>19</v>
      </c>
      <c r="E3083">
        <v>8</v>
      </c>
      <c r="F3083">
        <v>5632</v>
      </c>
      <c r="G3083">
        <v>1620.04</v>
      </c>
      <c r="H3083">
        <v>2024</v>
      </c>
      <c r="I3083" t="s">
        <v>20</v>
      </c>
      <c r="J3083" s="4">
        <v>0.28764914772727301</v>
      </c>
      <c r="K3083" t="s">
        <v>41</v>
      </c>
      <c r="L3083" t="s">
        <v>59</v>
      </c>
      <c r="M3083">
        <v>5</v>
      </c>
      <c r="N3083" t="s">
        <v>20</v>
      </c>
    </row>
    <row r="3084" spans="1:14" x14ac:dyDescent="0.3">
      <c r="A3084" s="1">
        <v>45511</v>
      </c>
      <c r="B3084" t="s">
        <v>36</v>
      </c>
      <c r="C3084" t="s">
        <v>33</v>
      </c>
      <c r="D3084" t="s">
        <v>17</v>
      </c>
      <c r="E3084">
        <v>8</v>
      </c>
      <c r="F3084">
        <v>7200</v>
      </c>
      <c r="G3084">
        <v>804.53</v>
      </c>
      <c r="H3084">
        <v>2024</v>
      </c>
      <c r="I3084" t="s">
        <v>24</v>
      </c>
      <c r="J3084" s="4">
        <v>0.11174027777777799</v>
      </c>
      <c r="K3084" t="s">
        <v>41</v>
      </c>
      <c r="L3084" t="s">
        <v>60</v>
      </c>
      <c r="M3084">
        <v>8</v>
      </c>
      <c r="N3084" t="s">
        <v>63</v>
      </c>
    </row>
    <row r="3085" spans="1:14" x14ac:dyDescent="0.3">
      <c r="A3085" s="1">
        <v>45484</v>
      </c>
      <c r="B3085" t="s">
        <v>36</v>
      </c>
      <c r="C3085" t="s">
        <v>33</v>
      </c>
      <c r="D3085" t="s">
        <v>19</v>
      </c>
      <c r="E3085">
        <v>8</v>
      </c>
      <c r="F3085">
        <v>6488</v>
      </c>
      <c r="G3085">
        <v>1438.34</v>
      </c>
      <c r="H3085">
        <v>2024</v>
      </c>
      <c r="I3085" t="s">
        <v>25</v>
      </c>
      <c r="J3085" s="4">
        <v>0.221692355117139</v>
      </c>
      <c r="K3085" t="s">
        <v>41</v>
      </c>
      <c r="L3085" t="s">
        <v>60</v>
      </c>
      <c r="M3085">
        <v>7</v>
      </c>
      <c r="N3085" t="s">
        <v>64</v>
      </c>
    </row>
    <row r="3086" spans="1:14" x14ac:dyDescent="0.3">
      <c r="A3086" s="1">
        <v>45563</v>
      </c>
      <c r="B3086" t="s">
        <v>36</v>
      </c>
      <c r="C3086" t="s">
        <v>33</v>
      </c>
      <c r="D3086" t="s">
        <v>19</v>
      </c>
      <c r="E3086">
        <v>1</v>
      </c>
      <c r="F3086">
        <v>359</v>
      </c>
      <c r="G3086">
        <v>78.17</v>
      </c>
      <c r="H3086">
        <v>2024</v>
      </c>
      <c r="I3086" t="s">
        <v>21</v>
      </c>
      <c r="J3086" s="4">
        <v>0.21774373259052901</v>
      </c>
      <c r="K3086" t="s">
        <v>41</v>
      </c>
      <c r="L3086" t="s">
        <v>60</v>
      </c>
      <c r="M3086">
        <v>9</v>
      </c>
      <c r="N3086" t="s">
        <v>61</v>
      </c>
    </row>
    <row r="3087" spans="1:14" x14ac:dyDescent="0.3">
      <c r="A3087" s="1">
        <v>45377</v>
      </c>
      <c r="B3087" t="s">
        <v>36</v>
      </c>
      <c r="C3087" t="s">
        <v>33</v>
      </c>
      <c r="D3087" t="s">
        <v>12</v>
      </c>
      <c r="E3087">
        <v>5</v>
      </c>
      <c r="F3087">
        <v>1765</v>
      </c>
      <c r="G3087">
        <v>160.88999999999999</v>
      </c>
      <c r="H3087">
        <v>2024</v>
      </c>
      <c r="I3087" t="s">
        <v>15</v>
      </c>
      <c r="J3087" s="4">
        <v>9.1155807365439101E-2</v>
      </c>
      <c r="K3087" t="s">
        <v>41</v>
      </c>
      <c r="L3087" t="s">
        <v>55</v>
      </c>
      <c r="M3087">
        <v>3</v>
      </c>
      <c r="N3087" t="s">
        <v>56</v>
      </c>
    </row>
    <row r="3088" spans="1:14" x14ac:dyDescent="0.3">
      <c r="A3088" s="1">
        <v>45595</v>
      </c>
      <c r="B3088" t="s">
        <v>36</v>
      </c>
      <c r="C3088" t="s">
        <v>33</v>
      </c>
      <c r="D3088" t="s">
        <v>19</v>
      </c>
      <c r="E3088">
        <v>6</v>
      </c>
      <c r="F3088">
        <v>1170</v>
      </c>
      <c r="G3088">
        <v>104.63</v>
      </c>
      <c r="H3088">
        <v>2024</v>
      </c>
      <c r="I3088" t="s">
        <v>14</v>
      </c>
      <c r="J3088" s="4">
        <v>8.9427350427350394E-2</v>
      </c>
      <c r="K3088" t="s">
        <v>41</v>
      </c>
      <c r="L3088" t="s">
        <v>52</v>
      </c>
      <c r="M3088">
        <v>10</v>
      </c>
      <c r="N3088" t="s">
        <v>54</v>
      </c>
    </row>
    <row r="3089" spans="1:14" x14ac:dyDescent="0.3">
      <c r="A3089" s="1">
        <v>45467</v>
      </c>
      <c r="B3089" t="s">
        <v>36</v>
      </c>
      <c r="C3089" t="s">
        <v>33</v>
      </c>
      <c r="D3089" t="s">
        <v>12</v>
      </c>
      <c r="E3089">
        <v>7</v>
      </c>
      <c r="F3089">
        <v>2989</v>
      </c>
      <c r="G3089">
        <v>197.58</v>
      </c>
      <c r="H3089">
        <v>2024</v>
      </c>
      <c r="I3089" t="s">
        <v>27</v>
      </c>
      <c r="J3089" s="4">
        <v>6.6102375376380099E-2</v>
      </c>
      <c r="K3089" t="s">
        <v>41</v>
      </c>
      <c r="L3089" t="s">
        <v>59</v>
      </c>
      <c r="M3089">
        <v>6</v>
      </c>
      <c r="N3089" t="s">
        <v>66</v>
      </c>
    </row>
    <row r="3090" spans="1:14" x14ac:dyDescent="0.3">
      <c r="A3090" s="1">
        <v>45430</v>
      </c>
      <c r="B3090" t="s">
        <v>36</v>
      </c>
      <c r="C3090" t="s">
        <v>33</v>
      </c>
      <c r="D3090" t="s">
        <v>22</v>
      </c>
      <c r="E3090">
        <v>8</v>
      </c>
      <c r="F3090">
        <v>5976</v>
      </c>
      <c r="G3090">
        <v>1016.99</v>
      </c>
      <c r="H3090">
        <v>2024</v>
      </c>
      <c r="I3090" t="s">
        <v>20</v>
      </c>
      <c r="J3090" s="4">
        <v>0.17017904953145899</v>
      </c>
      <c r="K3090" t="s">
        <v>41</v>
      </c>
      <c r="L3090" t="s">
        <v>59</v>
      </c>
      <c r="M3090">
        <v>5</v>
      </c>
      <c r="N3090" t="s">
        <v>20</v>
      </c>
    </row>
    <row r="3091" spans="1:14" x14ac:dyDescent="0.3">
      <c r="A3091" s="1">
        <v>45393</v>
      </c>
      <c r="B3091" t="s">
        <v>36</v>
      </c>
      <c r="C3091" t="s">
        <v>33</v>
      </c>
      <c r="D3091" t="s">
        <v>22</v>
      </c>
      <c r="E3091">
        <v>4</v>
      </c>
      <c r="F3091">
        <v>1064</v>
      </c>
      <c r="G3091">
        <v>274.47000000000003</v>
      </c>
      <c r="H3091">
        <v>2024</v>
      </c>
      <c r="I3091" t="s">
        <v>23</v>
      </c>
      <c r="J3091" s="4">
        <v>0.25796052631578897</v>
      </c>
      <c r="K3091" t="s">
        <v>41</v>
      </c>
      <c r="L3091" t="s">
        <v>59</v>
      </c>
      <c r="M3091">
        <v>4</v>
      </c>
      <c r="N3091" t="s">
        <v>62</v>
      </c>
    </row>
    <row r="3092" spans="1:14" x14ac:dyDescent="0.3">
      <c r="A3092" s="1">
        <v>45632</v>
      </c>
      <c r="B3092" t="s">
        <v>36</v>
      </c>
      <c r="C3092" t="s">
        <v>33</v>
      </c>
      <c r="D3092" t="s">
        <v>19</v>
      </c>
      <c r="E3092">
        <v>5</v>
      </c>
      <c r="F3092">
        <v>3505</v>
      </c>
      <c r="G3092">
        <v>678.18</v>
      </c>
      <c r="H3092">
        <v>2024</v>
      </c>
      <c r="I3092" t="s">
        <v>13</v>
      </c>
      <c r="J3092" s="4">
        <v>0.19348930099857301</v>
      </c>
      <c r="K3092" t="s">
        <v>41</v>
      </c>
      <c r="L3092" t="s">
        <v>52</v>
      </c>
      <c r="M3092">
        <v>12</v>
      </c>
      <c r="N3092" t="s">
        <v>53</v>
      </c>
    </row>
    <row r="3093" spans="1:14" x14ac:dyDescent="0.3">
      <c r="A3093" s="1">
        <v>45438</v>
      </c>
      <c r="B3093" t="s">
        <v>36</v>
      </c>
      <c r="C3093" t="s">
        <v>33</v>
      </c>
      <c r="D3093" t="s">
        <v>19</v>
      </c>
      <c r="E3093">
        <v>5</v>
      </c>
      <c r="F3093">
        <v>4795</v>
      </c>
      <c r="G3093">
        <v>819.12</v>
      </c>
      <c r="H3093">
        <v>2024</v>
      </c>
      <c r="I3093" t="s">
        <v>20</v>
      </c>
      <c r="J3093" s="4">
        <v>0.17082794577685101</v>
      </c>
      <c r="K3093" t="s">
        <v>41</v>
      </c>
      <c r="L3093" t="s">
        <v>59</v>
      </c>
      <c r="M3093">
        <v>5</v>
      </c>
      <c r="N3093" t="s">
        <v>20</v>
      </c>
    </row>
    <row r="3094" spans="1:14" x14ac:dyDescent="0.3">
      <c r="A3094" s="1">
        <v>45585</v>
      </c>
      <c r="B3094" t="s">
        <v>36</v>
      </c>
      <c r="C3094" t="s">
        <v>33</v>
      </c>
      <c r="D3094" t="s">
        <v>17</v>
      </c>
      <c r="E3094">
        <v>5</v>
      </c>
      <c r="F3094">
        <v>4590</v>
      </c>
      <c r="G3094">
        <v>650.04999999999995</v>
      </c>
      <c r="H3094">
        <v>2024</v>
      </c>
      <c r="I3094" t="s">
        <v>14</v>
      </c>
      <c r="J3094" s="4">
        <v>0.141623093681917</v>
      </c>
      <c r="K3094" t="s">
        <v>41</v>
      </c>
      <c r="L3094" t="s">
        <v>52</v>
      </c>
      <c r="M3094">
        <v>10</v>
      </c>
      <c r="N3094" t="s">
        <v>54</v>
      </c>
    </row>
    <row r="3095" spans="1:14" x14ac:dyDescent="0.3">
      <c r="A3095" s="1">
        <v>45379</v>
      </c>
      <c r="B3095" t="s">
        <v>36</v>
      </c>
      <c r="C3095" t="s">
        <v>33</v>
      </c>
      <c r="D3095" t="s">
        <v>17</v>
      </c>
      <c r="E3095">
        <v>1</v>
      </c>
      <c r="F3095">
        <v>63</v>
      </c>
      <c r="G3095">
        <v>17.29</v>
      </c>
      <c r="H3095">
        <v>2024</v>
      </c>
      <c r="I3095" t="s">
        <v>15</v>
      </c>
      <c r="J3095" s="4">
        <v>0.27444444444444399</v>
      </c>
      <c r="K3095" t="s">
        <v>41</v>
      </c>
      <c r="L3095" t="s">
        <v>55</v>
      </c>
      <c r="M3095">
        <v>3</v>
      </c>
      <c r="N3095" t="s">
        <v>56</v>
      </c>
    </row>
    <row r="3096" spans="1:14" x14ac:dyDescent="0.3">
      <c r="A3096" s="1">
        <v>45556</v>
      </c>
      <c r="B3096" t="s">
        <v>36</v>
      </c>
      <c r="C3096" t="s">
        <v>33</v>
      </c>
      <c r="D3096" t="s">
        <v>19</v>
      </c>
      <c r="E3096">
        <v>4</v>
      </c>
      <c r="F3096">
        <v>1272</v>
      </c>
      <c r="G3096">
        <v>299.83999999999997</v>
      </c>
      <c r="H3096">
        <v>2024</v>
      </c>
      <c r="I3096" t="s">
        <v>21</v>
      </c>
      <c r="J3096" s="4">
        <v>0.23572327044025199</v>
      </c>
      <c r="K3096" t="s">
        <v>41</v>
      </c>
      <c r="L3096" t="s">
        <v>60</v>
      </c>
      <c r="M3096">
        <v>9</v>
      </c>
      <c r="N3096" t="s">
        <v>61</v>
      </c>
    </row>
    <row r="3097" spans="1:14" x14ac:dyDescent="0.3">
      <c r="A3097" s="1">
        <v>45356</v>
      </c>
      <c r="B3097" t="s">
        <v>36</v>
      </c>
      <c r="C3097" t="s">
        <v>33</v>
      </c>
      <c r="D3097" t="s">
        <v>19</v>
      </c>
      <c r="E3097">
        <v>3</v>
      </c>
      <c r="F3097">
        <v>1464</v>
      </c>
      <c r="G3097">
        <v>264.67</v>
      </c>
      <c r="H3097">
        <v>2024</v>
      </c>
      <c r="I3097" t="s">
        <v>15</v>
      </c>
      <c r="J3097" s="4">
        <v>0.180785519125683</v>
      </c>
      <c r="K3097" t="s">
        <v>41</v>
      </c>
      <c r="L3097" t="s">
        <v>55</v>
      </c>
      <c r="M3097">
        <v>3</v>
      </c>
      <c r="N3097" t="s">
        <v>56</v>
      </c>
    </row>
    <row r="3098" spans="1:14" x14ac:dyDescent="0.3">
      <c r="A3098" s="1">
        <v>45381</v>
      </c>
      <c r="B3098" t="s">
        <v>36</v>
      </c>
      <c r="C3098" t="s">
        <v>33</v>
      </c>
      <c r="D3098" t="s">
        <v>17</v>
      </c>
      <c r="E3098">
        <v>3</v>
      </c>
      <c r="F3098">
        <v>750</v>
      </c>
      <c r="G3098">
        <v>193.86</v>
      </c>
      <c r="H3098">
        <v>2024</v>
      </c>
      <c r="I3098" t="s">
        <v>15</v>
      </c>
      <c r="J3098" s="4">
        <v>0.25847999999999999</v>
      </c>
      <c r="K3098" t="s">
        <v>41</v>
      </c>
      <c r="L3098" t="s">
        <v>55</v>
      </c>
      <c r="M3098">
        <v>3</v>
      </c>
      <c r="N3098" t="s">
        <v>56</v>
      </c>
    </row>
    <row r="3099" spans="1:14" x14ac:dyDescent="0.3">
      <c r="A3099" s="1">
        <v>45353</v>
      </c>
      <c r="B3099" t="s">
        <v>36</v>
      </c>
      <c r="C3099" t="s">
        <v>33</v>
      </c>
      <c r="D3099" t="s">
        <v>19</v>
      </c>
      <c r="E3099">
        <v>7</v>
      </c>
      <c r="F3099">
        <v>2240</v>
      </c>
      <c r="G3099">
        <v>622.29</v>
      </c>
      <c r="H3099">
        <v>2024</v>
      </c>
      <c r="I3099" t="s">
        <v>15</v>
      </c>
      <c r="J3099" s="4">
        <v>0.27780803571428597</v>
      </c>
      <c r="K3099" t="s">
        <v>41</v>
      </c>
      <c r="L3099" t="s">
        <v>55</v>
      </c>
      <c r="M3099">
        <v>3</v>
      </c>
      <c r="N3099" t="s">
        <v>56</v>
      </c>
    </row>
    <row r="3100" spans="1:14" x14ac:dyDescent="0.3">
      <c r="A3100" s="1">
        <v>45317</v>
      </c>
      <c r="B3100" t="s">
        <v>36</v>
      </c>
      <c r="C3100" t="s">
        <v>33</v>
      </c>
      <c r="D3100" t="s">
        <v>17</v>
      </c>
      <c r="E3100">
        <v>7</v>
      </c>
      <c r="F3100">
        <v>2765</v>
      </c>
      <c r="G3100">
        <v>699.86</v>
      </c>
      <c r="H3100">
        <v>2024</v>
      </c>
      <c r="I3100" t="s">
        <v>26</v>
      </c>
      <c r="J3100" s="4">
        <v>0.25311392405063299</v>
      </c>
      <c r="K3100" t="s">
        <v>41</v>
      </c>
      <c r="L3100" t="s">
        <v>55</v>
      </c>
      <c r="M3100">
        <v>1</v>
      </c>
      <c r="N3100" t="s">
        <v>65</v>
      </c>
    </row>
    <row r="3101" spans="1:14" x14ac:dyDescent="0.3">
      <c r="A3101" s="1">
        <v>45393</v>
      </c>
      <c r="B3101" t="s">
        <v>36</v>
      </c>
      <c r="C3101" t="s">
        <v>33</v>
      </c>
      <c r="D3101" t="s">
        <v>17</v>
      </c>
      <c r="E3101">
        <v>9</v>
      </c>
      <c r="F3101">
        <v>5562</v>
      </c>
      <c r="G3101">
        <v>1258.1199999999999</v>
      </c>
      <c r="H3101">
        <v>2024</v>
      </c>
      <c r="I3101" t="s">
        <v>23</v>
      </c>
      <c r="J3101" s="4">
        <v>0.22619920891765599</v>
      </c>
      <c r="K3101" t="s">
        <v>41</v>
      </c>
      <c r="L3101" t="s">
        <v>59</v>
      </c>
      <c r="M3101">
        <v>4</v>
      </c>
      <c r="N3101" t="s">
        <v>62</v>
      </c>
    </row>
    <row r="3102" spans="1:14" x14ac:dyDescent="0.3">
      <c r="A3102" s="1">
        <v>45491</v>
      </c>
      <c r="B3102" t="s">
        <v>36</v>
      </c>
      <c r="C3102" t="s">
        <v>33</v>
      </c>
      <c r="D3102" t="s">
        <v>19</v>
      </c>
      <c r="E3102">
        <v>9</v>
      </c>
      <c r="F3102">
        <v>4977</v>
      </c>
      <c r="G3102">
        <v>745.81</v>
      </c>
      <c r="H3102">
        <v>2024</v>
      </c>
      <c r="I3102" t="s">
        <v>25</v>
      </c>
      <c r="J3102" s="4">
        <v>0.14985131605384799</v>
      </c>
      <c r="K3102" t="s">
        <v>41</v>
      </c>
      <c r="L3102" t="s">
        <v>60</v>
      </c>
      <c r="M3102">
        <v>7</v>
      </c>
      <c r="N3102" t="s">
        <v>64</v>
      </c>
    </row>
    <row r="3103" spans="1:14" x14ac:dyDescent="0.3">
      <c r="A3103" s="1">
        <v>45475</v>
      </c>
      <c r="B3103" t="s">
        <v>36</v>
      </c>
      <c r="C3103" t="s">
        <v>33</v>
      </c>
      <c r="D3103" t="s">
        <v>12</v>
      </c>
      <c r="E3103">
        <v>5</v>
      </c>
      <c r="F3103">
        <v>3105</v>
      </c>
      <c r="G3103">
        <v>744.26</v>
      </c>
      <c r="H3103">
        <v>2024</v>
      </c>
      <c r="I3103" t="s">
        <v>25</v>
      </c>
      <c r="J3103" s="4">
        <v>0.239697262479871</v>
      </c>
      <c r="K3103" t="s">
        <v>41</v>
      </c>
      <c r="L3103" t="s">
        <v>60</v>
      </c>
      <c r="M3103">
        <v>7</v>
      </c>
      <c r="N3103" t="s">
        <v>64</v>
      </c>
    </row>
    <row r="3104" spans="1:14" x14ac:dyDescent="0.3">
      <c r="A3104" s="1">
        <v>45385</v>
      </c>
      <c r="B3104" t="s">
        <v>36</v>
      </c>
      <c r="C3104" t="s">
        <v>33</v>
      </c>
      <c r="D3104" t="s">
        <v>12</v>
      </c>
      <c r="E3104">
        <v>2</v>
      </c>
      <c r="F3104">
        <v>1328</v>
      </c>
      <c r="G3104">
        <v>358.07</v>
      </c>
      <c r="H3104">
        <v>2024</v>
      </c>
      <c r="I3104" t="s">
        <v>23</v>
      </c>
      <c r="J3104" s="4">
        <v>0.26963102409638601</v>
      </c>
      <c r="K3104" t="s">
        <v>41</v>
      </c>
      <c r="L3104" t="s">
        <v>59</v>
      </c>
      <c r="M3104">
        <v>4</v>
      </c>
      <c r="N3104" t="s">
        <v>62</v>
      </c>
    </row>
    <row r="3105" spans="1:14" x14ac:dyDescent="0.3">
      <c r="A3105" s="1">
        <v>45367</v>
      </c>
      <c r="B3105" t="s">
        <v>36</v>
      </c>
      <c r="C3105" t="s">
        <v>33</v>
      </c>
      <c r="D3105" t="s">
        <v>12</v>
      </c>
      <c r="E3105">
        <v>1</v>
      </c>
      <c r="F3105">
        <v>430</v>
      </c>
      <c r="G3105">
        <v>113.57</v>
      </c>
      <c r="H3105">
        <v>2024</v>
      </c>
      <c r="I3105" t="s">
        <v>15</v>
      </c>
      <c r="J3105" s="4">
        <v>0.26411627906976698</v>
      </c>
      <c r="K3105" t="s">
        <v>41</v>
      </c>
      <c r="L3105" t="s">
        <v>55</v>
      </c>
      <c r="M3105">
        <v>3</v>
      </c>
      <c r="N3105" t="s">
        <v>56</v>
      </c>
    </row>
    <row r="3106" spans="1:14" x14ac:dyDescent="0.3">
      <c r="A3106" s="1">
        <v>45413</v>
      </c>
      <c r="B3106" t="s">
        <v>36</v>
      </c>
      <c r="C3106" t="s">
        <v>33</v>
      </c>
      <c r="D3106" t="s">
        <v>19</v>
      </c>
      <c r="E3106">
        <v>8</v>
      </c>
      <c r="F3106">
        <v>8824</v>
      </c>
      <c r="G3106">
        <v>597.1</v>
      </c>
      <c r="H3106">
        <v>2024</v>
      </c>
      <c r="I3106" t="s">
        <v>20</v>
      </c>
      <c r="J3106" s="4">
        <v>6.7667724388032605E-2</v>
      </c>
      <c r="K3106" t="s">
        <v>41</v>
      </c>
      <c r="L3106" t="s">
        <v>59</v>
      </c>
      <c r="M3106">
        <v>5</v>
      </c>
      <c r="N3106" t="s">
        <v>20</v>
      </c>
    </row>
    <row r="3107" spans="1:14" x14ac:dyDescent="0.3">
      <c r="A3107" s="1">
        <v>45424</v>
      </c>
      <c r="B3107" t="s">
        <v>36</v>
      </c>
      <c r="C3107" t="s">
        <v>33</v>
      </c>
      <c r="D3107" t="s">
        <v>19</v>
      </c>
      <c r="E3107">
        <v>3</v>
      </c>
      <c r="F3107">
        <v>1671</v>
      </c>
      <c r="G3107">
        <v>94.52</v>
      </c>
      <c r="H3107">
        <v>2024</v>
      </c>
      <c r="I3107" t="s">
        <v>20</v>
      </c>
      <c r="J3107" s="4">
        <v>5.6564931178934803E-2</v>
      </c>
      <c r="K3107" t="s">
        <v>41</v>
      </c>
      <c r="L3107" t="s">
        <v>59</v>
      </c>
      <c r="M3107">
        <v>5</v>
      </c>
      <c r="N3107" t="s">
        <v>20</v>
      </c>
    </row>
    <row r="3108" spans="1:14" x14ac:dyDescent="0.3">
      <c r="A3108" s="1">
        <v>45501</v>
      </c>
      <c r="B3108" t="s">
        <v>36</v>
      </c>
      <c r="C3108" t="s">
        <v>33</v>
      </c>
      <c r="D3108" t="s">
        <v>19</v>
      </c>
      <c r="E3108">
        <v>3</v>
      </c>
      <c r="F3108">
        <v>2025</v>
      </c>
      <c r="G3108">
        <v>355.59</v>
      </c>
      <c r="H3108">
        <v>2024</v>
      </c>
      <c r="I3108" t="s">
        <v>25</v>
      </c>
      <c r="J3108" s="4">
        <v>0.17560000000000001</v>
      </c>
      <c r="K3108" t="s">
        <v>41</v>
      </c>
      <c r="L3108" t="s">
        <v>60</v>
      </c>
      <c r="M3108">
        <v>7</v>
      </c>
      <c r="N3108" t="s">
        <v>64</v>
      </c>
    </row>
    <row r="3109" spans="1:14" x14ac:dyDescent="0.3">
      <c r="A3109" s="1">
        <v>45539</v>
      </c>
      <c r="B3109" t="s">
        <v>36</v>
      </c>
      <c r="C3109" t="s">
        <v>33</v>
      </c>
      <c r="D3109" t="s">
        <v>22</v>
      </c>
      <c r="E3109">
        <v>8</v>
      </c>
      <c r="F3109">
        <v>1944</v>
      </c>
      <c r="G3109">
        <v>134.94</v>
      </c>
      <c r="H3109">
        <v>2024</v>
      </c>
      <c r="I3109" t="s">
        <v>21</v>
      </c>
      <c r="J3109" s="4">
        <v>6.9413580246913603E-2</v>
      </c>
      <c r="K3109" t="s">
        <v>41</v>
      </c>
      <c r="L3109" t="s">
        <v>60</v>
      </c>
      <c r="M3109">
        <v>9</v>
      </c>
      <c r="N3109" t="s">
        <v>61</v>
      </c>
    </row>
    <row r="3110" spans="1:14" x14ac:dyDescent="0.3">
      <c r="A3110" s="1">
        <v>45320</v>
      </c>
      <c r="B3110" t="s">
        <v>36</v>
      </c>
      <c r="C3110" t="s">
        <v>33</v>
      </c>
      <c r="D3110" t="s">
        <v>12</v>
      </c>
      <c r="E3110">
        <v>5</v>
      </c>
      <c r="F3110">
        <v>5165</v>
      </c>
      <c r="G3110">
        <v>283.60000000000002</v>
      </c>
      <c r="H3110">
        <v>2024</v>
      </c>
      <c r="I3110" t="s">
        <v>26</v>
      </c>
      <c r="J3110" s="4">
        <v>5.4908034849951597E-2</v>
      </c>
      <c r="K3110" t="s">
        <v>41</v>
      </c>
      <c r="L3110" t="s">
        <v>55</v>
      </c>
      <c r="M3110">
        <v>1</v>
      </c>
      <c r="N3110" t="s">
        <v>65</v>
      </c>
    </row>
    <row r="3111" spans="1:14" x14ac:dyDescent="0.3">
      <c r="A3111" s="1">
        <v>45654</v>
      </c>
      <c r="B3111" t="s">
        <v>36</v>
      </c>
      <c r="C3111" t="s">
        <v>33</v>
      </c>
      <c r="D3111" t="s">
        <v>17</v>
      </c>
      <c r="E3111">
        <v>9</v>
      </c>
      <c r="F3111">
        <v>2097</v>
      </c>
      <c r="G3111">
        <v>210.59</v>
      </c>
      <c r="H3111">
        <v>2024</v>
      </c>
      <c r="I3111" t="s">
        <v>13</v>
      </c>
      <c r="J3111" s="4">
        <v>0.100424415832141</v>
      </c>
      <c r="K3111" t="s">
        <v>41</v>
      </c>
      <c r="L3111" t="s">
        <v>52</v>
      </c>
      <c r="M3111">
        <v>12</v>
      </c>
      <c r="N3111" t="s">
        <v>53</v>
      </c>
    </row>
    <row r="3112" spans="1:14" x14ac:dyDescent="0.3">
      <c r="A3112" s="1">
        <v>45616</v>
      </c>
      <c r="B3112" t="s">
        <v>36</v>
      </c>
      <c r="C3112" t="s">
        <v>33</v>
      </c>
      <c r="D3112" t="s">
        <v>17</v>
      </c>
      <c r="E3112">
        <v>4</v>
      </c>
      <c r="F3112">
        <v>4464</v>
      </c>
      <c r="G3112">
        <v>1069.6300000000001</v>
      </c>
      <c r="H3112">
        <v>2024</v>
      </c>
      <c r="I3112" t="s">
        <v>18</v>
      </c>
      <c r="J3112" s="4">
        <v>0.23961245519713301</v>
      </c>
      <c r="K3112" t="s">
        <v>41</v>
      </c>
      <c r="L3112" t="s">
        <v>52</v>
      </c>
      <c r="M3112">
        <v>11</v>
      </c>
      <c r="N3112" t="s">
        <v>58</v>
      </c>
    </row>
    <row r="3113" spans="1:14" x14ac:dyDescent="0.3">
      <c r="A3113" s="1">
        <v>45479</v>
      </c>
      <c r="B3113" t="s">
        <v>36</v>
      </c>
      <c r="C3113" t="s">
        <v>33</v>
      </c>
      <c r="D3113" t="s">
        <v>17</v>
      </c>
      <c r="E3113">
        <v>6</v>
      </c>
      <c r="F3113">
        <v>2856</v>
      </c>
      <c r="G3113">
        <v>226.53</v>
      </c>
      <c r="H3113">
        <v>2024</v>
      </c>
      <c r="I3113" t="s">
        <v>25</v>
      </c>
      <c r="J3113" s="4">
        <v>7.9317226890756307E-2</v>
      </c>
      <c r="K3113" t="s">
        <v>41</v>
      </c>
      <c r="L3113" t="s">
        <v>60</v>
      </c>
      <c r="M3113">
        <v>7</v>
      </c>
      <c r="N3113" t="s">
        <v>64</v>
      </c>
    </row>
    <row r="3114" spans="1:14" x14ac:dyDescent="0.3">
      <c r="A3114" s="1">
        <v>45600</v>
      </c>
      <c r="B3114" t="s">
        <v>36</v>
      </c>
      <c r="C3114" t="s">
        <v>33</v>
      </c>
      <c r="D3114" t="s">
        <v>12</v>
      </c>
      <c r="E3114">
        <v>9</v>
      </c>
      <c r="F3114">
        <v>4581</v>
      </c>
      <c r="G3114">
        <v>250.06</v>
      </c>
      <c r="H3114">
        <v>2024</v>
      </c>
      <c r="I3114" t="s">
        <v>18</v>
      </c>
      <c r="J3114" s="4">
        <v>5.4586334861383999E-2</v>
      </c>
      <c r="K3114" t="s">
        <v>41</v>
      </c>
      <c r="L3114" t="s">
        <v>52</v>
      </c>
      <c r="M3114">
        <v>11</v>
      </c>
      <c r="N3114" t="s">
        <v>58</v>
      </c>
    </row>
    <row r="3115" spans="1:14" x14ac:dyDescent="0.3">
      <c r="A3115" s="1">
        <v>45616</v>
      </c>
      <c r="B3115" t="s">
        <v>36</v>
      </c>
      <c r="C3115" t="s">
        <v>33</v>
      </c>
      <c r="D3115" t="s">
        <v>22</v>
      </c>
      <c r="E3115">
        <v>4</v>
      </c>
      <c r="F3115">
        <v>964</v>
      </c>
      <c r="G3115">
        <v>184.03</v>
      </c>
      <c r="H3115">
        <v>2024</v>
      </c>
      <c r="I3115" t="s">
        <v>18</v>
      </c>
      <c r="J3115" s="4">
        <v>0.19090248962655601</v>
      </c>
      <c r="K3115" t="s">
        <v>41</v>
      </c>
      <c r="L3115" t="s">
        <v>52</v>
      </c>
      <c r="M3115">
        <v>11</v>
      </c>
      <c r="N3115" t="s">
        <v>58</v>
      </c>
    </row>
    <row r="3116" spans="1:14" x14ac:dyDescent="0.3">
      <c r="A3116" s="1">
        <v>45449</v>
      </c>
      <c r="B3116" t="s">
        <v>36</v>
      </c>
      <c r="C3116" t="s">
        <v>33</v>
      </c>
      <c r="D3116" t="s">
        <v>17</v>
      </c>
      <c r="E3116">
        <v>8</v>
      </c>
      <c r="F3116">
        <v>7792</v>
      </c>
      <c r="G3116">
        <v>913.12</v>
      </c>
      <c r="H3116">
        <v>2024</v>
      </c>
      <c r="I3116" t="s">
        <v>27</v>
      </c>
      <c r="J3116" s="4">
        <v>0.117186858316222</v>
      </c>
      <c r="K3116" t="s">
        <v>41</v>
      </c>
      <c r="L3116" t="s">
        <v>59</v>
      </c>
      <c r="M3116">
        <v>6</v>
      </c>
      <c r="N3116" t="s">
        <v>66</v>
      </c>
    </row>
    <row r="3117" spans="1:14" x14ac:dyDescent="0.3">
      <c r="A3117" s="1">
        <v>45598</v>
      </c>
      <c r="B3117" t="s">
        <v>36</v>
      </c>
      <c r="C3117" t="s">
        <v>33</v>
      </c>
      <c r="D3117" t="s">
        <v>22</v>
      </c>
      <c r="E3117">
        <v>8</v>
      </c>
      <c r="F3117">
        <v>448</v>
      </c>
      <c r="G3117">
        <v>45.43</v>
      </c>
      <c r="H3117">
        <v>2024</v>
      </c>
      <c r="I3117" t="s">
        <v>18</v>
      </c>
      <c r="J3117" s="4">
        <v>0.10140625</v>
      </c>
      <c r="K3117" t="s">
        <v>41</v>
      </c>
      <c r="L3117" t="s">
        <v>52</v>
      </c>
      <c r="M3117">
        <v>11</v>
      </c>
      <c r="N3117" t="s">
        <v>58</v>
      </c>
    </row>
    <row r="3118" spans="1:14" x14ac:dyDescent="0.3">
      <c r="A3118" s="1">
        <v>45308</v>
      </c>
      <c r="B3118" t="s">
        <v>36</v>
      </c>
      <c r="C3118" t="s">
        <v>33</v>
      </c>
      <c r="D3118" t="s">
        <v>12</v>
      </c>
      <c r="E3118">
        <v>5</v>
      </c>
      <c r="F3118">
        <v>5625</v>
      </c>
      <c r="G3118">
        <v>1006.95</v>
      </c>
      <c r="H3118">
        <v>2024</v>
      </c>
      <c r="I3118" t="s">
        <v>26</v>
      </c>
      <c r="J3118" s="4">
        <v>0.179013333333333</v>
      </c>
      <c r="K3118" t="s">
        <v>41</v>
      </c>
      <c r="L3118" t="s">
        <v>55</v>
      </c>
      <c r="M3118">
        <v>1</v>
      </c>
      <c r="N3118" t="s">
        <v>65</v>
      </c>
    </row>
    <row r="3119" spans="1:14" x14ac:dyDescent="0.3">
      <c r="A3119" s="1">
        <v>45440</v>
      </c>
      <c r="B3119" t="s">
        <v>36</v>
      </c>
      <c r="C3119" t="s">
        <v>33</v>
      </c>
      <c r="D3119" t="s">
        <v>12</v>
      </c>
      <c r="E3119">
        <v>4</v>
      </c>
      <c r="F3119">
        <v>2336</v>
      </c>
      <c r="G3119">
        <v>509.49</v>
      </c>
      <c r="H3119">
        <v>2024</v>
      </c>
      <c r="I3119" t="s">
        <v>20</v>
      </c>
      <c r="J3119" s="4">
        <v>0.21810359589041101</v>
      </c>
      <c r="K3119" t="s">
        <v>41</v>
      </c>
      <c r="L3119" t="s">
        <v>59</v>
      </c>
      <c r="M3119">
        <v>5</v>
      </c>
      <c r="N3119" t="s">
        <v>20</v>
      </c>
    </row>
    <row r="3120" spans="1:14" x14ac:dyDescent="0.3">
      <c r="A3120" s="1">
        <v>45462</v>
      </c>
      <c r="B3120" t="s">
        <v>36</v>
      </c>
      <c r="C3120" t="s">
        <v>33</v>
      </c>
      <c r="D3120" t="s">
        <v>12</v>
      </c>
      <c r="E3120">
        <v>4</v>
      </c>
      <c r="F3120">
        <v>1800</v>
      </c>
      <c r="G3120">
        <v>170.19</v>
      </c>
      <c r="H3120">
        <v>2024</v>
      </c>
      <c r="I3120" t="s">
        <v>27</v>
      </c>
      <c r="J3120" s="4">
        <v>9.4549999999999995E-2</v>
      </c>
      <c r="K3120" t="s">
        <v>41</v>
      </c>
      <c r="L3120" t="s">
        <v>59</v>
      </c>
      <c r="M3120">
        <v>6</v>
      </c>
      <c r="N3120" t="s">
        <v>66</v>
      </c>
    </row>
    <row r="3121" spans="1:14" x14ac:dyDescent="0.3">
      <c r="A3121" s="1">
        <v>45301</v>
      </c>
      <c r="B3121" t="s">
        <v>36</v>
      </c>
      <c r="C3121" t="s">
        <v>33</v>
      </c>
      <c r="D3121" t="s">
        <v>12</v>
      </c>
      <c r="E3121">
        <v>8</v>
      </c>
      <c r="F3121">
        <v>3624</v>
      </c>
      <c r="G3121">
        <v>1071.43</v>
      </c>
      <c r="H3121">
        <v>2024</v>
      </c>
      <c r="I3121" t="s">
        <v>26</v>
      </c>
      <c r="J3121" s="4">
        <v>0.29564845474613699</v>
      </c>
      <c r="K3121" t="s">
        <v>41</v>
      </c>
      <c r="L3121" t="s">
        <v>55</v>
      </c>
      <c r="M3121">
        <v>1</v>
      </c>
      <c r="N3121" t="s">
        <v>65</v>
      </c>
    </row>
    <row r="3122" spans="1:14" x14ac:dyDescent="0.3">
      <c r="A3122" s="1">
        <v>45340</v>
      </c>
      <c r="B3122" t="s">
        <v>36</v>
      </c>
      <c r="C3122" t="s">
        <v>33</v>
      </c>
      <c r="D3122" t="s">
        <v>19</v>
      </c>
      <c r="E3122">
        <v>4</v>
      </c>
      <c r="F3122">
        <v>4024</v>
      </c>
      <c r="G3122">
        <v>787.06</v>
      </c>
      <c r="H3122">
        <v>2024</v>
      </c>
      <c r="I3122" t="s">
        <v>16</v>
      </c>
      <c r="J3122" s="4">
        <v>0.195591451292246</v>
      </c>
      <c r="K3122" t="s">
        <v>41</v>
      </c>
      <c r="L3122" t="s">
        <v>55</v>
      </c>
      <c r="M3122">
        <v>2</v>
      </c>
      <c r="N3122" t="s">
        <v>57</v>
      </c>
    </row>
    <row r="3123" spans="1:14" x14ac:dyDescent="0.3">
      <c r="A3123" s="1">
        <v>45577</v>
      </c>
      <c r="B3123" t="s">
        <v>36</v>
      </c>
      <c r="C3123" t="s">
        <v>33</v>
      </c>
      <c r="D3123" t="s">
        <v>22</v>
      </c>
      <c r="E3123">
        <v>8</v>
      </c>
      <c r="F3123">
        <v>5456</v>
      </c>
      <c r="G3123">
        <v>898.06</v>
      </c>
      <c r="H3123">
        <v>2024</v>
      </c>
      <c r="I3123" t="s">
        <v>14</v>
      </c>
      <c r="J3123" s="4">
        <v>0.16460043988269801</v>
      </c>
      <c r="K3123" t="s">
        <v>41</v>
      </c>
      <c r="L3123" t="s">
        <v>52</v>
      </c>
      <c r="M3123">
        <v>10</v>
      </c>
      <c r="N3123" t="s">
        <v>54</v>
      </c>
    </row>
    <row r="3124" spans="1:14" x14ac:dyDescent="0.3">
      <c r="A3124" s="1">
        <v>45496</v>
      </c>
      <c r="B3124" t="s">
        <v>36</v>
      </c>
      <c r="C3124" t="s">
        <v>33</v>
      </c>
      <c r="D3124" t="s">
        <v>19</v>
      </c>
      <c r="E3124">
        <v>4</v>
      </c>
      <c r="F3124">
        <v>1308</v>
      </c>
      <c r="G3124">
        <v>368.28</v>
      </c>
      <c r="H3124">
        <v>2024</v>
      </c>
      <c r="I3124" t="s">
        <v>25</v>
      </c>
      <c r="J3124" s="4">
        <v>0.28155963302752302</v>
      </c>
      <c r="K3124" t="s">
        <v>41</v>
      </c>
      <c r="L3124" t="s">
        <v>60</v>
      </c>
      <c r="M3124">
        <v>7</v>
      </c>
      <c r="N3124" t="s">
        <v>64</v>
      </c>
    </row>
    <row r="3125" spans="1:14" x14ac:dyDescent="0.3">
      <c r="A3125" s="1">
        <v>45540</v>
      </c>
      <c r="B3125" t="s">
        <v>36</v>
      </c>
      <c r="C3125" t="s">
        <v>33</v>
      </c>
      <c r="D3125" t="s">
        <v>19</v>
      </c>
      <c r="E3125">
        <v>8</v>
      </c>
      <c r="F3125">
        <v>5416</v>
      </c>
      <c r="G3125">
        <v>403.52</v>
      </c>
      <c r="H3125">
        <v>2024</v>
      </c>
      <c r="I3125" t="s">
        <v>21</v>
      </c>
      <c r="J3125" s="4">
        <v>7.45051698670606E-2</v>
      </c>
      <c r="K3125" t="s">
        <v>41</v>
      </c>
      <c r="L3125" t="s">
        <v>60</v>
      </c>
      <c r="M3125">
        <v>9</v>
      </c>
      <c r="N3125" t="s">
        <v>61</v>
      </c>
    </row>
    <row r="3126" spans="1:14" x14ac:dyDescent="0.3">
      <c r="A3126" s="1">
        <v>45309</v>
      </c>
      <c r="B3126" t="s">
        <v>36</v>
      </c>
      <c r="C3126" t="s">
        <v>33</v>
      </c>
      <c r="D3126" t="s">
        <v>12</v>
      </c>
      <c r="E3126">
        <v>5</v>
      </c>
      <c r="F3126">
        <v>5415</v>
      </c>
      <c r="G3126">
        <v>1261.6500000000001</v>
      </c>
      <c r="H3126">
        <v>2024</v>
      </c>
      <c r="I3126" t="s">
        <v>26</v>
      </c>
      <c r="J3126" s="4">
        <v>0.23299168975069301</v>
      </c>
      <c r="K3126" t="s">
        <v>41</v>
      </c>
      <c r="L3126" t="s">
        <v>55</v>
      </c>
      <c r="M3126">
        <v>1</v>
      </c>
      <c r="N3126" t="s">
        <v>65</v>
      </c>
    </row>
    <row r="3127" spans="1:14" x14ac:dyDescent="0.3">
      <c r="A3127" s="1">
        <v>45585</v>
      </c>
      <c r="B3127" t="s">
        <v>36</v>
      </c>
      <c r="C3127" t="s">
        <v>33</v>
      </c>
      <c r="D3127" t="s">
        <v>17</v>
      </c>
      <c r="E3127">
        <v>5</v>
      </c>
      <c r="F3127">
        <v>1980</v>
      </c>
      <c r="G3127">
        <v>249.22</v>
      </c>
      <c r="H3127">
        <v>2024</v>
      </c>
      <c r="I3127" t="s">
        <v>14</v>
      </c>
      <c r="J3127" s="4">
        <v>0.12586868686868699</v>
      </c>
      <c r="K3127" t="s">
        <v>41</v>
      </c>
      <c r="L3127" t="s">
        <v>52</v>
      </c>
      <c r="M3127">
        <v>10</v>
      </c>
      <c r="N3127" t="s">
        <v>54</v>
      </c>
    </row>
    <row r="3128" spans="1:14" x14ac:dyDescent="0.3">
      <c r="A3128" s="1">
        <v>45358</v>
      </c>
      <c r="B3128" t="s">
        <v>36</v>
      </c>
      <c r="C3128" t="s">
        <v>33</v>
      </c>
      <c r="D3128" t="s">
        <v>19</v>
      </c>
      <c r="E3128">
        <v>4</v>
      </c>
      <c r="F3128">
        <v>1632</v>
      </c>
      <c r="G3128">
        <v>247.88</v>
      </c>
      <c r="H3128">
        <v>2024</v>
      </c>
      <c r="I3128" t="s">
        <v>15</v>
      </c>
      <c r="J3128" s="4">
        <v>0.15188725490196101</v>
      </c>
      <c r="K3128" t="s">
        <v>41</v>
      </c>
      <c r="L3128" t="s">
        <v>55</v>
      </c>
      <c r="M3128">
        <v>3</v>
      </c>
      <c r="N3128" t="s">
        <v>56</v>
      </c>
    </row>
    <row r="3129" spans="1:14" x14ac:dyDescent="0.3">
      <c r="A3129" s="1">
        <v>45293</v>
      </c>
      <c r="B3129" t="s">
        <v>36</v>
      </c>
      <c r="C3129" t="s">
        <v>33</v>
      </c>
      <c r="D3129" t="s">
        <v>12</v>
      </c>
      <c r="E3129">
        <v>5</v>
      </c>
      <c r="F3129">
        <v>5310</v>
      </c>
      <c r="G3129">
        <v>806.12</v>
      </c>
      <c r="H3129">
        <v>2024</v>
      </c>
      <c r="I3129" t="s">
        <v>26</v>
      </c>
      <c r="J3129" s="4">
        <v>0.151811676082863</v>
      </c>
      <c r="K3129" t="s">
        <v>41</v>
      </c>
      <c r="L3129" t="s">
        <v>55</v>
      </c>
      <c r="M3129">
        <v>1</v>
      </c>
      <c r="N3129" t="s">
        <v>65</v>
      </c>
    </row>
    <row r="3130" spans="1:14" x14ac:dyDescent="0.3">
      <c r="A3130" s="1">
        <v>45652</v>
      </c>
      <c r="B3130" t="s">
        <v>36</v>
      </c>
      <c r="C3130" t="s">
        <v>33</v>
      </c>
      <c r="D3130" t="s">
        <v>12</v>
      </c>
      <c r="E3130">
        <v>7</v>
      </c>
      <c r="F3130">
        <v>1575</v>
      </c>
      <c r="G3130">
        <v>313.95999999999998</v>
      </c>
      <c r="H3130">
        <v>2024</v>
      </c>
      <c r="I3130" t="s">
        <v>13</v>
      </c>
      <c r="J3130" s="4">
        <v>0.19933968253968301</v>
      </c>
      <c r="K3130" t="s">
        <v>41</v>
      </c>
      <c r="L3130" t="s">
        <v>52</v>
      </c>
      <c r="M3130">
        <v>12</v>
      </c>
      <c r="N3130" t="s">
        <v>53</v>
      </c>
    </row>
    <row r="3131" spans="1:14" x14ac:dyDescent="0.3">
      <c r="A3131" s="1">
        <v>45444</v>
      </c>
      <c r="B3131" t="s">
        <v>36</v>
      </c>
      <c r="C3131" t="s">
        <v>33</v>
      </c>
      <c r="D3131" t="s">
        <v>22</v>
      </c>
      <c r="E3131">
        <v>7</v>
      </c>
      <c r="F3131">
        <v>6559</v>
      </c>
      <c r="G3131">
        <v>1141.32</v>
      </c>
      <c r="H3131">
        <v>2024</v>
      </c>
      <c r="I3131" t="s">
        <v>27</v>
      </c>
      <c r="J3131" s="4">
        <v>0.174008232962342</v>
      </c>
      <c r="K3131" t="s">
        <v>41</v>
      </c>
      <c r="L3131" t="s">
        <v>59</v>
      </c>
      <c r="M3131">
        <v>6</v>
      </c>
      <c r="N3131" t="s">
        <v>66</v>
      </c>
    </row>
    <row r="3132" spans="1:14" x14ac:dyDescent="0.3">
      <c r="A3132" s="1">
        <v>45647</v>
      </c>
      <c r="B3132" t="s">
        <v>36</v>
      </c>
      <c r="C3132" t="s">
        <v>33</v>
      </c>
      <c r="D3132" t="s">
        <v>19</v>
      </c>
      <c r="E3132">
        <v>6</v>
      </c>
      <c r="F3132">
        <v>1050</v>
      </c>
      <c r="G3132">
        <v>172.83</v>
      </c>
      <c r="H3132">
        <v>2024</v>
      </c>
      <c r="I3132" t="s">
        <v>13</v>
      </c>
      <c r="J3132" s="4">
        <v>0.1646</v>
      </c>
      <c r="K3132" t="s">
        <v>41</v>
      </c>
      <c r="L3132" t="s">
        <v>52</v>
      </c>
      <c r="M3132">
        <v>12</v>
      </c>
      <c r="N3132" t="s">
        <v>53</v>
      </c>
    </row>
    <row r="3133" spans="1:14" x14ac:dyDescent="0.3">
      <c r="A3133" s="1">
        <v>45518</v>
      </c>
      <c r="B3133" t="s">
        <v>36</v>
      </c>
      <c r="C3133" t="s">
        <v>33</v>
      </c>
      <c r="D3133" t="s">
        <v>17</v>
      </c>
      <c r="E3133">
        <v>1</v>
      </c>
      <c r="F3133">
        <v>342</v>
      </c>
      <c r="G3133">
        <v>37.64</v>
      </c>
      <c r="H3133">
        <v>2024</v>
      </c>
      <c r="I3133" t="s">
        <v>24</v>
      </c>
      <c r="J3133" s="4">
        <v>0.11005847953216399</v>
      </c>
      <c r="K3133" t="s">
        <v>41</v>
      </c>
      <c r="L3133" t="s">
        <v>60</v>
      </c>
      <c r="M3133">
        <v>8</v>
      </c>
      <c r="N3133" t="s">
        <v>63</v>
      </c>
    </row>
    <row r="3134" spans="1:14" x14ac:dyDescent="0.3">
      <c r="A3134" s="1">
        <v>45518</v>
      </c>
      <c r="B3134" t="s">
        <v>36</v>
      </c>
      <c r="C3134" t="s">
        <v>33</v>
      </c>
      <c r="D3134" t="s">
        <v>22</v>
      </c>
      <c r="E3134">
        <v>7</v>
      </c>
      <c r="F3134">
        <v>6769</v>
      </c>
      <c r="G3134">
        <v>1549.67</v>
      </c>
      <c r="H3134">
        <v>2024</v>
      </c>
      <c r="I3134" t="s">
        <v>24</v>
      </c>
      <c r="J3134" s="4">
        <v>0.22893632737479699</v>
      </c>
      <c r="K3134" t="s">
        <v>41</v>
      </c>
      <c r="L3134" t="s">
        <v>60</v>
      </c>
      <c r="M3134">
        <v>8</v>
      </c>
      <c r="N3134" t="s">
        <v>63</v>
      </c>
    </row>
    <row r="3135" spans="1:14" x14ac:dyDescent="0.3">
      <c r="A3135" s="1">
        <v>45586</v>
      </c>
      <c r="B3135" t="s">
        <v>36</v>
      </c>
      <c r="C3135" t="s">
        <v>33</v>
      </c>
      <c r="D3135" t="s">
        <v>19</v>
      </c>
      <c r="E3135">
        <v>9</v>
      </c>
      <c r="F3135">
        <v>2331</v>
      </c>
      <c r="G3135">
        <v>558</v>
      </c>
      <c r="H3135">
        <v>2024</v>
      </c>
      <c r="I3135" t="s">
        <v>14</v>
      </c>
      <c r="J3135" s="4">
        <v>0.23938223938223899</v>
      </c>
      <c r="K3135" t="s">
        <v>41</v>
      </c>
      <c r="L3135" t="s">
        <v>52</v>
      </c>
      <c r="M3135">
        <v>10</v>
      </c>
      <c r="N3135" t="s">
        <v>54</v>
      </c>
    </row>
    <row r="3136" spans="1:14" x14ac:dyDescent="0.3">
      <c r="A3136" s="1">
        <v>45517</v>
      </c>
      <c r="B3136" t="s">
        <v>36</v>
      </c>
      <c r="C3136" t="s">
        <v>33</v>
      </c>
      <c r="D3136" t="s">
        <v>12</v>
      </c>
      <c r="E3136">
        <v>2</v>
      </c>
      <c r="F3136">
        <v>1832</v>
      </c>
      <c r="G3136">
        <v>489.21</v>
      </c>
      <c r="H3136">
        <v>2024</v>
      </c>
      <c r="I3136" t="s">
        <v>24</v>
      </c>
      <c r="J3136" s="4">
        <v>0.26703602620087302</v>
      </c>
      <c r="K3136" t="s">
        <v>41</v>
      </c>
      <c r="L3136" t="s">
        <v>60</v>
      </c>
      <c r="M3136">
        <v>8</v>
      </c>
      <c r="N3136" t="s">
        <v>63</v>
      </c>
    </row>
    <row r="3137" spans="1:14" x14ac:dyDescent="0.3">
      <c r="A3137" s="1">
        <v>45626</v>
      </c>
      <c r="B3137" t="s">
        <v>36</v>
      </c>
      <c r="C3137" t="s">
        <v>33</v>
      </c>
      <c r="D3137" t="s">
        <v>19</v>
      </c>
      <c r="E3137">
        <v>1</v>
      </c>
      <c r="F3137">
        <v>351</v>
      </c>
      <c r="G3137">
        <v>31.95</v>
      </c>
      <c r="H3137">
        <v>2024</v>
      </c>
      <c r="I3137" t="s">
        <v>18</v>
      </c>
      <c r="J3137" s="4">
        <v>9.1025641025640994E-2</v>
      </c>
      <c r="K3137" t="s">
        <v>41</v>
      </c>
      <c r="L3137" t="s">
        <v>52</v>
      </c>
      <c r="M3137">
        <v>11</v>
      </c>
      <c r="N3137" t="s">
        <v>58</v>
      </c>
    </row>
    <row r="3138" spans="1:14" x14ac:dyDescent="0.3">
      <c r="A3138" s="1">
        <v>45642</v>
      </c>
      <c r="B3138" t="s">
        <v>36</v>
      </c>
      <c r="C3138" t="s">
        <v>33</v>
      </c>
      <c r="D3138" t="s">
        <v>22</v>
      </c>
      <c r="E3138">
        <v>4</v>
      </c>
      <c r="F3138">
        <v>1876</v>
      </c>
      <c r="G3138">
        <v>221.18</v>
      </c>
      <c r="H3138">
        <v>2024</v>
      </c>
      <c r="I3138" t="s">
        <v>13</v>
      </c>
      <c r="J3138" s="4">
        <v>0.117899786780384</v>
      </c>
      <c r="K3138" t="s">
        <v>41</v>
      </c>
      <c r="L3138" t="s">
        <v>52</v>
      </c>
      <c r="M3138">
        <v>12</v>
      </c>
      <c r="N3138" t="s">
        <v>53</v>
      </c>
    </row>
    <row r="3139" spans="1:14" x14ac:dyDescent="0.3">
      <c r="A3139" s="1">
        <v>45632</v>
      </c>
      <c r="B3139" t="s">
        <v>36</v>
      </c>
      <c r="C3139" t="s">
        <v>33</v>
      </c>
      <c r="D3139" t="s">
        <v>12</v>
      </c>
      <c r="E3139">
        <v>4</v>
      </c>
      <c r="F3139">
        <v>1000</v>
      </c>
      <c r="G3139">
        <v>198.92</v>
      </c>
      <c r="H3139">
        <v>2024</v>
      </c>
      <c r="I3139" t="s">
        <v>13</v>
      </c>
      <c r="J3139" s="4">
        <v>0.19892000000000001</v>
      </c>
      <c r="K3139" t="s">
        <v>41</v>
      </c>
      <c r="L3139" t="s">
        <v>52</v>
      </c>
      <c r="M3139">
        <v>12</v>
      </c>
      <c r="N3139" t="s">
        <v>53</v>
      </c>
    </row>
    <row r="3140" spans="1:14" x14ac:dyDescent="0.3">
      <c r="A3140" s="1">
        <v>45355</v>
      </c>
      <c r="B3140" t="s">
        <v>36</v>
      </c>
      <c r="C3140" t="s">
        <v>33</v>
      </c>
      <c r="D3140" t="s">
        <v>19</v>
      </c>
      <c r="E3140">
        <v>3</v>
      </c>
      <c r="F3140">
        <v>483</v>
      </c>
      <c r="G3140">
        <v>120.11</v>
      </c>
      <c r="H3140">
        <v>2024</v>
      </c>
      <c r="I3140" t="s">
        <v>15</v>
      </c>
      <c r="J3140" s="4">
        <v>0.248674948240166</v>
      </c>
      <c r="K3140" t="s">
        <v>41</v>
      </c>
      <c r="L3140" t="s">
        <v>55</v>
      </c>
      <c r="M3140">
        <v>3</v>
      </c>
      <c r="N3140" t="s">
        <v>56</v>
      </c>
    </row>
    <row r="3141" spans="1:14" x14ac:dyDescent="0.3">
      <c r="A3141" s="1">
        <v>45655</v>
      </c>
      <c r="B3141" t="s">
        <v>36</v>
      </c>
      <c r="C3141" t="s">
        <v>33</v>
      </c>
      <c r="D3141" t="s">
        <v>22</v>
      </c>
      <c r="E3141">
        <v>6</v>
      </c>
      <c r="F3141">
        <v>5004</v>
      </c>
      <c r="G3141">
        <v>1197.3599999999999</v>
      </c>
      <c r="H3141">
        <v>2024</v>
      </c>
      <c r="I3141" t="s">
        <v>13</v>
      </c>
      <c r="J3141" s="4">
        <v>0.239280575539568</v>
      </c>
      <c r="K3141" t="s">
        <v>41</v>
      </c>
      <c r="L3141" t="s">
        <v>52</v>
      </c>
      <c r="M3141">
        <v>12</v>
      </c>
      <c r="N3141" t="s">
        <v>53</v>
      </c>
    </row>
    <row r="3142" spans="1:14" x14ac:dyDescent="0.3">
      <c r="A3142" s="1">
        <v>45399</v>
      </c>
      <c r="B3142" t="s">
        <v>36</v>
      </c>
      <c r="C3142" t="s">
        <v>33</v>
      </c>
      <c r="D3142" t="s">
        <v>12</v>
      </c>
      <c r="E3142">
        <v>3</v>
      </c>
      <c r="F3142">
        <v>2565</v>
      </c>
      <c r="G3142">
        <v>510.73</v>
      </c>
      <c r="H3142">
        <v>2024</v>
      </c>
      <c r="I3142" t="s">
        <v>23</v>
      </c>
      <c r="J3142" s="4">
        <v>0.19911500974658899</v>
      </c>
      <c r="K3142" t="s">
        <v>41</v>
      </c>
      <c r="L3142" t="s">
        <v>59</v>
      </c>
      <c r="M3142">
        <v>4</v>
      </c>
      <c r="N3142" t="s">
        <v>62</v>
      </c>
    </row>
    <row r="3143" spans="1:14" x14ac:dyDescent="0.3">
      <c r="A3143" s="1">
        <v>45459</v>
      </c>
      <c r="B3143" t="s">
        <v>36</v>
      </c>
      <c r="C3143" t="s">
        <v>33</v>
      </c>
      <c r="D3143" t="s">
        <v>12</v>
      </c>
      <c r="E3143">
        <v>3</v>
      </c>
      <c r="F3143">
        <v>975</v>
      </c>
      <c r="G3143">
        <v>291.81</v>
      </c>
      <c r="H3143">
        <v>2024</v>
      </c>
      <c r="I3143" t="s">
        <v>27</v>
      </c>
      <c r="J3143" s="4">
        <v>0.29929230769230802</v>
      </c>
      <c r="K3143" t="s">
        <v>41</v>
      </c>
      <c r="L3143" t="s">
        <v>59</v>
      </c>
      <c r="M3143">
        <v>6</v>
      </c>
      <c r="N3143" t="s">
        <v>66</v>
      </c>
    </row>
    <row r="3144" spans="1:14" x14ac:dyDescent="0.3">
      <c r="A3144" s="1">
        <v>45349</v>
      </c>
      <c r="B3144" t="s">
        <v>36</v>
      </c>
      <c r="C3144" t="s">
        <v>33</v>
      </c>
      <c r="D3144" t="s">
        <v>19</v>
      </c>
      <c r="E3144">
        <v>2</v>
      </c>
      <c r="F3144">
        <v>2248</v>
      </c>
      <c r="G3144">
        <v>473.21</v>
      </c>
      <c r="H3144">
        <v>2024</v>
      </c>
      <c r="I3144" t="s">
        <v>16</v>
      </c>
      <c r="J3144" s="4">
        <v>0.210502669039146</v>
      </c>
      <c r="K3144" t="s">
        <v>41</v>
      </c>
      <c r="L3144" t="s">
        <v>55</v>
      </c>
      <c r="M3144">
        <v>2</v>
      </c>
      <c r="N3144" t="s">
        <v>57</v>
      </c>
    </row>
    <row r="3145" spans="1:14" x14ac:dyDescent="0.3">
      <c r="A3145" s="1">
        <v>45243</v>
      </c>
      <c r="B3145" t="s">
        <v>37</v>
      </c>
      <c r="C3145" t="s">
        <v>38</v>
      </c>
      <c r="D3145" t="s">
        <v>17</v>
      </c>
      <c r="E3145">
        <v>3</v>
      </c>
      <c r="F3145">
        <v>3477</v>
      </c>
      <c r="G3145">
        <v>939.2</v>
      </c>
      <c r="H3145">
        <v>2023</v>
      </c>
      <c r="I3145" t="s">
        <v>18</v>
      </c>
      <c r="J3145" s="4">
        <v>0.27011791774518301</v>
      </c>
      <c r="K3145" t="s">
        <v>40</v>
      </c>
      <c r="L3145" t="s">
        <v>52</v>
      </c>
      <c r="M3145">
        <v>11</v>
      </c>
      <c r="N3145" t="s">
        <v>58</v>
      </c>
    </row>
    <row r="3146" spans="1:14" x14ac:dyDescent="0.3">
      <c r="A3146" s="1">
        <v>45219</v>
      </c>
      <c r="B3146" t="s">
        <v>37</v>
      </c>
      <c r="C3146" t="s">
        <v>38</v>
      </c>
      <c r="D3146" t="s">
        <v>19</v>
      </c>
      <c r="E3146">
        <v>5</v>
      </c>
      <c r="F3146">
        <v>3910</v>
      </c>
      <c r="G3146">
        <v>538.52</v>
      </c>
      <c r="H3146">
        <v>2023</v>
      </c>
      <c r="I3146" t="s">
        <v>14</v>
      </c>
      <c r="J3146" s="4">
        <v>0.13772890025575399</v>
      </c>
      <c r="K3146" t="s">
        <v>40</v>
      </c>
      <c r="L3146" t="s">
        <v>52</v>
      </c>
      <c r="M3146">
        <v>10</v>
      </c>
      <c r="N3146" t="s">
        <v>54</v>
      </c>
    </row>
    <row r="3147" spans="1:14" x14ac:dyDescent="0.3">
      <c r="A3147" s="1">
        <v>44983</v>
      </c>
      <c r="B3147" t="s">
        <v>37</v>
      </c>
      <c r="C3147" t="s">
        <v>38</v>
      </c>
      <c r="D3147" t="s">
        <v>17</v>
      </c>
      <c r="E3147">
        <v>8</v>
      </c>
      <c r="F3147">
        <v>6792</v>
      </c>
      <c r="G3147">
        <v>1125.23</v>
      </c>
      <c r="H3147">
        <v>2023</v>
      </c>
      <c r="I3147" t="s">
        <v>16</v>
      </c>
      <c r="J3147" s="4">
        <v>0.16566990577149601</v>
      </c>
      <c r="K3147" t="s">
        <v>40</v>
      </c>
      <c r="L3147" t="s">
        <v>55</v>
      </c>
      <c r="M3147">
        <v>2</v>
      </c>
      <c r="N3147" t="s">
        <v>57</v>
      </c>
    </row>
    <row r="3148" spans="1:14" x14ac:dyDescent="0.3">
      <c r="A3148" s="1">
        <v>45133</v>
      </c>
      <c r="B3148" t="s">
        <v>37</v>
      </c>
      <c r="C3148" t="s">
        <v>38</v>
      </c>
      <c r="D3148" t="s">
        <v>19</v>
      </c>
      <c r="E3148">
        <v>9</v>
      </c>
      <c r="F3148">
        <v>9387</v>
      </c>
      <c r="G3148">
        <v>1271.6400000000001</v>
      </c>
      <c r="H3148">
        <v>2023</v>
      </c>
      <c r="I3148" t="s">
        <v>25</v>
      </c>
      <c r="J3148" s="4">
        <v>0.13546820070310001</v>
      </c>
      <c r="K3148" t="s">
        <v>40</v>
      </c>
      <c r="L3148" t="s">
        <v>60</v>
      </c>
      <c r="M3148">
        <v>7</v>
      </c>
      <c r="N3148" t="s">
        <v>64</v>
      </c>
    </row>
    <row r="3149" spans="1:14" x14ac:dyDescent="0.3">
      <c r="A3149" s="1">
        <v>45091</v>
      </c>
      <c r="B3149" t="s">
        <v>37</v>
      </c>
      <c r="C3149" t="s">
        <v>38</v>
      </c>
      <c r="D3149" t="s">
        <v>12</v>
      </c>
      <c r="E3149">
        <v>3</v>
      </c>
      <c r="F3149">
        <v>705</v>
      </c>
      <c r="G3149">
        <v>196.05</v>
      </c>
      <c r="H3149">
        <v>2023</v>
      </c>
      <c r="I3149" t="s">
        <v>27</v>
      </c>
      <c r="J3149" s="4">
        <v>0.27808510638297901</v>
      </c>
      <c r="K3149" t="s">
        <v>40</v>
      </c>
      <c r="L3149" t="s">
        <v>59</v>
      </c>
      <c r="M3149">
        <v>6</v>
      </c>
      <c r="N3149" t="s">
        <v>66</v>
      </c>
    </row>
    <row r="3150" spans="1:14" x14ac:dyDescent="0.3">
      <c r="A3150" s="1">
        <v>44967</v>
      </c>
      <c r="B3150" t="s">
        <v>37</v>
      </c>
      <c r="C3150" t="s">
        <v>38</v>
      </c>
      <c r="D3150" t="s">
        <v>19</v>
      </c>
      <c r="E3150">
        <v>4</v>
      </c>
      <c r="F3150">
        <v>1440</v>
      </c>
      <c r="G3150">
        <v>130.24</v>
      </c>
      <c r="H3150">
        <v>2023</v>
      </c>
      <c r="I3150" t="s">
        <v>16</v>
      </c>
      <c r="J3150" s="4">
        <v>9.0444444444444397E-2</v>
      </c>
      <c r="K3150" t="s">
        <v>40</v>
      </c>
      <c r="L3150" t="s">
        <v>55</v>
      </c>
      <c r="M3150">
        <v>2</v>
      </c>
      <c r="N3150" t="s">
        <v>57</v>
      </c>
    </row>
    <row r="3151" spans="1:14" x14ac:dyDescent="0.3">
      <c r="A3151" s="1">
        <v>44947</v>
      </c>
      <c r="B3151" t="s">
        <v>37</v>
      </c>
      <c r="C3151" t="s">
        <v>38</v>
      </c>
      <c r="D3151" t="s">
        <v>22</v>
      </c>
      <c r="E3151">
        <v>5</v>
      </c>
      <c r="F3151">
        <v>3235</v>
      </c>
      <c r="G3151">
        <v>941.24</v>
      </c>
      <c r="H3151">
        <v>2023</v>
      </c>
      <c r="I3151" t="s">
        <v>26</v>
      </c>
      <c r="J3151" s="4">
        <v>0.29095517774343099</v>
      </c>
      <c r="K3151" t="s">
        <v>40</v>
      </c>
      <c r="L3151" t="s">
        <v>55</v>
      </c>
      <c r="M3151">
        <v>1</v>
      </c>
      <c r="N3151" t="s">
        <v>65</v>
      </c>
    </row>
    <row r="3152" spans="1:14" x14ac:dyDescent="0.3">
      <c r="A3152" s="1">
        <v>45061</v>
      </c>
      <c r="B3152" t="s">
        <v>37</v>
      </c>
      <c r="C3152" t="s">
        <v>38</v>
      </c>
      <c r="D3152" t="s">
        <v>17</v>
      </c>
      <c r="E3152">
        <v>9</v>
      </c>
      <c r="F3152">
        <v>5859</v>
      </c>
      <c r="G3152">
        <v>1153.8900000000001</v>
      </c>
      <c r="H3152">
        <v>2023</v>
      </c>
      <c r="I3152" t="s">
        <v>20</v>
      </c>
      <c r="J3152" s="4">
        <v>0.19694316436251899</v>
      </c>
      <c r="K3152" t="s">
        <v>40</v>
      </c>
      <c r="L3152" t="s">
        <v>59</v>
      </c>
      <c r="M3152">
        <v>5</v>
      </c>
      <c r="N3152" t="s">
        <v>20</v>
      </c>
    </row>
    <row r="3153" spans="1:14" x14ac:dyDescent="0.3">
      <c r="A3153" s="1">
        <v>45173</v>
      </c>
      <c r="B3153" t="s">
        <v>37</v>
      </c>
      <c r="C3153" t="s">
        <v>38</v>
      </c>
      <c r="D3153" t="s">
        <v>22</v>
      </c>
      <c r="E3153">
        <v>2</v>
      </c>
      <c r="F3153">
        <v>1960</v>
      </c>
      <c r="G3153">
        <v>312.06</v>
      </c>
      <c r="H3153">
        <v>2023</v>
      </c>
      <c r="I3153" t="s">
        <v>21</v>
      </c>
      <c r="J3153" s="4">
        <v>0.159214285714286</v>
      </c>
      <c r="K3153" t="s">
        <v>40</v>
      </c>
      <c r="L3153" t="s">
        <v>60</v>
      </c>
      <c r="M3153">
        <v>9</v>
      </c>
      <c r="N3153" t="s">
        <v>61</v>
      </c>
    </row>
    <row r="3154" spans="1:14" x14ac:dyDescent="0.3">
      <c r="A3154" s="1">
        <v>45134</v>
      </c>
      <c r="B3154" t="s">
        <v>37</v>
      </c>
      <c r="C3154" t="s">
        <v>38</v>
      </c>
      <c r="D3154" t="s">
        <v>22</v>
      </c>
      <c r="E3154">
        <v>6</v>
      </c>
      <c r="F3154">
        <v>6384</v>
      </c>
      <c r="G3154">
        <v>1189.19</v>
      </c>
      <c r="H3154">
        <v>2023</v>
      </c>
      <c r="I3154" t="s">
        <v>25</v>
      </c>
      <c r="J3154" s="4">
        <v>0.186276629072682</v>
      </c>
      <c r="K3154" t="s">
        <v>40</v>
      </c>
      <c r="L3154" t="s">
        <v>60</v>
      </c>
      <c r="M3154">
        <v>7</v>
      </c>
      <c r="N3154" t="s">
        <v>64</v>
      </c>
    </row>
    <row r="3155" spans="1:14" x14ac:dyDescent="0.3">
      <c r="A3155" s="1">
        <v>45249</v>
      </c>
      <c r="B3155" t="s">
        <v>37</v>
      </c>
      <c r="C3155" t="s">
        <v>38</v>
      </c>
      <c r="D3155" t="s">
        <v>19</v>
      </c>
      <c r="E3155">
        <v>8</v>
      </c>
      <c r="F3155">
        <v>5296</v>
      </c>
      <c r="G3155">
        <v>1234.81</v>
      </c>
      <c r="H3155">
        <v>2023</v>
      </c>
      <c r="I3155" t="s">
        <v>18</v>
      </c>
      <c r="J3155" s="4">
        <v>0.23315898791540801</v>
      </c>
      <c r="K3155" t="s">
        <v>40</v>
      </c>
      <c r="L3155" t="s">
        <v>52</v>
      </c>
      <c r="M3155">
        <v>11</v>
      </c>
      <c r="N3155" t="s">
        <v>58</v>
      </c>
    </row>
    <row r="3156" spans="1:14" x14ac:dyDescent="0.3">
      <c r="A3156" s="1">
        <v>45207</v>
      </c>
      <c r="B3156" t="s">
        <v>37</v>
      </c>
      <c r="C3156" t="s">
        <v>38</v>
      </c>
      <c r="D3156" t="s">
        <v>19</v>
      </c>
      <c r="E3156">
        <v>9</v>
      </c>
      <c r="F3156">
        <v>8046</v>
      </c>
      <c r="G3156">
        <v>2210.33</v>
      </c>
      <c r="H3156">
        <v>2023</v>
      </c>
      <c r="I3156" t="s">
        <v>14</v>
      </c>
      <c r="J3156" s="4">
        <v>0.274711657966692</v>
      </c>
      <c r="K3156" t="s">
        <v>40</v>
      </c>
      <c r="L3156" t="s">
        <v>52</v>
      </c>
      <c r="M3156">
        <v>10</v>
      </c>
      <c r="N3156" t="s">
        <v>54</v>
      </c>
    </row>
    <row r="3157" spans="1:14" x14ac:dyDescent="0.3">
      <c r="A3157" s="1">
        <v>44959</v>
      </c>
      <c r="B3157" t="s">
        <v>37</v>
      </c>
      <c r="C3157" t="s">
        <v>38</v>
      </c>
      <c r="D3157" t="s">
        <v>12</v>
      </c>
      <c r="E3157">
        <v>9</v>
      </c>
      <c r="F3157">
        <v>7524</v>
      </c>
      <c r="G3157">
        <v>2017.85</v>
      </c>
      <c r="H3157">
        <v>2023</v>
      </c>
      <c r="I3157" t="s">
        <v>16</v>
      </c>
      <c r="J3157" s="4">
        <v>0.26818846358319998</v>
      </c>
      <c r="K3157" t="s">
        <v>40</v>
      </c>
      <c r="L3157" t="s">
        <v>55</v>
      </c>
      <c r="M3157">
        <v>2</v>
      </c>
      <c r="N3157" t="s">
        <v>57</v>
      </c>
    </row>
    <row r="3158" spans="1:14" x14ac:dyDescent="0.3">
      <c r="A3158" s="1">
        <v>44943</v>
      </c>
      <c r="B3158" t="s">
        <v>37</v>
      </c>
      <c r="C3158" t="s">
        <v>38</v>
      </c>
      <c r="D3158" t="s">
        <v>17</v>
      </c>
      <c r="E3158">
        <v>5</v>
      </c>
      <c r="F3158">
        <v>3765</v>
      </c>
      <c r="G3158">
        <v>670.8</v>
      </c>
      <c r="H3158">
        <v>2023</v>
      </c>
      <c r="I3158" t="s">
        <v>26</v>
      </c>
      <c r="J3158" s="4">
        <v>0.17816733067729101</v>
      </c>
      <c r="K3158" t="s">
        <v>40</v>
      </c>
      <c r="L3158" t="s">
        <v>55</v>
      </c>
      <c r="M3158">
        <v>1</v>
      </c>
      <c r="N3158" t="s">
        <v>65</v>
      </c>
    </row>
    <row r="3159" spans="1:14" x14ac:dyDescent="0.3">
      <c r="A3159" s="1">
        <v>45240</v>
      </c>
      <c r="B3159" t="s">
        <v>37</v>
      </c>
      <c r="C3159" t="s">
        <v>38</v>
      </c>
      <c r="D3159" t="s">
        <v>22</v>
      </c>
      <c r="E3159">
        <v>8</v>
      </c>
      <c r="F3159">
        <v>9184</v>
      </c>
      <c r="G3159">
        <v>1795.93</v>
      </c>
      <c r="H3159">
        <v>2023</v>
      </c>
      <c r="I3159" t="s">
        <v>18</v>
      </c>
      <c r="J3159" s="4">
        <v>0.19554986933797899</v>
      </c>
      <c r="K3159" t="s">
        <v>40</v>
      </c>
      <c r="L3159" t="s">
        <v>52</v>
      </c>
      <c r="M3159">
        <v>11</v>
      </c>
      <c r="N3159" t="s">
        <v>58</v>
      </c>
    </row>
    <row r="3160" spans="1:14" x14ac:dyDescent="0.3">
      <c r="A3160" s="1">
        <v>45244</v>
      </c>
      <c r="B3160" t="s">
        <v>37</v>
      </c>
      <c r="C3160" t="s">
        <v>38</v>
      </c>
      <c r="D3160" t="s">
        <v>19</v>
      </c>
      <c r="E3160">
        <v>2</v>
      </c>
      <c r="F3160">
        <v>1058</v>
      </c>
      <c r="G3160">
        <v>298.69</v>
      </c>
      <c r="H3160">
        <v>2023</v>
      </c>
      <c r="I3160" t="s">
        <v>18</v>
      </c>
      <c r="J3160" s="4">
        <v>0.28231568998109602</v>
      </c>
      <c r="K3160" t="s">
        <v>40</v>
      </c>
      <c r="L3160" t="s">
        <v>52</v>
      </c>
      <c r="M3160">
        <v>11</v>
      </c>
      <c r="N3160" t="s">
        <v>58</v>
      </c>
    </row>
    <row r="3161" spans="1:14" x14ac:dyDescent="0.3">
      <c r="A3161" s="1">
        <v>44998</v>
      </c>
      <c r="B3161" t="s">
        <v>37</v>
      </c>
      <c r="C3161" t="s">
        <v>38</v>
      </c>
      <c r="D3161" t="s">
        <v>17</v>
      </c>
      <c r="E3161">
        <v>5</v>
      </c>
      <c r="F3161">
        <v>1850</v>
      </c>
      <c r="G3161">
        <v>346.4</v>
      </c>
      <c r="H3161">
        <v>2023</v>
      </c>
      <c r="I3161" t="s">
        <v>15</v>
      </c>
      <c r="J3161" s="4">
        <v>0.18724324324324301</v>
      </c>
      <c r="K3161" t="s">
        <v>40</v>
      </c>
      <c r="L3161" t="s">
        <v>55</v>
      </c>
      <c r="M3161">
        <v>3</v>
      </c>
      <c r="N3161" t="s">
        <v>56</v>
      </c>
    </row>
    <row r="3162" spans="1:14" x14ac:dyDescent="0.3">
      <c r="A3162" s="1">
        <v>44951</v>
      </c>
      <c r="B3162" t="s">
        <v>37</v>
      </c>
      <c r="C3162" t="s">
        <v>38</v>
      </c>
      <c r="D3162" t="s">
        <v>17</v>
      </c>
      <c r="E3162">
        <v>8</v>
      </c>
      <c r="F3162">
        <v>6936</v>
      </c>
      <c r="G3162">
        <v>1156.52</v>
      </c>
      <c r="H3162">
        <v>2023</v>
      </c>
      <c r="I3162" t="s">
        <v>26</v>
      </c>
      <c r="J3162" s="4">
        <v>0.16674163783160301</v>
      </c>
      <c r="K3162" t="s">
        <v>40</v>
      </c>
      <c r="L3162" t="s">
        <v>55</v>
      </c>
      <c r="M3162">
        <v>1</v>
      </c>
      <c r="N3162" t="s">
        <v>65</v>
      </c>
    </row>
    <row r="3163" spans="1:14" x14ac:dyDescent="0.3">
      <c r="A3163" s="1">
        <v>45181</v>
      </c>
      <c r="B3163" t="s">
        <v>37</v>
      </c>
      <c r="C3163" t="s">
        <v>38</v>
      </c>
      <c r="D3163" t="s">
        <v>19</v>
      </c>
      <c r="E3163">
        <v>6</v>
      </c>
      <c r="F3163">
        <v>5610</v>
      </c>
      <c r="G3163">
        <v>298.77</v>
      </c>
      <c r="H3163">
        <v>2023</v>
      </c>
      <c r="I3163" t="s">
        <v>21</v>
      </c>
      <c r="J3163" s="4">
        <v>5.3256684491978602E-2</v>
      </c>
      <c r="K3163" t="s">
        <v>40</v>
      </c>
      <c r="L3163" t="s">
        <v>60</v>
      </c>
      <c r="M3163">
        <v>9</v>
      </c>
      <c r="N3163" t="s">
        <v>61</v>
      </c>
    </row>
    <row r="3164" spans="1:14" x14ac:dyDescent="0.3">
      <c r="A3164" s="1">
        <v>45090</v>
      </c>
      <c r="B3164" t="s">
        <v>37</v>
      </c>
      <c r="C3164" t="s">
        <v>38</v>
      </c>
      <c r="D3164" t="s">
        <v>19</v>
      </c>
      <c r="E3164">
        <v>1</v>
      </c>
      <c r="F3164">
        <v>1176</v>
      </c>
      <c r="G3164">
        <v>182.07</v>
      </c>
      <c r="H3164">
        <v>2023</v>
      </c>
      <c r="I3164" t="s">
        <v>27</v>
      </c>
      <c r="J3164" s="4">
        <v>0.154821428571429</v>
      </c>
      <c r="K3164" t="s">
        <v>40</v>
      </c>
      <c r="L3164" t="s">
        <v>59</v>
      </c>
      <c r="M3164">
        <v>6</v>
      </c>
      <c r="N3164" t="s">
        <v>66</v>
      </c>
    </row>
    <row r="3165" spans="1:14" x14ac:dyDescent="0.3">
      <c r="A3165" s="1">
        <v>44927</v>
      </c>
      <c r="B3165" t="s">
        <v>37</v>
      </c>
      <c r="C3165" t="s">
        <v>38</v>
      </c>
      <c r="D3165" t="s">
        <v>12</v>
      </c>
      <c r="E3165">
        <v>9</v>
      </c>
      <c r="F3165">
        <v>5904</v>
      </c>
      <c r="G3165">
        <v>1440.45</v>
      </c>
      <c r="H3165">
        <v>2023</v>
      </c>
      <c r="I3165" t="s">
        <v>26</v>
      </c>
      <c r="J3165" s="4">
        <v>0.24397865853658501</v>
      </c>
      <c r="K3165" t="s">
        <v>40</v>
      </c>
      <c r="L3165" t="s">
        <v>55</v>
      </c>
      <c r="M3165">
        <v>1</v>
      </c>
      <c r="N3165" t="s">
        <v>65</v>
      </c>
    </row>
    <row r="3166" spans="1:14" x14ac:dyDescent="0.3">
      <c r="A3166" s="1">
        <v>45200</v>
      </c>
      <c r="B3166" t="s">
        <v>37</v>
      </c>
      <c r="C3166" t="s">
        <v>38</v>
      </c>
      <c r="D3166" t="s">
        <v>22</v>
      </c>
      <c r="E3166">
        <v>6</v>
      </c>
      <c r="F3166">
        <v>2622</v>
      </c>
      <c r="G3166">
        <v>131.53</v>
      </c>
      <c r="H3166">
        <v>2023</v>
      </c>
      <c r="I3166" t="s">
        <v>14</v>
      </c>
      <c r="J3166" s="4">
        <v>5.0163996948894E-2</v>
      </c>
      <c r="K3166" t="s">
        <v>40</v>
      </c>
      <c r="L3166" t="s">
        <v>52</v>
      </c>
      <c r="M3166">
        <v>10</v>
      </c>
      <c r="N3166" t="s">
        <v>54</v>
      </c>
    </row>
    <row r="3167" spans="1:14" x14ac:dyDescent="0.3">
      <c r="A3167" s="1">
        <v>44929</v>
      </c>
      <c r="B3167" t="s">
        <v>37</v>
      </c>
      <c r="C3167" t="s">
        <v>38</v>
      </c>
      <c r="D3167" t="s">
        <v>17</v>
      </c>
      <c r="E3167">
        <v>4</v>
      </c>
      <c r="F3167">
        <v>544</v>
      </c>
      <c r="G3167">
        <v>67.84</v>
      </c>
      <c r="H3167">
        <v>2023</v>
      </c>
      <c r="I3167" t="s">
        <v>26</v>
      </c>
      <c r="J3167" s="4">
        <v>0.124705882352941</v>
      </c>
      <c r="K3167" t="s">
        <v>40</v>
      </c>
      <c r="L3167" t="s">
        <v>55</v>
      </c>
      <c r="M3167">
        <v>1</v>
      </c>
      <c r="N3167" t="s">
        <v>65</v>
      </c>
    </row>
    <row r="3168" spans="1:14" x14ac:dyDescent="0.3">
      <c r="A3168" s="1">
        <v>45004</v>
      </c>
      <c r="B3168" t="s">
        <v>37</v>
      </c>
      <c r="C3168" t="s">
        <v>38</v>
      </c>
      <c r="D3168" t="s">
        <v>17</v>
      </c>
      <c r="E3168">
        <v>5</v>
      </c>
      <c r="F3168">
        <v>1800</v>
      </c>
      <c r="G3168">
        <v>252.69</v>
      </c>
      <c r="H3168">
        <v>2023</v>
      </c>
      <c r="I3168" t="s">
        <v>15</v>
      </c>
      <c r="J3168" s="4">
        <v>0.140383333333333</v>
      </c>
      <c r="K3168" t="s">
        <v>40</v>
      </c>
      <c r="L3168" t="s">
        <v>55</v>
      </c>
      <c r="M3168">
        <v>3</v>
      </c>
      <c r="N3168" t="s">
        <v>56</v>
      </c>
    </row>
    <row r="3169" spans="1:14" x14ac:dyDescent="0.3">
      <c r="A3169" s="1">
        <v>45219</v>
      </c>
      <c r="B3169" t="s">
        <v>37</v>
      </c>
      <c r="C3169" t="s">
        <v>38</v>
      </c>
      <c r="D3169" t="s">
        <v>22</v>
      </c>
      <c r="E3169">
        <v>9</v>
      </c>
      <c r="F3169">
        <v>9225</v>
      </c>
      <c r="G3169">
        <v>1391.15</v>
      </c>
      <c r="H3169">
        <v>2023</v>
      </c>
      <c r="I3169" t="s">
        <v>14</v>
      </c>
      <c r="J3169" s="4">
        <v>0.15080216802168001</v>
      </c>
      <c r="K3169" t="s">
        <v>40</v>
      </c>
      <c r="L3169" t="s">
        <v>52</v>
      </c>
      <c r="M3169">
        <v>10</v>
      </c>
      <c r="N3169" t="s">
        <v>54</v>
      </c>
    </row>
    <row r="3170" spans="1:14" x14ac:dyDescent="0.3">
      <c r="A3170" s="1">
        <v>45055</v>
      </c>
      <c r="B3170" t="s">
        <v>37</v>
      </c>
      <c r="C3170" t="s">
        <v>38</v>
      </c>
      <c r="D3170" t="s">
        <v>12</v>
      </c>
      <c r="E3170">
        <v>5</v>
      </c>
      <c r="F3170">
        <v>1995</v>
      </c>
      <c r="G3170">
        <v>369.22</v>
      </c>
      <c r="H3170">
        <v>2023</v>
      </c>
      <c r="I3170" t="s">
        <v>20</v>
      </c>
      <c r="J3170" s="4">
        <v>0.185072681704261</v>
      </c>
      <c r="K3170" t="s">
        <v>40</v>
      </c>
      <c r="L3170" t="s">
        <v>59</v>
      </c>
      <c r="M3170">
        <v>5</v>
      </c>
      <c r="N3170" t="s">
        <v>20</v>
      </c>
    </row>
    <row r="3171" spans="1:14" x14ac:dyDescent="0.3">
      <c r="A3171" s="1">
        <v>45002</v>
      </c>
      <c r="B3171" t="s">
        <v>37</v>
      </c>
      <c r="C3171" t="s">
        <v>38</v>
      </c>
      <c r="D3171" t="s">
        <v>12</v>
      </c>
      <c r="E3171">
        <v>3</v>
      </c>
      <c r="F3171">
        <v>1893</v>
      </c>
      <c r="G3171">
        <v>508.8</v>
      </c>
      <c r="H3171">
        <v>2023</v>
      </c>
      <c r="I3171" t="s">
        <v>15</v>
      </c>
      <c r="J3171" s="4">
        <v>0.26877971473850998</v>
      </c>
      <c r="K3171" t="s">
        <v>40</v>
      </c>
      <c r="L3171" t="s">
        <v>55</v>
      </c>
      <c r="M3171">
        <v>3</v>
      </c>
      <c r="N3171" t="s">
        <v>56</v>
      </c>
    </row>
    <row r="3172" spans="1:14" x14ac:dyDescent="0.3">
      <c r="A3172" s="1">
        <v>45211</v>
      </c>
      <c r="B3172" t="s">
        <v>37</v>
      </c>
      <c r="C3172" t="s">
        <v>38</v>
      </c>
      <c r="D3172" t="s">
        <v>17</v>
      </c>
      <c r="E3172">
        <v>6</v>
      </c>
      <c r="F3172">
        <v>6348</v>
      </c>
      <c r="G3172">
        <v>557.72</v>
      </c>
      <c r="H3172">
        <v>2023</v>
      </c>
      <c r="I3172" t="s">
        <v>14</v>
      </c>
      <c r="J3172" s="4">
        <v>8.7857592942659102E-2</v>
      </c>
      <c r="K3172" t="s">
        <v>40</v>
      </c>
      <c r="L3172" t="s">
        <v>52</v>
      </c>
      <c r="M3172">
        <v>10</v>
      </c>
      <c r="N3172" t="s">
        <v>54</v>
      </c>
    </row>
    <row r="3173" spans="1:14" x14ac:dyDescent="0.3">
      <c r="A3173" s="1">
        <v>45234</v>
      </c>
      <c r="B3173" t="s">
        <v>37</v>
      </c>
      <c r="C3173" t="s">
        <v>38</v>
      </c>
      <c r="D3173" t="s">
        <v>17</v>
      </c>
      <c r="E3173">
        <v>2</v>
      </c>
      <c r="F3173">
        <v>1582</v>
      </c>
      <c r="G3173">
        <v>422.46</v>
      </c>
      <c r="H3173">
        <v>2023</v>
      </c>
      <c r="I3173" t="s">
        <v>18</v>
      </c>
      <c r="J3173" s="4">
        <v>0.26704171934260401</v>
      </c>
      <c r="K3173" t="s">
        <v>40</v>
      </c>
      <c r="L3173" t="s">
        <v>52</v>
      </c>
      <c r="M3173">
        <v>11</v>
      </c>
      <c r="N3173" t="s">
        <v>58</v>
      </c>
    </row>
    <row r="3174" spans="1:14" x14ac:dyDescent="0.3">
      <c r="A3174" s="1">
        <v>44990</v>
      </c>
      <c r="B3174" t="s">
        <v>37</v>
      </c>
      <c r="C3174" t="s">
        <v>38</v>
      </c>
      <c r="D3174" t="s">
        <v>22</v>
      </c>
      <c r="E3174">
        <v>3</v>
      </c>
      <c r="F3174">
        <v>1446</v>
      </c>
      <c r="G3174">
        <v>278.94</v>
      </c>
      <c r="H3174">
        <v>2023</v>
      </c>
      <c r="I3174" t="s">
        <v>15</v>
      </c>
      <c r="J3174" s="4">
        <v>0.19290456431535299</v>
      </c>
      <c r="K3174" t="s">
        <v>40</v>
      </c>
      <c r="L3174" t="s">
        <v>55</v>
      </c>
      <c r="M3174">
        <v>3</v>
      </c>
      <c r="N3174" t="s">
        <v>56</v>
      </c>
    </row>
    <row r="3175" spans="1:14" x14ac:dyDescent="0.3">
      <c r="A3175" s="1">
        <v>44980</v>
      </c>
      <c r="B3175" t="s">
        <v>37</v>
      </c>
      <c r="C3175" t="s">
        <v>38</v>
      </c>
      <c r="D3175" t="s">
        <v>12</v>
      </c>
      <c r="E3175">
        <v>6</v>
      </c>
      <c r="F3175">
        <v>4266</v>
      </c>
      <c r="G3175">
        <v>357.51</v>
      </c>
      <c r="H3175">
        <v>2023</v>
      </c>
      <c r="I3175" t="s">
        <v>16</v>
      </c>
      <c r="J3175" s="4">
        <v>8.3804500703234905E-2</v>
      </c>
      <c r="K3175" t="s">
        <v>40</v>
      </c>
      <c r="L3175" t="s">
        <v>55</v>
      </c>
      <c r="M3175">
        <v>2</v>
      </c>
      <c r="N3175" t="s">
        <v>57</v>
      </c>
    </row>
    <row r="3176" spans="1:14" x14ac:dyDescent="0.3">
      <c r="A3176" s="1">
        <v>45028</v>
      </c>
      <c r="B3176" t="s">
        <v>37</v>
      </c>
      <c r="C3176" t="s">
        <v>38</v>
      </c>
      <c r="D3176" t="s">
        <v>17</v>
      </c>
      <c r="E3176">
        <v>1</v>
      </c>
      <c r="F3176">
        <v>919</v>
      </c>
      <c r="G3176">
        <v>193.35</v>
      </c>
      <c r="H3176">
        <v>2023</v>
      </c>
      <c r="I3176" t="s">
        <v>23</v>
      </c>
      <c r="J3176" s="4">
        <v>0.21039173014145801</v>
      </c>
      <c r="K3176" t="s">
        <v>40</v>
      </c>
      <c r="L3176" t="s">
        <v>59</v>
      </c>
      <c r="M3176">
        <v>4</v>
      </c>
      <c r="N3176" t="s">
        <v>62</v>
      </c>
    </row>
    <row r="3177" spans="1:14" x14ac:dyDescent="0.3">
      <c r="A3177" s="1">
        <v>45060</v>
      </c>
      <c r="B3177" t="s">
        <v>37</v>
      </c>
      <c r="C3177" t="s">
        <v>38</v>
      </c>
      <c r="D3177" t="s">
        <v>22</v>
      </c>
      <c r="E3177">
        <v>1</v>
      </c>
      <c r="F3177">
        <v>1152</v>
      </c>
      <c r="G3177">
        <v>280.27999999999997</v>
      </c>
      <c r="H3177">
        <v>2023</v>
      </c>
      <c r="I3177" t="s">
        <v>20</v>
      </c>
      <c r="J3177" s="4">
        <v>0.24329861111111101</v>
      </c>
      <c r="K3177" t="s">
        <v>40</v>
      </c>
      <c r="L3177" t="s">
        <v>59</v>
      </c>
      <c r="M3177">
        <v>5</v>
      </c>
      <c r="N3177" t="s">
        <v>20</v>
      </c>
    </row>
    <row r="3178" spans="1:14" x14ac:dyDescent="0.3">
      <c r="A3178" s="1">
        <v>45128</v>
      </c>
      <c r="B3178" t="s">
        <v>37</v>
      </c>
      <c r="C3178" t="s">
        <v>38</v>
      </c>
      <c r="D3178" t="s">
        <v>12</v>
      </c>
      <c r="E3178">
        <v>1</v>
      </c>
      <c r="F3178">
        <v>1024</v>
      </c>
      <c r="G3178">
        <v>230.3</v>
      </c>
      <c r="H3178">
        <v>2023</v>
      </c>
      <c r="I3178" t="s">
        <v>25</v>
      </c>
      <c r="J3178" s="4">
        <v>0.22490234375000001</v>
      </c>
      <c r="K3178" t="s">
        <v>40</v>
      </c>
      <c r="L3178" t="s">
        <v>60</v>
      </c>
      <c r="M3178">
        <v>7</v>
      </c>
      <c r="N3178" t="s">
        <v>64</v>
      </c>
    </row>
    <row r="3179" spans="1:14" x14ac:dyDescent="0.3">
      <c r="A3179" s="1">
        <v>45144</v>
      </c>
      <c r="B3179" t="s">
        <v>37</v>
      </c>
      <c r="C3179" t="s">
        <v>38</v>
      </c>
      <c r="D3179" t="s">
        <v>19</v>
      </c>
      <c r="E3179">
        <v>2</v>
      </c>
      <c r="F3179">
        <v>436</v>
      </c>
      <c r="G3179">
        <v>79.69</v>
      </c>
      <c r="H3179">
        <v>2023</v>
      </c>
      <c r="I3179" t="s">
        <v>24</v>
      </c>
      <c r="J3179" s="4">
        <v>0.182775229357798</v>
      </c>
      <c r="K3179" t="s">
        <v>40</v>
      </c>
      <c r="L3179" t="s">
        <v>60</v>
      </c>
      <c r="M3179">
        <v>8</v>
      </c>
      <c r="N3179" t="s">
        <v>63</v>
      </c>
    </row>
    <row r="3180" spans="1:14" x14ac:dyDescent="0.3">
      <c r="A3180" s="1">
        <v>44939</v>
      </c>
      <c r="B3180" t="s">
        <v>37</v>
      </c>
      <c r="C3180" t="s">
        <v>38</v>
      </c>
      <c r="D3180" t="s">
        <v>17</v>
      </c>
      <c r="E3180">
        <v>5</v>
      </c>
      <c r="F3180">
        <v>2860</v>
      </c>
      <c r="G3180">
        <v>339</v>
      </c>
      <c r="H3180">
        <v>2023</v>
      </c>
      <c r="I3180" t="s">
        <v>26</v>
      </c>
      <c r="J3180" s="4">
        <v>0.11853146853146899</v>
      </c>
      <c r="K3180" t="s">
        <v>40</v>
      </c>
      <c r="L3180" t="s">
        <v>55</v>
      </c>
      <c r="M3180">
        <v>1</v>
      </c>
      <c r="N3180" t="s">
        <v>65</v>
      </c>
    </row>
    <row r="3181" spans="1:14" x14ac:dyDescent="0.3">
      <c r="A3181" s="1">
        <v>45091</v>
      </c>
      <c r="B3181" t="s">
        <v>37</v>
      </c>
      <c r="C3181" t="s">
        <v>38</v>
      </c>
      <c r="D3181" t="s">
        <v>19</v>
      </c>
      <c r="E3181">
        <v>8</v>
      </c>
      <c r="F3181">
        <v>2704</v>
      </c>
      <c r="G3181">
        <v>705.74</v>
      </c>
      <c r="H3181">
        <v>2023</v>
      </c>
      <c r="I3181" t="s">
        <v>27</v>
      </c>
      <c r="J3181" s="4">
        <v>0.26099852071005902</v>
      </c>
      <c r="K3181" t="s">
        <v>40</v>
      </c>
      <c r="L3181" t="s">
        <v>59</v>
      </c>
      <c r="M3181">
        <v>6</v>
      </c>
      <c r="N3181" t="s">
        <v>66</v>
      </c>
    </row>
    <row r="3182" spans="1:14" x14ac:dyDescent="0.3">
      <c r="A3182" s="1">
        <v>45134</v>
      </c>
      <c r="B3182" t="s">
        <v>37</v>
      </c>
      <c r="C3182" t="s">
        <v>38</v>
      </c>
      <c r="D3182" t="s">
        <v>17</v>
      </c>
      <c r="E3182">
        <v>2</v>
      </c>
      <c r="F3182">
        <v>300</v>
      </c>
      <c r="G3182">
        <v>47.59</v>
      </c>
      <c r="H3182">
        <v>2023</v>
      </c>
      <c r="I3182" t="s">
        <v>25</v>
      </c>
      <c r="J3182" s="4">
        <v>0.15863333333333299</v>
      </c>
      <c r="K3182" t="s">
        <v>40</v>
      </c>
      <c r="L3182" t="s">
        <v>60</v>
      </c>
      <c r="M3182">
        <v>7</v>
      </c>
      <c r="N3182" t="s">
        <v>64</v>
      </c>
    </row>
    <row r="3183" spans="1:14" x14ac:dyDescent="0.3">
      <c r="A3183" s="1">
        <v>44943</v>
      </c>
      <c r="B3183" t="s">
        <v>37</v>
      </c>
      <c r="C3183" t="s">
        <v>38</v>
      </c>
      <c r="D3183" t="s">
        <v>19</v>
      </c>
      <c r="E3183">
        <v>2</v>
      </c>
      <c r="F3183">
        <v>1042</v>
      </c>
      <c r="G3183">
        <v>86.24</v>
      </c>
      <c r="H3183">
        <v>2023</v>
      </c>
      <c r="I3183" t="s">
        <v>26</v>
      </c>
      <c r="J3183" s="4">
        <v>8.2763915547025002E-2</v>
      </c>
      <c r="K3183" t="s">
        <v>40</v>
      </c>
      <c r="L3183" t="s">
        <v>55</v>
      </c>
      <c r="M3183">
        <v>1</v>
      </c>
      <c r="N3183" t="s">
        <v>65</v>
      </c>
    </row>
    <row r="3184" spans="1:14" x14ac:dyDescent="0.3">
      <c r="A3184" s="1">
        <v>45107</v>
      </c>
      <c r="B3184" t="s">
        <v>37</v>
      </c>
      <c r="C3184" t="s">
        <v>38</v>
      </c>
      <c r="D3184" t="s">
        <v>22</v>
      </c>
      <c r="E3184">
        <v>9</v>
      </c>
      <c r="F3184">
        <v>4293</v>
      </c>
      <c r="G3184">
        <v>295.47000000000003</v>
      </c>
      <c r="H3184">
        <v>2023</v>
      </c>
      <c r="I3184" t="s">
        <v>27</v>
      </c>
      <c r="J3184" s="4">
        <v>6.8825995807127893E-2</v>
      </c>
      <c r="K3184" t="s">
        <v>40</v>
      </c>
      <c r="L3184" t="s">
        <v>59</v>
      </c>
      <c r="M3184">
        <v>6</v>
      </c>
      <c r="N3184" t="s">
        <v>66</v>
      </c>
    </row>
    <row r="3185" spans="1:14" x14ac:dyDescent="0.3">
      <c r="A3185" s="1">
        <v>44957</v>
      </c>
      <c r="B3185" t="s">
        <v>37</v>
      </c>
      <c r="C3185" t="s">
        <v>38</v>
      </c>
      <c r="D3185" t="s">
        <v>12</v>
      </c>
      <c r="E3185">
        <v>3</v>
      </c>
      <c r="F3185">
        <v>828</v>
      </c>
      <c r="G3185">
        <v>210.33</v>
      </c>
      <c r="H3185">
        <v>2023</v>
      </c>
      <c r="I3185" t="s">
        <v>26</v>
      </c>
      <c r="J3185" s="4">
        <v>0.25402173913043502</v>
      </c>
      <c r="K3185" t="s">
        <v>40</v>
      </c>
      <c r="L3185" t="s">
        <v>55</v>
      </c>
      <c r="M3185">
        <v>1</v>
      </c>
      <c r="N3185" t="s">
        <v>65</v>
      </c>
    </row>
    <row r="3186" spans="1:14" x14ac:dyDescent="0.3">
      <c r="A3186" s="1">
        <v>44977</v>
      </c>
      <c r="B3186" t="s">
        <v>37</v>
      </c>
      <c r="C3186" t="s">
        <v>38</v>
      </c>
      <c r="D3186" t="s">
        <v>12</v>
      </c>
      <c r="E3186">
        <v>2</v>
      </c>
      <c r="F3186">
        <v>2286</v>
      </c>
      <c r="G3186">
        <v>218.18</v>
      </c>
      <c r="H3186">
        <v>2023</v>
      </c>
      <c r="I3186" t="s">
        <v>16</v>
      </c>
      <c r="J3186" s="4">
        <v>9.54418197725284E-2</v>
      </c>
      <c r="K3186" t="s">
        <v>40</v>
      </c>
      <c r="L3186" t="s">
        <v>55</v>
      </c>
      <c r="M3186">
        <v>2</v>
      </c>
      <c r="N3186" t="s">
        <v>57</v>
      </c>
    </row>
    <row r="3187" spans="1:14" x14ac:dyDescent="0.3">
      <c r="A3187" s="1">
        <v>45157</v>
      </c>
      <c r="B3187" t="s">
        <v>37</v>
      </c>
      <c r="C3187" t="s">
        <v>38</v>
      </c>
      <c r="D3187" t="s">
        <v>19</v>
      </c>
      <c r="E3187">
        <v>1</v>
      </c>
      <c r="F3187">
        <v>330</v>
      </c>
      <c r="G3187">
        <v>78.52</v>
      </c>
      <c r="H3187">
        <v>2023</v>
      </c>
      <c r="I3187" t="s">
        <v>24</v>
      </c>
      <c r="J3187" s="4">
        <v>0.23793939393939401</v>
      </c>
      <c r="K3187" t="s">
        <v>40</v>
      </c>
      <c r="L3187" t="s">
        <v>60</v>
      </c>
      <c r="M3187">
        <v>8</v>
      </c>
      <c r="N3187" t="s">
        <v>63</v>
      </c>
    </row>
    <row r="3188" spans="1:14" x14ac:dyDescent="0.3">
      <c r="A3188" s="1">
        <v>45067</v>
      </c>
      <c r="B3188" t="s">
        <v>37</v>
      </c>
      <c r="C3188" t="s">
        <v>38</v>
      </c>
      <c r="D3188" t="s">
        <v>22</v>
      </c>
      <c r="E3188">
        <v>7</v>
      </c>
      <c r="F3188">
        <v>7595</v>
      </c>
      <c r="G3188">
        <v>969.07</v>
      </c>
      <c r="H3188">
        <v>2023</v>
      </c>
      <c r="I3188" t="s">
        <v>20</v>
      </c>
      <c r="J3188" s="4">
        <v>0.12759315339038799</v>
      </c>
      <c r="K3188" t="s">
        <v>40</v>
      </c>
      <c r="L3188" t="s">
        <v>59</v>
      </c>
      <c r="M3188">
        <v>5</v>
      </c>
      <c r="N3188" t="s">
        <v>20</v>
      </c>
    </row>
    <row r="3189" spans="1:14" x14ac:dyDescent="0.3">
      <c r="A3189" s="1">
        <v>45207</v>
      </c>
      <c r="B3189" t="s">
        <v>37</v>
      </c>
      <c r="C3189" t="s">
        <v>38</v>
      </c>
      <c r="D3189" t="s">
        <v>22</v>
      </c>
      <c r="E3189">
        <v>1</v>
      </c>
      <c r="F3189">
        <v>802</v>
      </c>
      <c r="G3189">
        <v>153.55000000000001</v>
      </c>
      <c r="H3189">
        <v>2023</v>
      </c>
      <c r="I3189" t="s">
        <v>14</v>
      </c>
      <c r="J3189" s="4">
        <v>0.19145885286782999</v>
      </c>
      <c r="K3189" t="s">
        <v>40</v>
      </c>
      <c r="L3189" t="s">
        <v>52</v>
      </c>
      <c r="M3189">
        <v>10</v>
      </c>
      <c r="N3189" t="s">
        <v>54</v>
      </c>
    </row>
    <row r="3190" spans="1:14" x14ac:dyDescent="0.3">
      <c r="A3190" s="1">
        <v>45241</v>
      </c>
      <c r="B3190" t="s">
        <v>37</v>
      </c>
      <c r="C3190" t="s">
        <v>38</v>
      </c>
      <c r="D3190" t="s">
        <v>22</v>
      </c>
      <c r="E3190">
        <v>4</v>
      </c>
      <c r="F3190">
        <v>4360</v>
      </c>
      <c r="G3190">
        <v>1207.46</v>
      </c>
      <c r="H3190">
        <v>2023</v>
      </c>
      <c r="I3190" t="s">
        <v>18</v>
      </c>
      <c r="J3190" s="4">
        <v>0.27694036697247698</v>
      </c>
      <c r="K3190" t="s">
        <v>40</v>
      </c>
      <c r="L3190" t="s">
        <v>52</v>
      </c>
      <c r="M3190">
        <v>11</v>
      </c>
      <c r="N3190" t="s">
        <v>58</v>
      </c>
    </row>
    <row r="3191" spans="1:14" x14ac:dyDescent="0.3">
      <c r="A3191" s="1">
        <v>44964</v>
      </c>
      <c r="B3191" t="s">
        <v>37</v>
      </c>
      <c r="C3191" t="s">
        <v>38</v>
      </c>
      <c r="D3191" t="s">
        <v>22</v>
      </c>
      <c r="E3191">
        <v>7</v>
      </c>
      <c r="F3191">
        <v>3528</v>
      </c>
      <c r="G3191">
        <v>260.06</v>
      </c>
      <c r="H3191">
        <v>2023</v>
      </c>
      <c r="I3191" t="s">
        <v>16</v>
      </c>
      <c r="J3191" s="4">
        <v>7.3713151927437603E-2</v>
      </c>
      <c r="K3191" t="s">
        <v>40</v>
      </c>
      <c r="L3191" t="s">
        <v>55</v>
      </c>
      <c r="M3191">
        <v>2</v>
      </c>
      <c r="N3191" t="s">
        <v>57</v>
      </c>
    </row>
    <row r="3192" spans="1:14" x14ac:dyDescent="0.3">
      <c r="A3192" s="1">
        <v>45218</v>
      </c>
      <c r="B3192" t="s">
        <v>37</v>
      </c>
      <c r="C3192" t="s">
        <v>38</v>
      </c>
      <c r="D3192" t="s">
        <v>22</v>
      </c>
      <c r="E3192">
        <v>7</v>
      </c>
      <c r="F3192">
        <v>2758</v>
      </c>
      <c r="G3192">
        <v>459.02</v>
      </c>
      <c r="H3192">
        <v>2023</v>
      </c>
      <c r="I3192" t="s">
        <v>14</v>
      </c>
      <c r="J3192" s="4">
        <v>0.16643219724437999</v>
      </c>
      <c r="K3192" t="s">
        <v>40</v>
      </c>
      <c r="L3192" t="s">
        <v>52</v>
      </c>
      <c r="M3192">
        <v>10</v>
      </c>
      <c r="N3192" t="s">
        <v>54</v>
      </c>
    </row>
    <row r="3193" spans="1:14" x14ac:dyDescent="0.3">
      <c r="A3193" s="1">
        <v>44953</v>
      </c>
      <c r="B3193" t="s">
        <v>37</v>
      </c>
      <c r="C3193" t="s">
        <v>38</v>
      </c>
      <c r="D3193" t="s">
        <v>17</v>
      </c>
      <c r="E3193">
        <v>5</v>
      </c>
      <c r="F3193">
        <v>5960</v>
      </c>
      <c r="G3193">
        <v>1139.78</v>
      </c>
      <c r="H3193">
        <v>2023</v>
      </c>
      <c r="I3193" t="s">
        <v>26</v>
      </c>
      <c r="J3193" s="4">
        <v>0.19123825503355699</v>
      </c>
      <c r="K3193" t="s">
        <v>40</v>
      </c>
      <c r="L3193" t="s">
        <v>55</v>
      </c>
      <c r="M3193">
        <v>1</v>
      </c>
      <c r="N3193" t="s">
        <v>65</v>
      </c>
    </row>
    <row r="3194" spans="1:14" x14ac:dyDescent="0.3">
      <c r="A3194" s="1">
        <v>45091</v>
      </c>
      <c r="B3194" t="s">
        <v>37</v>
      </c>
      <c r="C3194" t="s">
        <v>38</v>
      </c>
      <c r="D3194" t="s">
        <v>22</v>
      </c>
      <c r="E3194">
        <v>9</v>
      </c>
      <c r="F3194">
        <v>2178</v>
      </c>
      <c r="G3194">
        <v>382.67</v>
      </c>
      <c r="H3194">
        <v>2023</v>
      </c>
      <c r="I3194" t="s">
        <v>27</v>
      </c>
      <c r="J3194" s="4">
        <v>0.175697887970615</v>
      </c>
      <c r="K3194" t="s">
        <v>40</v>
      </c>
      <c r="L3194" t="s">
        <v>59</v>
      </c>
      <c r="M3194">
        <v>6</v>
      </c>
      <c r="N3194" t="s">
        <v>66</v>
      </c>
    </row>
    <row r="3195" spans="1:14" x14ac:dyDescent="0.3">
      <c r="A3195" s="1">
        <v>45199</v>
      </c>
      <c r="B3195" t="s">
        <v>37</v>
      </c>
      <c r="C3195" t="s">
        <v>38</v>
      </c>
      <c r="D3195" t="s">
        <v>19</v>
      </c>
      <c r="E3195">
        <v>9</v>
      </c>
      <c r="F3195">
        <v>6255</v>
      </c>
      <c r="G3195">
        <v>452.46</v>
      </c>
      <c r="H3195">
        <v>2023</v>
      </c>
      <c r="I3195" t="s">
        <v>21</v>
      </c>
      <c r="J3195" s="4">
        <v>7.2335731414868099E-2</v>
      </c>
      <c r="K3195" t="s">
        <v>40</v>
      </c>
      <c r="L3195" t="s">
        <v>60</v>
      </c>
      <c r="M3195">
        <v>9</v>
      </c>
      <c r="N3195" t="s">
        <v>61</v>
      </c>
    </row>
    <row r="3196" spans="1:14" x14ac:dyDescent="0.3">
      <c r="A3196" s="1">
        <v>45048</v>
      </c>
      <c r="B3196" t="s">
        <v>37</v>
      </c>
      <c r="C3196" t="s">
        <v>38</v>
      </c>
      <c r="D3196" t="s">
        <v>19</v>
      </c>
      <c r="E3196">
        <v>5</v>
      </c>
      <c r="F3196">
        <v>4165</v>
      </c>
      <c r="G3196">
        <v>1012.37</v>
      </c>
      <c r="H3196">
        <v>2023</v>
      </c>
      <c r="I3196" t="s">
        <v>20</v>
      </c>
      <c r="J3196" s="4">
        <v>0.24306602641056399</v>
      </c>
      <c r="K3196" t="s">
        <v>40</v>
      </c>
      <c r="L3196" t="s">
        <v>59</v>
      </c>
      <c r="M3196">
        <v>5</v>
      </c>
      <c r="N3196" t="s">
        <v>20</v>
      </c>
    </row>
    <row r="3197" spans="1:14" x14ac:dyDescent="0.3">
      <c r="A3197" s="1">
        <v>45242</v>
      </c>
      <c r="B3197" t="s">
        <v>37</v>
      </c>
      <c r="C3197" t="s">
        <v>38</v>
      </c>
      <c r="D3197" t="s">
        <v>17</v>
      </c>
      <c r="E3197">
        <v>9</v>
      </c>
      <c r="F3197">
        <v>1737</v>
      </c>
      <c r="G3197">
        <v>152.97999999999999</v>
      </c>
      <c r="H3197">
        <v>2023</v>
      </c>
      <c r="I3197" t="s">
        <v>18</v>
      </c>
      <c r="J3197" s="4">
        <v>8.8071387449625796E-2</v>
      </c>
      <c r="K3197" t="s">
        <v>40</v>
      </c>
      <c r="L3197" t="s">
        <v>52</v>
      </c>
      <c r="M3197">
        <v>11</v>
      </c>
      <c r="N3197" t="s">
        <v>58</v>
      </c>
    </row>
    <row r="3198" spans="1:14" x14ac:dyDescent="0.3">
      <c r="A3198" s="1">
        <v>44935</v>
      </c>
      <c r="B3198" t="s">
        <v>37</v>
      </c>
      <c r="C3198" t="s">
        <v>38</v>
      </c>
      <c r="D3198" t="s">
        <v>12</v>
      </c>
      <c r="E3198">
        <v>4</v>
      </c>
      <c r="F3198">
        <v>1116</v>
      </c>
      <c r="G3198">
        <v>242.31</v>
      </c>
      <c r="H3198">
        <v>2023</v>
      </c>
      <c r="I3198" t="s">
        <v>26</v>
      </c>
      <c r="J3198" s="4">
        <v>0.217123655913978</v>
      </c>
      <c r="K3198" t="s">
        <v>40</v>
      </c>
      <c r="L3198" t="s">
        <v>55</v>
      </c>
      <c r="M3198">
        <v>1</v>
      </c>
      <c r="N3198" t="s">
        <v>65</v>
      </c>
    </row>
    <row r="3199" spans="1:14" x14ac:dyDescent="0.3">
      <c r="A3199" s="1">
        <v>45224</v>
      </c>
      <c r="B3199" t="s">
        <v>37</v>
      </c>
      <c r="C3199" t="s">
        <v>38</v>
      </c>
      <c r="D3199" t="s">
        <v>22</v>
      </c>
      <c r="E3199">
        <v>8</v>
      </c>
      <c r="F3199">
        <v>6016</v>
      </c>
      <c r="G3199">
        <v>898.33</v>
      </c>
      <c r="H3199">
        <v>2023</v>
      </c>
      <c r="I3199" t="s">
        <v>14</v>
      </c>
      <c r="J3199" s="4">
        <v>0.149323470744681</v>
      </c>
      <c r="K3199" t="s">
        <v>40</v>
      </c>
      <c r="L3199" t="s">
        <v>52</v>
      </c>
      <c r="M3199">
        <v>10</v>
      </c>
      <c r="N3199" t="s">
        <v>54</v>
      </c>
    </row>
    <row r="3200" spans="1:14" x14ac:dyDescent="0.3">
      <c r="A3200" s="1">
        <v>45184</v>
      </c>
      <c r="B3200" t="s">
        <v>37</v>
      </c>
      <c r="C3200" t="s">
        <v>38</v>
      </c>
      <c r="D3200" t="s">
        <v>22</v>
      </c>
      <c r="E3200">
        <v>8</v>
      </c>
      <c r="F3200">
        <v>5912</v>
      </c>
      <c r="G3200">
        <v>1153.18</v>
      </c>
      <c r="H3200">
        <v>2023</v>
      </c>
      <c r="I3200" t="s">
        <v>21</v>
      </c>
      <c r="J3200" s="4">
        <v>0.19505751014885001</v>
      </c>
      <c r="K3200" t="s">
        <v>40</v>
      </c>
      <c r="L3200" t="s">
        <v>60</v>
      </c>
      <c r="M3200">
        <v>9</v>
      </c>
      <c r="N3200" t="s">
        <v>61</v>
      </c>
    </row>
    <row r="3201" spans="1:14" x14ac:dyDescent="0.3">
      <c r="A3201" s="1">
        <v>45114</v>
      </c>
      <c r="B3201" t="s">
        <v>37</v>
      </c>
      <c r="C3201" t="s">
        <v>38</v>
      </c>
      <c r="D3201" t="s">
        <v>22</v>
      </c>
      <c r="E3201">
        <v>6</v>
      </c>
      <c r="F3201">
        <v>3132</v>
      </c>
      <c r="G3201">
        <v>919.52</v>
      </c>
      <c r="H3201">
        <v>2023</v>
      </c>
      <c r="I3201" t="s">
        <v>25</v>
      </c>
      <c r="J3201" s="4">
        <v>0.29358876117496802</v>
      </c>
      <c r="K3201" t="s">
        <v>40</v>
      </c>
      <c r="L3201" t="s">
        <v>60</v>
      </c>
      <c r="M3201">
        <v>7</v>
      </c>
      <c r="N3201" t="s">
        <v>64</v>
      </c>
    </row>
    <row r="3202" spans="1:14" x14ac:dyDescent="0.3">
      <c r="A3202" s="1">
        <v>45236</v>
      </c>
      <c r="B3202" t="s">
        <v>37</v>
      </c>
      <c r="C3202" t="s">
        <v>38</v>
      </c>
      <c r="D3202" t="s">
        <v>17</v>
      </c>
      <c r="E3202">
        <v>3</v>
      </c>
      <c r="F3202">
        <v>3522</v>
      </c>
      <c r="G3202">
        <v>883.41</v>
      </c>
      <c r="H3202">
        <v>2023</v>
      </c>
      <c r="I3202" t="s">
        <v>18</v>
      </c>
      <c r="J3202" s="4">
        <v>0.250826235093697</v>
      </c>
      <c r="K3202" t="s">
        <v>40</v>
      </c>
      <c r="L3202" t="s">
        <v>52</v>
      </c>
      <c r="M3202">
        <v>11</v>
      </c>
      <c r="N3202" t="s">
        <v>58</v>
      </c>
    </row>
    <row r="3203" spans="1:14" x14ac:dyDescent="0.3">
      <c r="A3203" s="1">
        <v>45280</v>
      </c>
      <c r="B3203" t="s">
        <v>37</v>
      </c>
      <c r="C3203" t="s">
        <v>38</v>
      </c>
      <c r="D3203" t="s">
        <v>22</v>
      </c>
      <c r="E3203">
        <v>6</v>
      </c>
      <c r="F3203">
        <v>2142</v>
      </c>
      <c r="G3203">
        <v>476.19</v>
      </c>
      <c r="H3203">
        <v>2023</v>
      </c>
      <c r="I3203" t="s">
        <v>13</v>
      </c>
      <c r="J3203" s="4">
        <v>0.222310924369748</v>
      </c>
      <c r="K3203" t="s">
        <v>40</v>
      </c>
      <c r="L3203" t="s">
        <v>52</v>
      </c>
      <c r="M3203">
        <v>12</v>
      </c>
      <c r="N3203" t="s">
        <v>53</v>
      </c>
    </row>
    <row r="3204" spans="1:14" x14ac:dyDescent="0.3">
      <c r="A3204" s="1">
        <v>45053</v>
      </c>
      <c r="B3204" t="s">
        <v>37</v>
      </c>
      <c r="C3204" t="s">
        <v>38</v>
      </c>
      <c r="D3204" t="s">
        <v>22</v>
      </c>
      <c r="E3204">
        <v>4</v>
      </c>
      <c r="F3204">
        <v>2456</v>
      </c>
      <c r="G3204">
        <v>163.61000000000001</v>
      </c>
      <c r="H3204">
        <v>2023</v>
      </c>
      <c r="I3204" t="s">
        <v>20</v>
      </c>
      <c r="J3204" s="4">
        <v>6.6616449511400597E-2</v>
      </c>
      <c r="K3204" t="s">
        <v>40</v>
      </c>
      <c r="L3204" t="s">
        <v>59</v>
      </c>
      <c r="M3204">
        <v>5</v>
      </c>
      <c r="N3204" t="s">
        <v>20</v>
      </c>
    </row>
    <row r="3205" spans="1:14" x14ac:dyDescent="0.3">
      <c r="A3205" s="1">
        <v>45258</v>
      </c>
      <c r="B3205" t="s">
        <v>37</v>
      </c>
      <c r="C3205" t="s">
        <v>38</v>
      </c>
      <c r="D3205" t="s">
        <v>22</v>
      </c>
      <c r="E3205">
        <v>8</v>
      </c>
      <c r="F3205">
        <v>3912</v>
      </c>
      <c r="G3205">
        <v>334.1</v>
      </c>
      <c r="H3205">
        <v>2023</v>
      </c>
      <c r="I3205" t="s">
        <v>18</v>
      </c>
      <c r="J3205" s="4">
        <v>8.5403885480572594E-2</v>
      </c>
      <c r="K3205" t="s">
        <v>40</v>
      </c>
      <c r="L3205" t="s">
        <v>52</v>
      </c>
      <c r="M3205">
        <v>11</v>
      </c>
      <c r="N3205" t="s">
        <v>58</v>
      </c>
    </row>
    <row r="3206" spans="1:14" x14ac:dyDescent="0.3">
      <c r="A3206" s="1">
        <v>45119</v>
      </c>
      <c r="B3206" t="s">
        <v>37</v>
      </c>
      <c r="C3206" t="s">
        <v>38</v>
      </c>
      <c r="D3206" t="s">
        <v>19</v>
      </c>
      <c r="E3206">
        <v>8</v>
      </c>
      <c r="F3206">
        <v>8952</v>
      </c>
      <c r="G3206">
        <v>1825.37</v>
      </c>
      <c r="H3206">
        <v>2023</v>
      </c>
      <c r="I3206" t="s">
        <v>25</v>
      </c>
      <c r="J3206" s="4">
        <v>0.203906389633601</v>
      </c>
      <c r="K3206" t="s">
        <v>40</v>
      </c>
      <c r="L3206" t="s">
        <v>60</v>
      </c>
      <c r="M3206">
        <v>7</v>
      </c>
      <c r="N3206" t="s">
        <v>64</v>
      </c>
    </row>
    <row r="3207" spans="1:14" x14ac:dyDescent="0.3">
      <c r="A3207" s="1">
        <v>45141</v>
      </c>
      <c r="B3207" t="s">
        <v>37</v>
      </c>
      <c r="C3207" t="s">
        <v>38</v>
      </c>
      <c r="D3207" t="s">
        <v>17</v>
      </c>
      <c r="E3207">
        <v>6</v>
      </c>
      <c r="F3207">
        <v>1194</v>
      </c>
      <c r="G3207">
        <v>79.62</v>
      </c>
      <c r="H3207">
        <v>2023</v>
      </c>
      <c r="I3207" t="s">
        <v>24</v>
      </c>
      <c r="J3207" s="4">
        <v>6.6683417085427202E-2</v>
      </c>
      <c r="K3207" t="s">
        <v>40</v>
      </c>
      <c r="L3207" t="s">
        <v>60</v>
      </c>
      <c r="M3207">
        <v>8</v>
      </c>
      <c r="N3207" t="s">
        <v>63</v>
      </c>
    </row>
    <row r="3208" spans="1:14" x14ac:dyDescent="0.3">
      <c r="A3208" s="1">
        <v>45143</v>
      </c>
      <c r="B3208" t="s">
        <v>37</v>
      </c>
      <c r="C3208" t="s">
        <v>38</v>
      </c>
      <c r="D3208" t="s">
        <v>12</v>
      </c>
      <c r="E3208">
        <v>6</v>
      </c>
      <c r="F3208">
        <v>3006</v>
      </c>
      <c r="G3208">
        <v>730.14</v>
      </c>
      <c r="H3208">
        <v>2023</v>
      </c>
      <c r="I3208" t="s">
        <v>24</v>
      </c>
      <c r="J3208" s="4">
        <v>0.24289421157684599</v>
      </c>
      <c r="K3208" t="s">
        <v>40</v>
      </c>
      <c r="L3208" t="s">
        <v>60</v>
      </c>
      <c r="M3208">
        <v>8</v>
      </c>
      <c r="N3208" t="s">
        <v>63</v>
      </c>
    </row>
    <row r="3209" spans="1:14" x14ac:dyDescent="0.3">
      <c r="A3209" s="1">
        <v>45062</v>
      </c>
      <c r="B3209" t="s">
        <v>37</v>
      </c>
      <c r="C3209" t="s">
        <v>38</v>
      </c>
      <c r="D3209" t="s">
        <v>22</v>
      </c>
      <c r="E3209">
        <v>4</v>
      </c>
      <c r="F3209">
        <v>3068</v>
      </c>
      <c r="G3209">
        <v>868.89</v>
      </c>
      <c r="H3209">
        <v>2023</v>
      </c>
      <c r="I3209" t="s">
        <v>20</v>
      </c>
      <c r="J3209" s="4">
        <v>0.28321056062581501</v>
      </c>
      <c r="K3209" t="s">
        <v>40</v>
      </c>
      <c r="L3209" t="s">
        <v>59</v>
      </c>
      <c r="M3209">
        <v>5</v>
      </c>
      <c r="N3209" t="s">
        <v>20</v>
      </c>
    </row>
    <row r="3210" spans="1:14" x14ac:dyDescent="0.3">
      <c r="A3210" s="1">
        <v>45035</v>
      </c>
      <c r="B3210" t="s">
        <v>37</v>
      </c>
      <c r="C3210" t="s">
        <v>38</v>
      </c>
      <c r="D3210" t="s">
        <v>22</v>
      </c>
      <c r="E3210">
        <v>7</v>
      </c>
      <c r="F3210">
        <v>1659</v>
      </c>
      <c r="G3210">
        <v>127.48</v>
      </c>
      <c r="H3210">
        <v>2023</v>
      </c>
      <c r="I3210" t="s">
        <v>23</v>
      </c>
      <c r="J3210" s="4">
        <v>7.6841470765521405E-2</v>
      </c>
      <c r="K3210" t="s">
        <v>40</v>
      </c>
      <c r="L3210" t="s">
        <v>59</v>
      </c>
      <c r="M3210">
        <v>4</v>
      </c>
      <c r="N3210" t="s">
        <v>62</v>
      </c>
    </row>
    <row r="3211" spans="1:14" x14ac:dyDescent="0.3">
      <c r="A3211" s="1">
        <v>45086</v>
      </c>
      <c r="B3211" t="s">
        <v>37</v>
      </c>
      <c r="C3211" t="s">
        <v>38</v>
      </c>
      <c r="D3211" t="s">
        <v>17</v>
      </c>
      <c r="E3211">
        <v>5</v>
      </c>
      <c r="F3211">
        <v>3275</v>
      </c>
      <c r="G3211">
        <v>222.29</v>
      </c>
      <c r="H3211">
        <v>2023</v>
      </c>
      <c r="I3211" t="s">
        <v>27</v>
      </c>
      <c r="J3211" s="4">
        <v>6.7874809160305402E-2</v>
      </c>
      <c r="K3211" t="s">
        <v>40</v>
      </c>
      <c r="L3211" t="s">
        <v>59</v>
      </c>
      <c r="M3211">
        <v>6</v>
      </c>
      <c r="N3211" t="s">
        <v>66</v>
      </c>
    </row>
    <row r="3212" spans="1:14" x14ac:dyDescent="0.3">
      <c r="A3212" s="1">
        <v>45173</v>
      </c>
      <c r="B3212" t="s">
        <v>37</v>
      </c>
      <c r="C3212" t="s">
        <v>38</v>
      </c>
      <c r="D3212" t="s">
        <v>22</v>
      </c>
      <c r="E3212">
        <v>1</v>
      </c>
      <c r="F3212">
        <v>566</v>
      </c>
      <c r="G3212">
        <v>169.17</v>
      </c>
      <c r="H3212">
        <v>2023</v>
      </c>
      <c r="I3212" t="s">
        <v>21</v>
      </c>
      <c r="J3212" s="4">
        <v>0.29888692579505299</v>
      </c>
      <c r="K3212" t="s">
        <v>40</v>
      </c>
      <c r="L3212" t="s">
        <v>60</v>
      </c>
      <c r="M3212">
        <v>9</v>
      </c>
      <c r="N3212" t="s">
        <v>61</v>
      </c>
    </row>
    <row r="3213" spans="1:14" x14ac:dyDescent="0.3">
      <c r="A3213" s="1">
        <v>45236</v>
      </c>
      <c r="B3213" t="s">
        <v>37</v>
      </c>
      <c r="C3213" t="s">
        <v>38</v>
      </c>
      <c r="D3213" t="s">
        <v>12</v>
      </c>
      <c r="E3213">
        <v>1</v>
      </c>
      <c r="F3213">
        <v>196</v>
      </c>
      <c r="G3213">
        <v>39.6</v>
      </c>
      <c r="H3213">
        <v>2023</v>
      </c>
      <c r="I3213" t="s">
        <v>18</v>
      </c>
      <c r="J3213" s="4">
        <v>0.20204081632653101</v>
      </c>
      <c r="K3213" t="s">
        <v>40</v>
      </c>
      <c r="L3213" t="s">
        <v>52</v>
      </c>
      <c r="M3213">
        <v>11</v>
      </c>
      <c r="N3213" t="s">
        <v>58</v>
      </c>
    </row>
    <row r="3214" spans="1:14" x14ac:dyDescent="0.3">
      <c r="A3214" s="1">
        <v>45122</v>
      </c>
      <c r="B3214" t="s">
        <v>37</v>
      </c>
      <c r="C3214" t="s">
        <v>38</v>
      </c>
      <c r="D3214" t="s">
        <v>22</v>
      </c>
      <c r="E3214">
        <v>8</v>
      </c>
      <c r="F3214">
        <v>2416</v>
      </c>
      <c r="G3214">
        <v>500.93</v>
      </c>
      <c r="H3214">
        <v>2023</v>
      </c>
      <c r="I3214" t="s">
        <v>25</v>
      </c>
      <c r="J3214" s="4">
        <v>0.20733857615894</v>
      </c>
      <c r="K3214" t="s">
        <v>40</v>
      </c>
      <c r="L3214" t="s">
        <v>60</v>
      </c>
      <c r="M3214">
        <v>7</v>
      </c>
      <c r="N3214" t="s">
        <v>64</v>
      </c>
    </row>
    <row r="3215" spans="1:14" x14ac:dyDescent="0.3">
      <c r="A3215" s="1">
        <v>45011</v>
      </c>
      <c r="B3215" t="s">
        <v>37</v>
      </c>
      <c r="C3215" t="s">
        <v>38</v>
      </c>
      <c r="D3215" t="s">
        <v>17</v>
      </c>
      <c r="E3215">
        <v>6</v>
      </c>
      <c r="F3215">
        <v>6432</v>
      </c>
      <c r="G3215">
        <v>1410.52</v>
      </c>
      <c r="H3215">
        <v>2023</v>
      </c>
      <c r="I3215" t="s">
        <v>15</v>
      </c>
      <c r="J3215" s="4">
        <v>0.219297263681592</v>
      </c>
      <c r="K3215" t="s">
        <v>40</v>
      </c>
      <c r="L3215" t="s">
        <v>55</v>
      </c>
      <c r="M3215">
        <v>3</v>
      </c>
      <c r="N3215" t="s">
        <v>56</v>
      </c>
    </row>
    <row r="3216" spans="1:14" x14ac:dyDescent="0.3">
      <c r="A3216" s="1">
        <v>45036</v>
      </c>
      <c r="B3216" t="s">
        <v>37</v>
      </c>
      <c r="C3216" t="s">
        <v>38</v>
      </c>
      <c r="D3216" t="s">
        <v>19</v>
      </c>
      <c r="E3216">
        <v>4</v>
      </c>
      <c r="F3216">
        <v>3856</v>
      </c>
      <c r="G3216">
        <v>747.79</v>
      </c>
      <c r="H3216">
        <v>2023</v>
      </c>
      <c r="I3216" t="s">
        <v>23</v>
      </c>
      <c r="J3216" s="4">
        <v>0.19392894190871399</v>
      </c>
      <c r="K3216" t="s">
        <v>40</v>
      </c>
      <c r="L3216" t="s">
        <v>59</v>
      </c>
      <c r="M3216">
        <v>4</v>
      </c>
      <c r="N3216" t="s">
        <v>62</v>
      </c>
    </row>
    <row r="3217" spans="1:14" x14ac:dyDescent="0.3">
      <c r="A3217" s="1">
        <v>45245</v>
      </c>
      <c r="B3217" t="s">
        <v>37</v>
      </c>
      <c r="C3217" t="s">
        <v>38</v>
      </c>
      <c r="D3217" t="s">
        <v>12</v>
      </c>
      <c r="E3217">
        <v>3</v>
      </c>
      <c r="F3217">
        <v>2316</v>
      </c>
      <c r="G3217">
        <v>356.5</v>
      </c>
      <c r="H3217">
        <v>2023</v>
      </c>
      <c r="I3217" t="s">
        <v>18</v>
      </c>
      <c r="J3217" s="4">
        <v>0.153929188255613</v>
      </c>
      <c r="K3217" t="s">
        <v>40</v>
      </c>
      <c r="L3217" t="s">
        <v>52</v>
      </c>
      <c r="M3217">
        <v>11</v>
      </c>
      <c r="N3217" t="s">
        <v>58</v>
      </c>
    </row>
    <row r="3218" spans="1:14" x14ac:dyDescent="0.3">
      <c r="A3218" s="1">
        <v>45013</v>
      </c>
      <c r="B3218" t="s">
        <v>37</v>
      </c>
      <c r="C3218" t="s">
        <v>38</v>
      </c>
      <c r="D3218" t="s">
        <v>12</v>
      </c>
      <c r="E3218">
        <v>6</v>
      </c>
      <c r="F3218">
        <v>1608</v>
      </c>
      <c r="G3218">
        <v>302.32</v>
      </c>
      <c r="H3218">
        <v>2023</v>
      </c>
      <c r="I3218" t="s">
        <v>15</v>
      </c>
      <c r="J3218" s="4">
        <v>0.188009950248756</v>
      </c>
      <c r="K3218" t="s">
        <v>40</v>
      </c>
      <c r="L3218" t="s">
        <v>55</v>
      </c>
      <c r="M3218">
        <v>3</v>
      </c>
      <c r="N3218" t="s">
        <v>56</v>
      </c>
    </row>
    <row r="3219" spans="1:14" x14ac:dyDescent="0.3">
      <c r="A3219" s="1">
        <v>45080</v>
      </c>
      <c r="B3219" t="s">
        <v>37</v>
      </c>
      <c r="C3219" t="s">
        <v>38</v>
      </c>
      <c r="D3219" t="s">
        <v>22</v>
      </c>
      <c r="E3219">
        <v>3</v>
      </c>
      <c r="F3219">
        <v>768</v>
      </c>
      <c r="G3219">
        <v>85.37</v>
      </c>
      <c r="H3219">
        <v>2023</v>
      </c>
      <c r="I3219" t="s">
        <v>27</v>
      </c>
      <c r="J3219" s="4">
        <v>0.111158854166667</v>
      </c>
      <c r="K3219" t="s">
        <v>40</v>
      </c>
      <c r="L3219" t="s">
        <v>59</v>
      </c>
      <c r="M3219">
        <v>6</v>
      </c>
      <c r="N3219" t="s">
        <v>66</v>
      </c>
    </row>
    <row r="3220" spans="1:14" x14ac:dyDescent="0.3">
      <c r="A3220" s="1">
        <v>44995</v>
      </c>
      <c r="B3220" t="s">
        <v>37</v>
      </c>
      <c r="C3220" t="s">
        <v>38</v>
      </c>
      <c r="D3220" t="s">
        <v>17</v>
      </c>
      <c r="E3220">
        <v>9</v>
      </c>
      <c r="F3220">
        <v>7281</v>
      </c>
      <c r="G3220">
        <v>396.28</v>
      </c>
      <c r="H3220">
        <v>2023</v>
      </c>
      <c r="I3220" t="s">
        <v>15</v>
      </c>
      <c r="J3220" s="4">
        <v>5.4426589754154597E-2</v>
      </c>
      <c r="K3220" t="s">
        <v>40</v>
      </c>
      <c r="L3220" t="s">
        <v>55</v>
      </c>
      <c r="M3220">
        <v>3</v>
      </c>
      <c r="N3220" t="s">
        <v>56</v>
      </c>
    </row>
    <row r="3221" spans="1:14" x14ac:dyDescent="0.3">
      <c r="A3221" s="1">
        <v>45225</v>
      </c>
      <c r="B3221" t="s">
        <v>37</v>
      </c>
      <c r="C3221" t="s">
        <v>38</v>
      </c>
      <c r="D3221" t="s">
        <v>19</v>
      </c>
      <c r="E3221">
        <v>8</v>
      </c>
      <c r="F3221">
        <v>6016</v>
      </c>
      <c r="G3221">
        <v>406.13</v>
      </c>
      <c r="H3221">
        <v>2023</v>
      </c>
      <c r="I3221" t="s">
        <v>14</v>
      </c>
      <c r="J3221" s="4">
        <v>6.7508311170212804E-2</v>
      </c>
      <c r="K3221" t="s">
        <v>40</v>
      </c>
      <c r="L3221" t="s">
        <v>52</v>
      </c>
      <c r="M3221">
        <v>10</v>
      </c>
      <c r="N3221" t="s">
        <v>54</v>
      </c>
    </row>
    <row r="3222" spans="1:14" x14ac:dyDescent="0.3">
      <c r="A3222" s="1">
        <v>45134</v>
      </c>
      <c r="B3222" t="s">
        <v>37</v>
      </c>
      <c r="C3222" t="s">
        <v>38</v>
      </c>
      <c r="D3222" t="s">
        <v>12</v>
      </c>
      <c r="E3222">
        <v>8</v>
      </c>
      <c r="F3222">
        <v>2176</v>
      </c>
      <c r="G3222">
        <v>398.29</v>
      </c>
      <c r="H3222">
        <v>2023</v>
      </c>
      <c r="I3222" t="s">
        <v>25</v>
      </c>
      <c r="J3222" s="4">
        <v>0.183037683823529</v>
      </c>
      <c r="K3222" t="s">
        <v>40</v>
      </c>
      <c r="L3222" t="s">
        <v>60</v>
      </c>
      <c r="M3222">
        <v>7</v>
      </c>
      <c r="N3222" t="s">
        <v>64</v>
      </c>
    </row>
    <row r="3223" spans="1:14" x14ac:dyDescent="0.3">
      <c r="A3223" s="1">
        <v>45077</v>
      </c>
      <c r="B3223" t="s">
        <v>37</v>
      </c>
      <c r="C3223" t="s">
        <v>38</v>
      </c>
      <c r="D3223" t="s">
        <v>22</v>
      </c>
      <c r="E3223">
        <v>5</v>
      </c>
      <c r="F3223">
        <v>3475</v>
      </c>
      <c r="G3223">
        <v>991.47</v>
      </c>
      <c r="H3223">
        <v>2023</v>
      </c>
      <c r="I3223" t="s">
        <v>20</v>
      </c>
      <c r="J3223" s="4">
        <v>0.28531510791366899</v>
      </c>
      <c r="K3223" t="s">
        <v>40</v>
      </c>
      <c r="L3223" t="s">
        <v>59</v>
      </c>
      <c r="M3223">
        <v>5</v>
      </c>
      <c r="N3223" t="s">
        <v>20</v>
      </c>
    </row>
    <row r="3224" spans="1:14" x14ac:dyDescent="0.3">
      <c r="A3224" s="1">
        <v>45289</v>
      </c>
      <c r="B3224" t="s">
        <v>37</v>
      </c>
      <c r="C3224" t="s">
        <v>38</v>
      </c>
      <c r="D3224" t="s">
        <v>12</v>
      </c>
      <c r="E3224">
        <v>2</v>
      </c>
      <c r="F3224">
        <v>340</v>
      </c>
      <c r="G3224">
        <v>59.56</v>
      </c>
      <c r="H3224">
        <v>2023</v>
      </c>
      <c r="I3224" t="s">
        <v>13</v>
      </c>
      <c r="J3224" s="4">
        <v>0.17517647058823499</v>
      </c>
      <c r="K3224" t="s">
        <v>40</v>
      </c>
      <c r="L3224" t="s">
        <v>52</v>
      </c>
      <c r="M3224">
        <v>12</v>
      </c>
      <c r="N3224" t="s">
        <v>53</v>
      </c>
    </row>
    <row r="3225" spans="1:14" x14ac:dyDescent="0.3">
      <c r="A3225" s="1">
        <v>44932</v>
      </c>
      <c r="B3225" t="s">
        <v>37</v>
      </c>
      <c r="C3225" t="s">
        <v>38</v>
      </c>
      <c r="D3225" t="s">
        <v>22</v>
      </c>
      <c r="E3225">
        <v>6</v>
      </c>
      <c r="F3225">
        <v>5658</v>
      </c>
      <c r="G3225">
        <v>1504.97</v>
      </c>
      <c r="H3225">
        <v>2023</v>
      </c>
      <c r="I3225" t="s">
        <v>26</v>
      </c>
      <c r="J3225" s="4">
        <v>0.26598974902792499</v>
      </c>
      <c r="K3225" t="s">
        <v>40</v>
      </c>
      <c r="L3225" t="s">
        <v>55</v>
      </c>
      <c r="M3225">
        <v>1</v>
      </c>
      <c r="N3225" t="s">
        <v>65</v>
      </c>
    </row>
    <row r="3226" spans="1:14" x14ac:dyDescent="0.3">
      <c r="A3226" s="1">
        <v>45256</v>
      </c>
      <c r="B3226" t="s">
        <v>37</v>
      </c>
      <c r="C3226" t="s">
        <v>38</v>
      </c>
      <c r="D3226" t="s">
        <v>12</v>
      </c>
      <c r="E3226">
        <v>5</v>
      </c>
      <c r="F3226">
        <v>1925</v>
      </c>
      <c r="G3226">
        <v>570.92999999999995</v>
      </c>
      <c r="H3226">
        <v>2023</v>
      </c>
      <c r="I3226" t="s">
        <v>18</v>
      </c>
      <c r="J3226" s="4">
        <v>0.29658701298701301</v>
      </c>
      <c r="K3226" t="s">
        <v>40</v>
      </c>
      <c r="L3226" t="s">
        <v>52</v>
      </c>
      <c r="M3226">
        <v>11</v>
      </c>
      <c r="N3226" t="s">
        <v>58</v>
      </c>
    </row>
    <row r="3227" spans="1:14" x14ac:dyDescent="0.3">
      <c r="A3227" s="1">
        <v>45246</v>
      </c>
      <c r="B3227" t="s">
        <v>37</v>
      </c>
      <c r="C3227" t="s">
        <v>38</v>
      </c>
      <c r="D3227" t="s">
        <v>22</v>
      </c>
      <c r="E3227">
        <v>9</v>
      </c>
      <c r="F3227">
        <v>6813</v>
      </c>
      <c r="G3227">
        <v>1966.66</v>
      </c>
      <c r="H3227">
        <v>2023</v>
      </c>
      <c r="I3227" t="s">
        <v>18</v>
      </c>
      <c r="J3227" s="4">
        <v>0.288662850432996</v>
      </c>
      <c r="K3227" t="s">
        <v>40</v>
      </c>
      <c r="L3227" t="s">
        <v>52</v>
      </c>
      <c r="M3227">
        <v>11</v>
      </c>
      <c r="N3227" t="s">
        <v>58</v>
      </c>
    </row>
    <row r="3228" spans="1:14" x14ac:dyDescent="0.3">
      <c r="A3228" s="1">
        <v>45188</v>
      </c>
      <c r="B3228" t="s">
        <v>37</v>
      </c>
      <c r="C3228" t="s">
        <v>38</v>
      </c>
      <c r="D3228" t="s">
        <v>12</v>
      </c>
      <c r="E3228">
        <v>8</v>
      </c>
      <c r="F3228">
        <v>7016</v>
      </c>
      <c r="G3228">
        <v>1490.07</v>
      </c>
      <c r="H3228">
        <v>2023</v>
      </c>
      <c r="I3228" t="s">
        <v>21</v>
      </c>
      <c r="J3228" s="4">
        <v>0.21238169897377401</v>
      </c>
      <c r="K3228" t="s">
        <v>40</v>
      </c>
      <c r="L3228" t="s">
        <v>60</v>
      </c>
      <c r="M3228">
        <v>9</v>
      </c>
      <c r="N3228" t="s">
        <v>61</v>
      </c>
    </row>
    <row r="3229" spans="1:14" x14ac:dyDescent="0.3">
      <c r="A3229" s="1">
        <v>45252</v>
      </c>
      <c r="B3229" t="s">
        <v>37</v>
      </c>
      <c r="C3229" t="s">
        <v>38</v>
      </c>
      <c r="D3229" t="s">
        <v>17</v>
      </c>
      <c r="E3229">
        <v>8</v>
      </c>
      <c r="F3229">
        <v>2856</v>
      </c>
      <c r="G3229">
        <v>350.32</v>
      </c>
      <c r="H3229">
        <v>2023</v>
      </c>
      <c r="I3229" t="s">
        <v>18</v>
      </c>
      <c r="J3229" s="4">
        <v>0.12266106442577</v>
      </c>
      <c r="K3229" t="s">
        <v>40</v>
      </c>
      <c r="L3229" t="s">
        <v>52</v>
      </c>
      <c r="M3229">
        <v>11</v>
      </c>
      <c r="N3229" t="s">
        <v>58</v>
      </c>
    </row>
    <row r="3230" spans="1:14" x14ac:dyDescent="0.3">
      <c r="A3230" s="1">
        <v>44930</v>
      </c>
      <c r="B3230" t="s">
        <v>37</v>
      </c>
      <c r="C3230" t="s">
        <v>38</v>
      </c>
      <c r="D3230" t="s">
        <v>12</v>
      </c>
      <c r="E3230">
        <v>6</v>
      </c>
      <c r="F3230">
        <v>6924</v>
      </c>
      <c r="G3230">
        <v>1693.77</v>
      </c>
      <c r="H3230">
        <v>2023</v>
      </c>
      <c r="I3230" t="s">
        <v>26</v>
      </c>
      <c r="J3230" s="4">
        <v>0.244623050259965</v>
      </c>
      <c r="K3230" t="s">
        <v>40</v>
      </c>
      <c r="L3230" t="s">
        <v>55</v>
      </c>
      <c r="M3230">
        <v>1</v>
      </c>
      <c r="N3230" t="s">
        <v>65</v>
      </c>
    </row>
    <row r="3231" spans="1:14" x14ac:dyDescent="0.3">
      <c r="A3231" s="1">
        <v>44960</v>
      </c>
      <c r="B3231" t="s">
        <v>37</v>
      </c>
      <c r="C3231" t="s">
        <v>38</v>
      </c>
      <c r="D3231" t="s">
        <v>17</v>
      </c>
      <c r="E3231">
        <v>4</v>
      </c>
      <c r="F3231">
        <v>3864</v>
      </c>
      <c r="G3231">
        <v>717.45</v>
      </c>
      <c r="H3231">
        <v>2023</v>
      </c>
      <c r="I3231" t="s">
        <v>16</v>
      </c>
      <c r="J3231" s="4">
        <v>0.185675465838509</v>
      </c>
      <c r="K3231" t="s">
        <v>40</v>
      </c>
      <c r="L3231" t="s">
        <v>55</v>
      </c>
      <c r="M3231">
        <v>2</v>
      </c>
      <c r="N3231" t="s">
        <v>57</v>
      </c>
    </row>
    <row r="3232" spans="1:14" x14ac:dyDescent="0.3">
      <c r="A3232" s="1">
        <v>45246</v>
      </c>
      <c r="B3232" t="s">
        <v>37</v>
      </c>
      <c r="C3232" t="s">
        <v>38</v>
      </c>
      <c r="D3232" t="s">
        <v>22</v>
      </c>
      <c r="E3232">
        <v>4</v>
      </c>
      <c r="F3232">
        <v>4680</v>
      </c>
      <c r="G3232">
        <v>301.91000000000003</v>
      </c>
      <c r="H3232">
        <v>2023</v>
      </c>
      <c r="I3232" t="s">
        <v>18</v>
      </c>
      <c r="J3232" s="4">
        <v>6.4510683760683807E-2</v>
      </c>
      <c r="K3232" t="s">
        <v>40</v>
      </c>
      <c r="L3232" t="s">
        <v>52</v>
      </c>
      <c r="M3232">
        <v>11</v>
      </c>
      <c r="N3232" t="s">
        <v>58</v>
      </c>
    </row>
    <row r="3233" spans="1:14" x14ac:dyDescent="0.3">
      <c r="A3233" s="1">
        <v>45273</v>
      </c>
      <c r="B3233" t="s">
        <v>37</v>
      </c>
      <c r="C3233" t="s">
        <v>38</v>
      </c>
      <c r="D3233" t="s">
        <v>22</v>
      </c>
      <c r="E3233">
        <v>5</v>
      </c>
      <c r="F3233">
        <v>1415</v>
      </c>
      <c r="G3233">
        <v>358.39</v>
      </c>
      <c r="H3233">
        <v>2023</v>
      </c>
      <c r="I3233" t="s">
        <v>13</v>
      </c>
      <c r="J3233" s="4">
        <v>0.25327915194346301</v>
      </c>
      <c r="K3233" t="s">
        <v>40</v>
      </c>
      <c r="L3233" t="s">
        <v>52</v>
      </c>
      <c r="M3233">
        <v>12</v>
      </c>
      <c r="N3233" t="s">
        <v>53</v>
      </c>
    </row>
    <row r="3234" spans="1:14" x14ac:dyDescent="0.3">
      <c r="A3234" s="1">
        <v>45254</v>
      </c>
      <c r="B3234" t="s">
        <v>37</v>
      </c>
      <c r="C3234" t="s">
        <v>38</v>
      </c>
      <c r="D3234" t="s">
        <v>12</v>
      </c>
      <c r="E3234">
        <v>4</v>
      </c>
      <c r="F3234">
        <v>604</v>
      </c>
      <c r="G3234">
        <v>180.93</v>
      </c>
      <c r="H3234">
        <v>2023</v>
      </c>
      <c r="I3234" t="s">
        <v>18</v>
      </c>
      <c r="J3234" s="4">
        <v>0.29955298013245002</v>
      </c>
      <c r="K3234" t="s">
        <v>40</v>
      </c>
      <c r="L3234" t="s">
        <v>52</v>
      </c>
      <c r="M3234">
        <v>11</v>
      </c>
      <c r="N3234" t="s">
        <v>58</v>
      </c>
    </row>
    <row r="3235" spans="1:14" x14ac:dyDescent="0.3">
      <c r="A3235" s="1">
        <v>44953</v>
      </c>
      <c r="B3235" t="s">
        <v>37</v>
      </c>
      <c r="C3235" t="s">
        <v>38</v>
      </c>
      <c r="D3235" t="s">
        <v>12</v>
      </c>
      <c r="E3235">
        <v>4</v>
      </c>
      <c r="F3235">
        <v>1256</v>
      </c>
      <c r="G3235">
        <v>362.22</v>
      </c>
      <c r="H3235">
        <v>2023</v>
      </c>
      <c r="I3235" t="s">
        <v>26</v>
      </c>
      <c r="J3235" s="4">
        <v>0.28839171974522299</v>
      </c>
      <c r="K3235" t="s">
        <v>40</v>
      </c>
      <c r="L3235" t="s">
        <v>55</v>
      </c>
      <c r="M3235">
        <v>1</v>
      </c>
      <c r="N3235" t="s">
        <v>65</v>
      </c>
    </row>
    <row r="3236" spans="1:14" x14ac:dyDescent="0.3">
      <c r="A3236" s="1">
        <v>44943</v>
      </c>
      <c r="B3236" t="s">
        <v>37</v>
      </c>
      <c r="C3236" t="s">
        <v>38</v>
      </c>
      <c r="D3236" t="s">
        <v>17</v>
      </c>
      <c r="E3236">
        <v>3</v>
      </c>
      <c r="F3236">
        <v>1674</v>
      </c>
      <c r="G3236">
        <v>435.95</v>
      </c>
      <c r="H3236">
        <v>2023</v>
      </c>
      <c r="I3236" t="s">
        <v>26</v>
      </c>
      <c r="J3236" s="4">
        <v>0.26042413381123097</v>
      </c>
      <c r="K3236" t="s">
        <v>40</v>
      </c>
      <c r="L3236" t="s">
        <v>55</v>
      </c>
      <c r="M3236">
        <v>1</v>
      </c>
      <c r="N3236" t="s">
        <v>65</v>
      </c>
    </row>
    <row r="3237" spans="1:14" x14ac:dyDescent="0.3">
      <c r="A3237" s="1">
        <v>45083</v>
      </c>
      <c r="B3237" t="s">
        <v>37</v>
      </c>
      <c r="C3237" t="s">
        <v>38</v>
      </c>
      <c r="D3237" t="s">
        <v>17</v>
      </c>
      <c r="E3237">
        <v>8</v>
      </c>
      <c r="F3237">
        <v>5128</v>
      </c>
      <c r="G3237">
        <v>657.87</v>
      </c>
      <c r="H3237">
        <v>2023</v>
      </c>
      <c r="I3237" t="s">
        <v>27</v>
      </c>
      <c r="J3237" s="4">
        <v>0.128289781591264</v>
      </c>
      <c r="K3237" t="s">
        <v>40</v>
      </c>
      <c r="L3237" t="s">
        <v>59</v>
      </c>
      <c r="M3237">
        <v>6</v>
      </c>
      <c r="N3237" t="s">
        <v>66</v>
      </c>
    </row>
    <row r="3238" spans="1:14" x14ac:dyDescent="0.3">
      <c r="A3238" s="1">
        <v>45067</v>
      </c>
      <c r="B3238" t="s">
        <v>37</v>
      </c>
      <c r="C3238" t="s">
        <v>38</v>
      </c>
      <c r="D3238" t="s">
        <v>17</v>
      </c>
      <c r="E3238">
        <v>5</v>
      </c>
      <c r="F3238">
        <v>650</v>
      </c>
      <c r="G3238">
        <v>93.41</v>
      </c>
      <c r="H3238">
        <v>2023</v>
      </c>
      <c r="I3238" t="s">
        <v>20</v>
      </c>
      <c r="J3238" s="4">
        <v>0.14370769230769201</v>
      </c>
      <c r="K3238" t="s">
        <v>40</v>
      </c>
      <c r="L3238" t="s">
        <v>59</v>
      </c>
      <c r="M3238">
        <v>5</v>
      </c>
      <c r="N3238" t="s">
        <v>20</v>
      </c>
    </row>
    <row r="3239" spans="1:14" x14ac:dyDescent="0.3">
      <c r="A3239" s="1">
        <v>45161</v>
      </c>
      <c r="B3239" t="s">
        <v>37</v>
      </c>
      <c r="C3239" t="s">
        <v>38</v>
      </c>
      <c r="D3239" t="s">
        <v>12</v>
      </c>
      <c r="E3239">
        <v>7</v>
      </c>
      <c r="F3239">
        <v>7119</v>
      </c>
      <c r="G3239">
        <v>1555.05</v>
      </c>
      <c r="H3239">
        <v>2023</v>
      </c>
      <c r="I3239" t="s">
        <v>24</v>
      </c>
      <c r="J3239" s="4">
        <v>0.21843657817109099</v>
      </c>
      <c r="K3239" t="s">
        <v>40</v>
      </c>
      <c r="L3239" t="s">
        <v>60</v>
      </c>
      <c r="M3239">
        <v>8</v>
      </c>
      <c r="N3239" t="s">
        <v>63</v>
      </c>
    </row>
    <row r="3240" spans="1:14" x14ac:dyDescent="0.3">
      <c r="A3240" s="1">
        <v>45185</v>
      </c>
      <c r="B3240" t="s">
        <v>37</v>
      </c>
      <c r="C3240" t="s">
        <v>38</v>
      </c>
      <c r="D3240" t="s">
        <v>12</v>
      </c>
      <c r="E3240">
        <v>5</v>
      </c>
      <c r="F3240">
        <v>535</v>
      </c>
      <c r="G3240">
        <v>43.47</v>
      </c>
      <c r="H3240">
        <v>2023</v>
      </c>
      <c r="I3240" t="s">
        <v>21</v>
      </c>
      <c r="J3240" s="4">
        <v>8.1252336448598098E-2</v>
      </c>
      <c r="K3240" t="s">
        <v>40</v>
      </c>
      <c r="L3240" t="s">
        <v>60</v>
      </c>
      <c r="M3240">
        <v>9</v>
      </c>
      <c r="N3240" t="s">
        <v>61</v>
      </c>
    </row>
    <row r="3241" spans="1:14" x14ac:dyDescent="0.3">
      <c r="A3241" s="1">
        <v>44962</v>
      </c>
      <c r="B3241" t="s">
        <v>37</v>
      </c>
      <c r="C3241" t="s">
        <v>38</v>
      </c>
      <c r="D3241" t="s">
        <v>22</v>
      </c>
      <c r="E3241">
        <v>4</v>
      </c>
      <c r="F3241">
        <v>2440</v>
      </c>
      <c r="G3241">
        <v>410.86</v>
      </c>
      <c r="H3241">
        <v>2023</v>
      </c>
      <c r="I3241" t="s">
        <v>16</v>
      </c>
      <c r="J3241" s="4">
        <v>0.168385245901639</v>
      </c>
      <c r="K3241" t="s">
        <v>40</v>
      </c>
      <c r="L3241" t="s">
        <v>55</v>
      </c>
      <c r="M3241">
        <v>2</v>
      </c>
      <c r="N3241" t="s">
        <v>57</v>
      </c>
    </row>
    <row r="3242" spans="1:14" x14ac:dyDescent="0.3">
      <c r="A3242" s="1">
        <v>44991</v>
      </c>
      <c r="B3242" t="s">
        <v>37</v>
      </c>
      <c r="C3242" t="s">
        <v>38</v>
      </c>
      <c r="D3242" t="s">
        <v>22</v>
      </c>
      <c r="E3242">
        <v>8</v>
      </c>
      <c r="F3242">
        <v>4696</v>
      </c>
      <c r="G3242">
        <v>410.03</v>
      </c>
      <c r="H3242">
        <v>2023</v>
      </c>
      <c r="I3242" t="s">
        <v>15</v>
      </c>
      <c r="J3242" s="4">
        <v>8.73147359454855E-2</v>
      </c>
      <c r="K3242" t="s">
        <v>40</v>
      </c>
      <c r="L3242" t="s">
        <v>55</v>
      </c>
      <c r="M3242">
        <v>3</v>
      </c>
      <c r="N3242" t="s">
        <v>56</v>
      </c>
    </row>
    <row r="3243" spans="1:14" x14ac:dyDescent="0.3">
      <c r="A3243" s="1">
        <v>45194</v>
      </c>
      <c r="B3243" t="s">
        <v>37</v>
      </c>
      <c r="C3243" t="s">
        <v>38</v>
      </c>
      <c r="D3243" t="s">
        <v>17</v>
      </c>
      <c r="E3243">
        <v>2</v>
      </c>
      <c r="F3243">
        <v>268</v>
      </c>
      <c r="G3243">
        <v>63.01</v>
      </c>
      <c r="H3243">
        <v>2023</v>
      </c>
      <c r="I3243" t="s">
        <v>21</v>
      </c>
      <c r="J3243" s="4">
        <v>0.23511194029850699</v>
      </c>
      <c r="K3243" t="s">
        <v>40</v>
      </c>
      <c r="L3243" t="s">
        <v>60</v>
      </c>
      <c r="M3243">
        <v>9</v>
      </c>
      <c r="N3243" t="s">
        <v>61</v>
      </c>
    </row>
    <row r="3244" spans="1:14" x14ac:dyDescent="0.3">
      <c r="A3244" s="1">
        <v>45113</v>
      </c>
      <c r="B3244" t="s">
        <v>37</v>
      </c>
      <c r="C3244" t="s">
        <v>38</v>
      </c>
      <c r="D3244" t="s">
        <v>17</v>
      </c>
      <c r="E3244">
        <v>4</v>
      </c>
      <c r="F3244">
        <v>632</v>
      </c>
      <c r="G3244">
        <v>114.82</v>
      </c>
      <c r="H3244">
        <v>2023</v>
      </c>
      <c r="I3244" t="s">
        <v>25</v>
      </c>
      <c r="J3244" s="4">
        <v>0.18167721518987301</v>
      </c>
      <c r="K3244" t="s">
        <v>40</v>
      </c>
      <c r="L3244" t="s">
        <v>60</v>
      </c>
      <c r="M3244">
        <v>7</v>
      </c>
      <c r="N3244" t="s">
        <v>64</v>
      </c>
    </row>
    <row r="3245" spans="1:14" x14ac:dyDescent="0.3">
      <c r="A3245" s="1">
        <v>45249</v>
      </c>
      <c r="B3245" t="s">
        <v>37</v>
      </c>
      <c r="C3245" t="s">
        <v>38</v>
      </c>
      <c r="D3245" t="s">
        <v>19</v>
      </c>
      <c r="E3245">
        <v>3</v>
      </c>
      <c r="F3245">
        <v>3534</v>
      </c>
      <c r="G3245">
        <v>489.06</v>
      </c>
      <c r="H3245">
        <v>2023</v>
      </c>
      <c r="I3245" t="s">
        <v>18</v>
      </c>
      <c r="J3245" s="4">
        <v>0.138387096774194</v>
      </c>
      <c r="K3245" t="s">
        <v>40</v>
      </c>
      <c r="L3245" t="s">
        <v>52</v>
      </c>
      <c r="M3245">
        <v>11</v>
      </c>
      <c r="N3245" t="s">
        <v>58</v>
      </c>
    </row>
    <row r="3246" spans="1:14" x14ac:dyDescent="0.3">
      <c r="A3246" s="1">
        <v>45040</v>
      </c>
      <c r="B3246" t="s">
        <v>37</v>
      </c>
      <c r="C3246" t="s">
        <v>38</v>
      </c>
      <c r="D3246" t="s">
        <v>17</v>
      </c>
      <c r="E3246">
        <v>2</v>
      </c>
      <c r="F3246">
        <v>466</v>
      </c>
      <c r="G3246">
        <v>25.04</v>
      </c>
      <c r="H3246">
        <v>2023</v>
      </c>
      <c r="I3246" t="s">
        <v>23</v>
      </c>
      <c r="J3246" s="4">
        <v>5.3733905579399097E-2</v>
      </c>
      <c r="K3246" t="s">
        <v>40</v>
      </c>
      <c r="L3246" t="s">
        <v>59</v>
      </c>
      <c r="M3246">
        <v>4</v>
      </c>
      <c r="N3246" t="s">
        <v>62</v>
      </c>
    </row>
    <row r="3247" spans="1:14" x14ac:dyDescent="0.3">
      <c r="A3247" s="1">
        <v>44972</v>
      </c>
      <c r="B3247" t="s">
        <v>37</v>
      </c>
      <c r="C3247" t="s">
        <v>38</v>
      </c>
      <c r="D3247" t="s">
        <v>12</v>
      </c>
      <c r="E3247">
        <v>7</v>
      </c>
      <c r="F3247">
        <v>3185</v>
      </c>
      <c r="G3247">
        <v>765.41</v>
      </c>
      <c r="H3247">
        <v>2023</v>
      </c>
      <c r="I3247" t="s">
        <v>16</v>
      </c>
      <c r="J3247" s="4">
        <v>0.24031711145996901</v>
      </c>
      <c r="K3247" t="s">
        <v>40</v>
      </c>
      <c r="L3247" t="s">
        <v>55</v>
      </c>
      <c r="M3247">
        <v>2</v>
      </c>
      <c r="N3247" t="s">
        <v>57</v>
      </c>
    </row>
    <row r="3248" spans="1:14" x14ac:dyDescent="0.3">
      <c r="A3248" s="1">
        <v>45072</v>
      </c>
      <c r="B3248" t="s">
        <v>37</v>
      </c>
      <c r="C3248" t="s">
        <v>38</v>
      </c>
      <c r="D3248" t="s">
        <v>22</v>
      </c>
      <c r="E3248">
        <v>1</v>
      </c>
      <c r="F3248">
        <v>857</v>
      </c>
      <c r="G3248">
        <v>172.91</v>
      </c>
      <c r="H3248">
        <v>2023</v>
      </c>
      <c r="I3248" t="s">
        <v>20</v>
      </c>
      <c r="J3248" s="4">
        <v>0.201761960326721</v>
      </c>
      <c r="K3248" t="s">
        <v>40</v>
      </c>
      <c r="L3248" t="s">
        <v>59</v>
      </c>
      <c r="M3248">
        <v>5</v>
      </c>
      <c r="N3248" t="s">
        <v>20</v>
      </c>
    </row>
    <row r="3249" spans="1:14" x14ac:dyDescent="0.3">
      <c r="A3249" s="1">
        <v>45010</v>
      </c>
      <c r="B3249" t="s">
        <v>37</v>
      </c>
      <c r="C3249" t="s">
        <v>38</v>
      </c>
      <c r="D3249" t="s">
        <v>17</v>
      </c>
      <c r="E3249">
        <v>3</v>
      </c>
      <c r="F3249">
        <v>2724</v>
      </c>
      <c r="G3249">
        <v>521.24</v>
      </c>
      <c r="H3249">
        <v>2023</v>
      </c>
      <c r="I3249" t="s">
        <v>15</v>
      </c>
      <c r="J3249" s="4">
        <v>0.19135095447870801</v>
      </c>
      <c r="K3249" t="s">
        <v>40</v>
      </c>
      <c r="L3249" t="s">
        <v>55</v>
      </c>
      <c r="M3249">
        <v>3</v>
      </c>
      <c r="N3249" t="s">
        <v>56</v>
      </c>
    </row>
    <row r="3250" spans="1:14" x14ac:dyDescent="0.3">
      <c r="A3250" s="1">
        <v>45000</v>
      </c>
      <c r="B3250" t="s">
        <v>37</v>
      </c>
      <c r="C3250" t="s">
        <v>38</v>
      </c>
      <c r="D3250" t="s">
        <v>22</v>
      </c>
      <c r="E3250">
        <v>5</v>
      </c>
      <c r="F3250">
        <v>3025</v>
      </c>
      <c r="G3250">
        <v>172.43</v>
      </c>
      <c r="H3250">
        <v>2023</v>
      </c>
      <c r="I3250" t="s">
        <v>15</v>
      </c>
      <c r="J3250" s="4">
        <v>5.7001652892562003E-2</v>
      </c>
      <c r="K3250" t="s">
        <v>40</v>
      </c>
      <c r="L3250" t="s">
        <v>55</v>
      </c>
      <c r="M3250">
        <v>3</v>
      </c>
      <c r="N3250" t="s">
        <v>56</v>
      </c>
    </row>
    <row r="3251" spans="1:14" x14ac:dyDescent="0.3">
      <c r="A3251" s="1">
        <v>44959</v>
      </c>
      <c r="B3251" t="s">
        <v>37</v>
      </c>
      <c r="C3251" t="s">
        <v>38</v>
      </c>
      <c r="D3251" t="s">
        <v>22</v>
      </c>
      <c r="E3251">
        <v>1</v>
      </c>
      <c r="F3251">
        <v>914</v>
      </c>
      <c r="G3251">
        <v>270.74</v>
      </c>
      <c r="H3251">
        <v>2023</v>
      </c>
      <c r="I3251" t="s">
        <v>16</v>
      </c>
      <c r="J3251" s="4">
        <v>0.29621444201312902</v>
      </c>
      <c r="K3251" t="s">
        <v>40</v>
      </c>
      <c r="L3251" t="s">
        <v>55</v>
      </c>
      <c r="M3251">
        <v>2</v>
      </c>
      <c r="N3251" t="s">
        <v>57</v>
      </c>
    </row>
    <row r="3252" spans="1:14" x14ac:dyDescent="0.3">
      <c r="A3252" s="1">
        <v>45264</v>
      </c>
      <c r="B3252" t="s">
        <v>37</v>
      </c>
      <c r="C3252" t="s">
        <v>38</v>
      </c>
      <c r="D3252" t="s">
        <v>22</v>
      </c>
      <c r="E3252">
        <v>6</v>
      </c>
      <c r="F3252">
        <v>4380</v>
      </c>
      <c r="G3252">
        <v>522.29999999999995</v>
      </c>
      <c r="H3252">
        <v>2023</v>
      </c>
      <c r="I3252" t="s">
        <v>13</v>
      </c>
      <c r="J3252" s="4">
        <v>0.11924657534246599</v>
      </c>
      <c r="K3252" t="s">
        <v>40</v>
      </c>
      <c r="L3252" t="s">
        <v>52</v>
      </c>
      <c r="M3252">
        <v>12</v>
      </c>
      <c r="N3252" t="s">
        <v>53</v>
      </c>
    </row>
    <row r="3253" spans="1:14" x14ac:dyDescent="0.3">
      <c r="A3253" s="1">
        <v>44989</v>
      </c>
      <c r="B3253" t="s">
        <v>37</v>
      </c>
      <c r="C3253" t="s">
        <v>38</v>
      </c>
      <c r="D3253" t="s">
        <v>12</v>
      </c>
      <c r="E3253">
        <v>4</v>
      </c>
      <c r="F3253">
        <v>1100</v>
      </c>
      <c r="G3253">
        <v>100.02</v>
      </c>
      <c r="H3253">
        <v>2023</v>
      </c>
      <c r="I3253" t="s">
        <v>15</v>
      </c>
      <c r="J3253" s="4">
        <v>9.0927272727272704E-2</v>
      </c>
      <c r="K3253" t="s">
        <v>40</v>
      </c>
      <c r="L3253" t="s">
        <v>55</v>
      </c>
      <c r="M3253">
        <v>3</v>
      </c>
      <c r="N3253" t="s">
        <v>56</v>
      </c>
    </row>
    <row r="3254" spans="1:14" x14ac:dyDescent="0.3">
      <c r="A3254" s="1">
        <v>45282</v>
      </c>
      <c r="B3254" t="s">
        <v>37</v>
      </c>
      <c r="C3254" t="s">
        <v>38</v>
      </c>
      <c r="D3254" t="s">
        <v>12</v>
      </c>
      <c r="E3254">
        <v>9</v>
      </c>
      <c r="F3254">
        <v>2934</v>
      </c>
      <c r="G3254">
        <v>473.34</v>
      </c>
      <c r="H3254">
        <v>2023</v>
      </c>
      <c r="I3254" t="s">
        <v>13</v>
      </c>
      <c r="J3254" s="4">
        <v>0.16132924335378299</v>
      </c>
      <c r="K3254" t="s">
        <v>40</v>
      </c>
      <c r="L3254" t="s">
        <v>52</v>
      </c>
      <c r="M3254">
        <v>12</v>
      </c>
      <c r="N3254" t="s">
        <v>53</v>
      </c>
    </row>
    <row r="3255" spans="1:14" x14ac:dyDescent="0.3">
      <c r="A3255" s="1">
        <v>45117</v>
      </c>
      <c r="B3255" t="s">
        <v>37</v>
      </c>
      <c r="C3255" t="s">
        <v>38</v>
      </c>
      <c r="D3255" t="s">
        <v>19</v>
      </c>
      <c r="E3255">
        <v>5</v>
      </c>
      <c r="F3255">
        <v>3705</v>
      </c>
      <c r="G3255">
        <v>707.08</v>
      </c>
      <c r="H3255">
        <v>2023</v>
      </c>
      <c r="I3255" t="s">
        <v>25</v>
      </c>
      <c r="J3255" s="4">
        <v>0.19084480431848899</v>
      </c>
      <c r="K3255" t="s">
        <v>40</v>
      </c>
      <c r="L3255" t="s">
        <v>60</v>
      </c>
      <c r="M3255">
        <v>7</v>
      </c>
      <c r="N3255" t="s">
        <v>64</v>
      </c>
    </row>
    <row r="3256" spans="1:14" x14ac:dyDescent="0.3">
      <c r="A3256" s="1">
        <v>45203</v>
      </c>
      <c r="B3256" t="s">
        <v>37</v>
      </c>
      <c r="C3256" t="s">
        <v>38</v>
      </c>
      <c r="D3256" t="s">
        <v>19</v>
      </c>
      <c r="E3256">
        <v>2</v>
      </c>
      <c r="F3256">
        <v>1918</v>
      </c>
      <c r="G3256">
        <v>435.56</v>
      </c>
      <c r="H3256">
        <v>2023</v>
      </c>
      <c r="I3256" t="s">
        <v>14</v>
      </c>
      <c r="J3256" s="4">
        <v>0.22709071949947901</v>
      </c>
      <c r="K3256" t="s">
        <v>40</v>
      </c>
      <c r="L3256" t="s">
        <v>52</v>
      </c>
      <c r="M3256">
        <v>10</v>
      </c>
      <c r="N3256" t="s">
        <v>54</v>
      </c>
    </row>
    <row r="3257" spans="1:14" x14ac:dyDescent="0.3">
      <c r="A3257" s="1">
        <v>45059</v>
      </c>
      <c r="B3257" t="s">
        <v>37</v>
      </c>
      <c r="C3257" t="s">
        <v>38</v>
      </c>
      <c r="D3257" t="s">
        <v>22</v>
      </c>
      <c r="E3257">
        <v>5</v>
      </c>
      <c r="F3257">
        <v>2440</v>
      </c>
      <c r="G3257">
        <v>570.78</v>
      </c>
      <c r="H3257">
        <v>2023</v>
      </c>
      <c r="I3257" t="s">
        <v>20</v>
      </c>
      <c r="J3257" s="4">
        <v>0.233926229508197</v>
      </c>
      <c r="K3257" t="s">
        <v>40</v>
      </c>
      <c r="L3257" t="s">
        <v>59</v>
      </c>
      <c r="M3257">
        <v>5</v>
      </c>
      <c r="N3257" t="s">
        <v>20</v>
      </c>
    </row>
    <row r="3258" spans="1:14" x14ac:dyDescent="0.3">
      <c r="A3258" s="1">
        <v>45259</v>
      </c>
      <c r="B3258" t="s">
        <v>37</v>
      </c>
      <c r="C3258" t="s">
        <v>38</v>
      </c>
      <c r="D3258" t="s">
        <v>19</v>
      </c>
      <c r="E3258">
        <v>8</v>
      </c>
      <c r="F3258">
        <v>2456</v>
      </c>
      <c r="G3258">
        <v>404.35</v>
      </c>
      <c r="H3258">
        <v>2023</v>
      </c>
      <c r="I3258" t="s">
        <v>18</v>
      </c>
      <c r="J3258" s="4">
        <v>0.16463762214983699</v>
      </c>
      <c r="K3258" t="s">
        <v>40</v>
      </c>
      <c r="L3258" t="s">
        <v>52</v>
      </c>
      <c r="M3258">
        <v>11</v>
      </c>
      <c r="N3258" t="s">
        <v>58</v>
      </c>
    </row>
    <row r="3259" spans="1:14" x14ac:dyDescent="0.3">
      <c r="A3259" s="1">
        <v>45189</v>
      </c>
      <c r="B3259" t="s">
        <v>37</v>
      </c>
      <c r="C3259" t="s">
        <v>38</v>
      </c>
      <c r="D3259" t="s">
        <v>17</v>
      </c>
      <c r="E3259">
        <v>2</v>
      </c>
      <c r="F3259">
        <v>384</v>
      </c>
      <c r="G3259">
        <v>30.84</v>
      </c>
      <c r="H3259">
        <v>2023</v>
      </c>
      <c r="I3259" t="s">
        <v>21</v>
      </c>
      <c r="J3259" s="4">
        <v>8.0312499999999995E-2</v>
      </c>
      <c r="K3259" t="s">
        <v>40</v>
      </c>
      <c r="L3259" t="s">
        <v>60</v>
      </c>
      <c r="M3259">
        <v>9</v>
      </c>
      <c r="N3259" t="s">
        <v>61</v>
      </c>
    </row>
    <row r="3260" spans="1:14" x14ac:dyDescent="0.3">
      <c r="A3260" s="1">
        <v>44998</v>
      </c>
      <c r="B3260" t="s">
        <v>37</v>
      </c>
      <c r="C3260" t="s">
        <v>38</v>
      </c>
      <c r="D3260" t="s">
        <v>19</v>
      </c>
      <c r="E3260">
        <v>6</v>
      </c>
      <c r="F3260">
        <v>3576</v>
      </c>
      <c r="G3260">
        <v>1033.3</v>
      </c>
      <c r="H3260">
        <v>2023</v>
      </c>
      <c r="I3260" t="s">
        <v>15</v>
      </c>
      <c r="J3260" s="4">
        <v>0.28895413870246101</v>
      </c>
      <c r="K3260" t="s">
        <v>40</v>
      </c>
      <c r="L3260" t="s">
        <v>55</v>
      </c>
      <c r="M3260">
        <v>3</v>
      </c>
      <c r="N3260" t="s">
        <v>56</v>
      </c>
    </row>
    <row r="3261" spans="1:14" x14ac:dyDescent="0.3">
      <c r="A3261" s="1">
        <v>44968</v>
      </c>
      <c r="B3261" t="s">
        <v>37</v>
      </c>
      <c r="C3261" t="s">
        <v>38</v>
      </c>
      <c r="D3261" t="s">
        <v>22</v>
      </c>
      <c r="E3261">
        <v>7</v>
      </c>
      <c r="F3261">
        <v>2443</v>
      </c>
      <c r="G3261">
        <v>661.21</v>
      </c>
      <c r="H3261">
        <v>2023</v>
      </c>
      <c r="I3261" t="s">
        <v>16</v>
      </c>
      <c r="J3261" s="4">
        <v>0.27065493246008998</v>
      </c>
      <c r="K3261" t="s">
        <v>40</v>
      </c>
      <c r="L3261" t="s">
        <v>55</v>
      </c>
      <c r="M3261">
        <v>2</v>
      </c>
      <c r="N3261" t="s">
        <v>57</v>
      </c>
    </row>
    <row r="3262" spans="1:14" x14ac:dyDescent="0.3">
      <c r="A3262" s="1">
        <v>44987</v>
      </c>
      <c r="B3262" t="s">
        <v>37</v>
      </c>
      <c r="C3262" t="s">
        <v>38</v>
      </c>
      <c r="D3262" t="s">
        <v>17</v>
      </c>
      <c r="E3262">
        <v>9</v>
      </c>
      <c r="F3262">
        <v>5904</v>
      </c>
      <c r="G3262">
        <v>1152.23</v>
      </c>
      <c r="H3262">
        <v>2023</v>
      </c>
      <c r="I3262" t="s">
        <v>15</v>
      </c>
      <c r="J3262" s="4">
        <v>0.195160907859079</v>
      </c>
      <c r="K3262" t="s">
        <v>40</v>
      </c>
      <c r="L3262" t="s">
        <v>55</v>
      </c>
      <c r="M3262">
        <v>3</v>
      </c>
      <c r="N3262" t="s">
        <v>56</v>
      </c>
    </row>
    <row r="3263" spans="1:14" x14ac:dyDescent="0.3">
      <c r="A3263" s="1">
        <v>45117</v>
      </c>
      <c r="B3263" t="s">
        <v>37</v>
      </c>
      <c r="C3263" t="s">
        <v>38</v>
      </c>
      <c r="D3263" t="s">
        <v>12</v>
      </c>
      <c r="E3263">
        <v>5</v>
      </c>
      <c r="F3263">
        <v>3100</v>
      </c>
      <c r="G3263">
        <v>911.86</v>
      </c>
      <c r="H3263">
        <v>2023</v>
      </c>
      <c r="I3263" t="s">
        <v>25</v>
      </c>
      <c r="J3263" s="4">
        <v>0.29414838709677399</v>
      </c>
      <c r="K3263" t="s">
        <v>40</v>
      </c>
      <c r="L3263" t="s">
        <v>60</v>
      </c>
      <c r="M3263">
        <v>7</v>
      </c>
      <c r="N3263" t="s">
        <v>64</v>
      </c>
    </row>
    <row r="3264" spans="1:14" x14ac:dyDescent="0.3">
      <c r="A3264" s="1">
        <v>45223</v>
      </c>
      <c r="B3264" t="s">
        <v>37</v>
      </c>
      <c r="C3264" t="s">
        <v>38</v>
      </c>
      <c r="D3264" t="s">
        <v>17</v>
      </c>
      <c r="E3264">
        <v>5</v>
      </c>
      <c r="F3264">
        <v>370</v>
      </c>
      <c r="G3264">
        <v>92.45</v>
      </c>
      <c r="H3264">
        <v>2023</v>
      </c>
      <c r="I3264" t="s">
        <v>14</v>
      </c>
      <c r="J3264" s="4">
        <v>0.24986486486486501</v>
      </c>
      <c r="K3264" t="s">
        <v>40</v>
      </c>
      <c r="L3264" t="s">
        <v>52</v>
      </c>
      <c r="M3264">
        <v>10</v>
      </c>
      <c r="N3264" t="s">
        <v>54</v>
      </c>
    </row>
    <row r="3265" spans="1:14" x14ac:dyDescent="0.3">
      <c r="A3265" s="1">
        <v>45051</v>
      </c>
      <c r="B3265" t="s">
        <v>37</v>
      </c>
      <c r="C3265" t="s">
        <v>38</v>
      </c>
      <c r="D3265" t="s">
        <v>12</v>
      </c>
      <c r="E3265">
        <v>9</v>
      </c>
      <c r="F3265">
        <v>2268</v>
      </c>
      <c r="G3265">
        <v>361.62</v>
      </c>
      <c r="H3265">
        <v>2023</v>
      </c>
      <c r="I3265" t="s">
        <v>20</v>
      </c>
      <c r="J3265" s="4">
        <v>0.159444444444444</v>
      </c>
      <c r="K3265" t="s">
        <v>40</v>
      </c>
      <c r="L3265" t="s">
        <v>59</v>
      </c>
      <c r="M3265">
        <v>5</v>
      </c>
      <c r="N3265" t="s">
        <v>20</v>
      </c>
    </row>
    <row r="3266" spans="1:14" x14ac:dyDescent="0.3">
      <c r="A3266" s="1">
        <v>45131</v>
      </c>
      <c r="B3266" t="s">
        <v>37</v>
      </c>
      <c r="C3266" t="s">
        <v>38</v>
      </c>
      <c r="D3266" t="s">
        <v>19</v>
      </c>
      <c r="E3266">
        <v>2</v>
      </c>
      <c r="F3266">
        <v>1946</v>
      </c>
      <c r="G3266">
        <v>141.75</v>
      </c>
      <c r="H3266">
        <v>2023</v>
      </c>
      <c r="I3266" t="s">
        <v>25</v>
      </c>
      <c r="J3266" s="4">
        <v>7.2841726618704999E-2</v>
      </c>
      <c r="K3266" t="s">
        <v>40</v>
      </c>
      <c r="L3266" t="s">
        <v>60</v>
      </c>
      <c r="M3266">
        <v>7</v>
      </c>
      <c r="N3266" t="s">
        <v>64</v>
      </c>
    </row>
    <row r="3267" spans="1:14" x14ac:dyDescent="0.3">
      <c r="A3267" s="1">
        <v>44989</v>
      </c>
      <c r="B3267" t="s">
        <v>37</v>
      </c>
      <c r="C3267" t="s">
        <v>38</v>
      </c>
      <c r="D3267" t="s">
        <v>12</v>
      </c>
      <c r="E3267">
        <v>2</v>
      </c>
      <c r="F3267">
        <v>146</v>
      </c>
      <c r="G3267">
        <v>15.48</v>
      </c>
      <c r="H3267">
        <v>2023</v>
      </c>
      <c r="I3267" t="s">
        <v>15</v>
      </c>
      <c r="J3267" s="4">
        <v>0.10602739726027401</v>
      </c>
      <c r="K3267" t="s">
        <v>40</v>
      </c>
      <c r="L3267" t="s">
        <v>55</v>
      </c>
      <c r="M3267">
        <v>3</v>
      </c>
      <c r="N3267" t="s">
        <v>56</v>
      </c>
    </row>
    <row r="3268" spans="1:14" x14ac:dyDescent="0.3">
      <c r="A3268" s="1">
        <v>45189</v>
      </c>
      <c r="B3268" t="s">
        <v>37</v>
      </c>
      <c r="C3268" t="s">
        <v>38</v>
      </c>
      <c r="D3268" t="s">
        <v>12</v>
      </c>
      <c r="E3268">
        <v>1</v>
      </c>
      <c r="F3268">
        <v>623</v>
      </c>
      <c r="G3268">
        <v>81.239999999999995</v>
      </c>
      <c r="H3268">
        <v>2023</v>
      </c>
      <c r="I3268" t="s">
        <v>21</v>
      </c>
      <c r="J3268" s="4">
        <v>0.130401284109149</v>
      </c>
      <c r="K3268" t="s">
        <v>40</v>
      </c>
      <c r="L3268" t="s">
        <v>60</v>
      </c>
      <c r="M3268">
        <v>9</v>
      </c>
      <c r="N3268" t="s">
        <v>61</v>
      </c>
    </row>
    <row r="3269" spans="1:14" x14ac:dyDescent="0.3">
      <c r="A3269" s="1">
        <v>45213</v>
      </c>
      <c r="B3269" t="s">
        <v>37</v>
      </c>
      <c r="C3269" t="s">
        <v>38</v>
      </c>
      <c r="D3269" t="s">
        <v>19</v>
      </c>
      <c r="E3269">
        <v>8</v>
      </c>
      <c r="F3269">
        <v>3312</v>
      </c>
      <c r="G3269">
        <v>854.12</v>
      </c>
      <c r="H3269">
        <v>2023</v>
      </c>
      <c r="I3269" t="s">
        <v>14</v>
      </c>
      <c r="J3269" s="4">
        <v>0.25788647342995202</v>
      </c>
      <c r="K3269" t="s">
        <v>40</v>
      </c>
      <c r="L3269" t="s">
        <v>52</v>
      </c>
      <c r="M3269">
        <v>10</v>
      </c>
      <c r="N3269" t="s">
        <v>54</v>
      </c>
    </row>
    <row r="3270" spans="1:14" x14ac:dyDescent="0.3">
      <c r="A3270" s="1">
        <v>45211</v>
      </c>
      <c r="B3270" t="s">
        <v>37</v>
      </c>
      <c r="C3270" t="s">
        <v>38</v>
      </c>
      <c r="D3270" t="s">
        <v>19</v>
      </c>
      <c r="E3270">
        <v>1</v>
      </c>
      <c r="F3270">
        <v>267</v>
      </c>
      <c r="G3270">
        <v>41.85</v>
      </c>
      <c r="H3270">
        <v>2023</v>
      </c>
      <c r="I3270" t="s">
        <v>14</v>
      </c>
      <c r="J3270" s="4">
        <v>0.156741573033708</v>
      </c>
      <c r="K3270" t="s">
        <v>40</v>
      </c>
      <c r="L3270" t="s">
        <v>52</v>
      </c>
      <c r="M3270">
        <v>10</v>
      </c>
      <c r="N3270" t="s">
        <v>54</v>
      </c>
    </row>
    <row r="3271" spans="1:14" x14ac:dyDescent="0.3">
      <c r="A3271" s="1">
        <v>44948</v>
      </c>
      <c r="B3271" t="s">
        <v>37</v>
      </c>
      <c r="C3271" t="s">
        <v>38</v>
      </c>
      <c r="D3271" t="s">
        <v>17</v>
      </c>
      <c r="E3271">
        <v>6</v>
      </c>
      <c r="F3271">
        <v>4146</v>
      </c>
      <c r="G3271">
        <v>966.79</v>
      </c>
      <c r="H3271">
        <v>2023</v>
      </c>
      <c r="I3271" t="s">
        <v>26</v>
      </c>
      <c r="J3271" s="4">
        <v>0.23318620356970601</v>
      </c>
      <c r="K3271" t="s">
        <v>40</v>
      </c>
      <c r="L3271" t="s">
        <v>55</v>
      </c>
      <c r="M3271">
        <v>1</v>
      </c>
      <c r="N3271" t="s">
        <v>65</v>
      </c>
    </row>
    <row r="3272" spans="1:14" x14ac:dyDescent="0.3">
      <c r="A3272" s="1">
        <v>45065</v>
      </c>
      <c r="B3272" t="s">
        <v>37</v>
      </c>
      <c r="C3272" t="s">
        <v>38</v>
      </c>
      <c r="D3272" t="s">
        <v>17</v>
      </c>
      <c r="E3272">
        <v>9</v>
      </c>
      <c r="F3272">
        <v>3123</v>
      </c>
      <c r="G3272">
        <v>741.23</v>
      </c>
      <c r="H3272">
        <v>2023</v>
      </c>
      <c r="I3272" t="s">
        <v>20</v>
      </c>
      <c r="J3272" s="4">
        <v>0.23734550112071701</v>
      </c>
      <c r="K3272" t="s">
        <v>40</v>
      </c>
      <c r="L3272" t="s">
        <v>59</v>
      </c>
      <c r="M3272">
        <v>5</v>
      </c>
      <c r="N3272" t="s">
        <v>20</v>
      </c>
    </row>
    <row r="3273" spans="1:14" x14ac:dyDescent="0.3">
      <c r="A3273" s="1">
        <v>45000</v>
      </c>
      <c r="B3273" t="s">
        <v>37</v>
      </c>
      <c r="C3273" t="s">
        <v>38</v>
      </c>
      <c r="D3273" t="s">
        <v>12</v>
      </c>
      <c r="E3273">
        <v>9</v>
      </c>
      <c r="F3273">
        <v>1764</v>
      </c>
      <c r="G3273">
        <v>322.11</v>
      </c>
      <c r="H3273">
        <v>2023</v>
      </c>
      <c r="I3273" t="s">
        <v>15</v>
      </c>
      <c r="J3273" s="4">
        <v>0.182602040816327</v>
      </c>
      <c r="K3273" t="s">
        <v>40</v>
      </c>
      <c r="L3273" t="s">
        <v>55</v>
      </c>
      <c r="M3273">
        <v>3</v>
      </c>
      <c r="N3273" t="s">
        <v>56</v>
      </c>
    </row>
    <row r="3274" spans="1:14" x14ac:dyDescent="0.3">
      <c r="A3274" s="1">
        <v>45200</v>
      </c>
      <c r="B3274" t="s">
        <v>37</v>
      </c>
      <c r="C3274" t="s">
        <v>38</v>
      </c>
      <c r="D3274" t="s">
        <v>17</v>
      </c>
      <c r="E3274">
        <v>2</v>
      </c>
      <c r="F3274">
        <v>800</v>
      </c>
      <c r="G3274">
        <v>118.68</v>
      </c>
      <c r="H3274">
        <v>2023</v>
      </c>
      <c r="I3274" t="s">
        <v>14</v>
      </c>
      <c r="J3274" s="4">
        <v>0.14835000000000001</v>
      </c>
      <c r="K3274" t="s">
        <v>40</v>
      </c>
      <c r="L3274" t="s">
        <v>52</v>
      </c>
      <c r="M3274">
        <v>10</v>
      </c>
      <c r="N3274" t="s">
        <v>54</v>
      </c>
    </row>
    <row r="3275" spans="1:14" x14ac:dyDescent="0.3">
      <c r="A3275" s="1">
        <v>45657</v>
      </c>
      <c r="B3275" t="s">
        <v>37</v>
      </c>
      <c r="C3275" t="s">
        <v>38</v>
      </c>
      <c r="D3275" t="s">
        <v>17</v>
      </c>
      <c r="E3275">
        <v>4</v>
      </c>
      <c r="F3275">
        <v>3640</v>
      </c>
      <c r="G3275">
        <v>348.93</v>
      </c>
      <c r="H3275">
        <v>2024</v>
      </c>
      <c r="I3275" t="s">
        <v>13</v>
      </c>
      <c r="J3275" s="4">
        <v>9.58598901098901E-2</v>
      </c>
      <c r="K3275" t="s">
        <v>41</v>
      </c>
      <c r="L3275" t="s">
        <v>52</v>
      </c>
      <c r="M3275">
        <v>12</v>
      </c>
      <c r="N3275" t="s">
        <v>53</v>
      </c>
    </row>
    <row r="3276" spans="1:14" x14ac:dyDescent="0.3">
      <c r="A3276" s="1">
        <v>45587</v>
      </c>
      <c r="B3276" t="s">
        <v>37</v>
      </c>
      <c r="C3276" t="s">
        <v>38</v>
      </c>
      <c r="D3276" t="s">
        <v>22</v>
      </c>
      <c r="E3276">
        <v>8</v>
      </c>
      <c r="F3276">
        <v>672</v>
      </c>
      <c r="G3276">
        <v>186.37</v>
      </c>
      <c r="H3276">
        <v>2024</v>
      </c>
      <c r="I3276" t="s">
        <v>14</v>
      </c>
      <c r="J3276" s="4">
        <v>0.27733630952381</v>
      </c>
      <c r="K3276" t="s">
        <v>41</v>
      </c>
      <c r="L3276" t="s">
        <v>52</v>
      </c>
      <c r="M3276">
        <v>10</v>
      </c>
      <c r="N3276" t="s">
        <v>54</v>
      </c>
    </row>
    <row r="3277" spans="1:14" x14ac:dyDescent="0.3">
      <c r="A3277" s="1">
        <v>45513</v>
      </c>
      <c r="B3277" t="s">
        <v>37</v>
      </c>
      <c r="C3277" t="s">
        <v>38</v>
      </c>
      <c r="D3277" t="s">
        <v>17</v>
      </c>
      <c r="E3277">
        <v>2</v>
      </c>
      <c r="F3277">
        <v>2372</v>
      </c>
      <c r="G3277">
        <v>206.42</v>
      </c>
      <c r="H3277">
        <v>2024</v>
      </c>
      <c r="I3277" t="s">
        <v>24</v>
      </c>
      <c r="J3277" s="4">
        <v>8.7023608768971306E-2</v>
      </c>
      <c r="K3277" t="s">
        <v>41</v>
      </c>
      <c r="L3277" t="s">
        <v>60</v>
      </c>
      <c r="M3277">
        <v>8</v>
      </c>
      <c r="N3277" t="s">
        <v>63</v>
      </c>
    </row>
    <row r="3278" spans="1:14" x14ac:dyDescent="0.3">
      <c r="A3278" s="1">
        <v>45482</v>
      </c>
      <c r="B3278" t="s">
        <v>37</v>
      </c>
      <c r="C3278" t="s">
        <v>38</v>
      </c>
      <c r="D3278" t="s">
        <v>12</v>
      </c>
      <c r="E3278">
        <v>7</v>
      </c>
      <c r="F3278">
        <v>4109</v>
      </c>
      <c r="G3278">
        <v>1037.6400000000001</v>
      </c>
      <c r="H3278">
        <v>2024</v>
      </c>
      <c r="I3278" t="s">
        <v>25</v>
      </c>
      <c r="J3278" s="4">
        <v>0.25252859576539299</v>
      </c>
      <c r="K3278" t="s">
        <v>41</v>
      </c>
      <c r="L3278" t="s">
        <v>60</v>
      </c>
      <c r="M3278">
        <v>7</v>
      </c>
      <c r="N3278" t="s">
        <v>64</v>
      </c>
    </row>
    <row r="3279" spans="1:14" x14ac:dyDescent="0.3">
      <c r="A3279" s="1">
        <v>45434</v>
      </c>
      <c r="B3279" t="s">
        <v>37</v>
      </c>
      <c r="C3279" t="s">
        <v>38</v>
      </c>
      <c r="D3279" t="s">
        <v>22</v>
      </c>
      <c r="E3279">
        <v>5</v>
      </c>
      <c r="F3279">
        <v>1640</v>
      </c>
      <c r="G3279">
        <v>391.36</v>
      </c>
      <c r="H3279">
        <v>2024</v>
      </c>
      <c r="I3279" t="s">
        <v>20</v>
      </c>
      <c r="J3279" s="4">
        <v>0.23863414634146299</v>
      </c>
      <c r="K3279" t="s">
        <v>41</v>
      </c>
      <c r="L3279" t="s">
        <v>59</v>
      </c>
      <c r="M3279">
        <v>5</v>
      </c>
      <c r="N3279" t="s">
        <v>20</v>
      </c>
    </row>
    <row r="3280" spans="1:14" x14ac:dyDescent="0.3">
      <c r="A3280" s="1">
        <v>45461</v>
      </c>
      <c r="B3280" t="s">
        <v>37</v>
      </c>
      <c r="C3280" t="s">
        <v>38</v>
      </c>
      <c r="D3280" t="s">
        <v>22</v>
      </c>
      <c r="E3280">
        <v>3</v>
      </c>
      <c r="F3280">
        <v>390</v>
      </c>
      <c r="G3280">
        <v>112.08</v>
      </c>
      <c r="H3280">
        <v>2024</v>
      </c>
      <c r="I3280" t="s">
        <v>27</v>
      </c>
      <c r="J3280" s="4">
        <v>0.28738461538461502</v>
      </c>
      <c r="K3280" t="s">
        <v>41</v>
      </c>
      <c r="L3280" t="s">
        <v>59</v>
      </c>
      <c r="M3280">
        <v>6</v>
      </c>
      <c r="N3280" t="s">
        <v>66</v>
      </c>
    </row>
    <row r="3281" spans="1:14" x14ac:dyDescent="0.3">
      <c r="A3281" s="1">
        <v>45568</v>
      </c>
      <c r="B3281" t="s">
        <v>37</v>
      </c>
      <c r="C3281" t="s">
        <v>38</v>
      </c>
      <c r="D3281" t="s">
        <v>19</v>
      </c>
      <c r="E3281">
        <v>1</v>
      </c>
      <c r="F3281">
        <v>714</v>
      </c>
      <c r="G3281">
        <v>99.13</v>
      </c>
      <c r="H3281">
        <v>2024</v>
      </c>
      <c r="I3281" t="s">
        <v>14</v>
      </c>
      <c r="J3281" s="4">
        <v>0.138837535014006</v>
      </c>
      <c r="K3281" t="s">
        <v>41</v>
      </c>
      <c r="L3281" t="s">
        <v>52</v>
      </c>
      <c r="M3281">
        <v>10</v>
      </c>
      <c r="N3281" t="s">
        <v>54</v>
      </c>
    </row>
    <row r="3282" spans="1:14" x14ac:dyDescent="0.3">
      <c r="A3282" s="1">
        <v>45446</v>
      </c>
      <c r="B3282" t="s">
        <v>37</v>
      </c>
      <c r="C3282" t="s">
        <v>38</v>
      </c>
      <c r="D3282" t="s">
        <v>19</v>
      </c>
      <c r="E3282">
        <v>4</v>
      </c>
      <c r="F3282">
        <v>3284</v>
      </c>
      <c r="G3282">
        <v>354.4</v>
      </c>
      <c r="H3282">
        <v>2024</v>
      </c>
      <c r="I3282" t="s">
        <v>27</v>
      </c>
      <c r="J3282" s="4">
        <v>0.107917174177832</v>
      </c>
      <c r="K3282" t="s">
        <v>41</v>
      </c>
      <c r="L3282" t="s">
        <v>59</v>
      </c>
      <c r="M3282">
        <v>6</v>
      </c>
      <c r="N3282" t="s">
        <v>66</v>
      </c>
    </row>
    <row r="3283" spans="1:14" x14ac:dyDescent="0.3">
      <c r="A3283" s="1">
        <v>45616</v>
      </c>
      <c r="B3283" t="s">
        <v>37</v>
      </c>
      <c r="C3283" t="s">
        <v>38</v>
      </c>
      <c r="D3283" t="s">
        <v>19</v>
      </c>
      <c r="E3283">
        <v>5</v>
      </c>
      <c r="F3283">
        <v>3030</v>
      </c>
      <c r="G3283">
        <v>811.92</v>
      </c>
      <c r="H3283">
        <v>2024</v>
      </c>
      <c r="I3283" t="s">
        <v>18</v>
      </c>
      <c r="J3283" s="4">
        <v>0.26796039603960398</v>
      </c>
      <c r="K3283" t="s">
        <v>41</v>
      </c>
      <c r="L3283" t="s">
        <v>52</v>
      </c>
      <c r="M3283">
        <v>11</v>
      </c>
      <c r="N3283" t="s">
        <v>58</v>
      </c>
    </row>
    <row r="3284" spans="1:14" x14ac:dyDescent="0.3">
      <c r="A3284" s="1">
        <v>45445</v>
      </c>
      <c r="B3284" t="s">
        <v>37</v>
      </c>
      <c r="C3284" t="s">
        <v>38</v>
      </c>
      <c r="D3284" t="s">
        <v>12</v>
      </c>
      <c r="E3284">
        <v>7</v>
      </c>
      <c r="F3284">
        <v>5922</v>
      </c>
      <c r="G3284">
        <v>1323.1</v>
      </c>
      <c r="H3284">
        <v>2024</v>
      </c>
      <c r="I3284" t="s">
        <v>27</v>
      </c>
      <c r="J3284" s="4">
        <v>0.22342114150624801</v>
      </c>
      <c r="K3284" t="s">
        <v>41</v>
      </c>
      <c r="L3284" t="s">
        <v>59</v>
      </c>
      <c r="M3284">
        <v>6</v>
      </c>
      <c r="N3284" t="s">
        <v>66</v>
      </c>
    </row>
    <row r="3285" spans="1:14" x14ac:dyDescent="0.3">
      <c r="A3285" s="1">
        <v>45578</v>
      </c>
      <c r="B3285" t="s">
        <v>37</v>
      </c>
      <c r="C3285" t="s">
        <v>38</v>
      </c>
      <c r="D3285" t="s">
        <v>12</v>
      </c>
      <c r="E3285">
        <v>1</v>
      </c>
      <c r="F3285">
        <v>570</v>
      </c>
      <c r="G3285">
        <v>57.07</v>
      </c>
      <c r="H3285">
        <v>2024</v>
      </c>
      <c r="I3285" t="s">
        <v>14</v>
      </c>
      <c r="J3285" s="4">
        <v>0.100122807017544</v>
      </c>
      <c r="K3285" t="s">
        <v>41</v>
      </c>
      <c r="L3285" t="s">
        <v>52</v>
      </c>
      <c r="M3285">
        <v>10</v>
      </c>
      <c r="N3285" t="s">
        <v>54</v>
      </c>
    </row>
    <row r="3286" spans="1:14" x14ac:dyDescent="0.3">
      <c r="A3286" s="1">
        <v>45311</v>
      </c>
      <c r="B3286" t="s">
        <v>37</v>
      </c>
      <c r="C3286" t="s">
        <v>38</v>
      </c>
      <c r="D3286" t="s">
        <v>12</v>
      </c>
      <c r="E3286">
        <v>9</v>
      </c>
      <c r="F3286">
        <v>1539</v>
      </c>
      <c r="G3286">
        <v>203.54</v>
      </c>
      <c r="H3286">
        <v>2024</v>
      </c>
      <c r="I3286" t="s">
        <v>26</v>
      </c>
      <c r="J3286" s="4">
        <v>0.132254710851202</v>
      </c>
      <c r="K3286" t="s">
        <v>41</v>
      </c>
      <c r="L3286" t="s">
        <v>55</v>
      </c>
      <c r="M3286">
        <v>1</v>
      </c>
      <c r="N3286" t="s">
        <v>65</v>
      </c>
    </row>
    <row r="3287" spans="1:14" x14ac:dyDescent="0.3">
      <c r="A3287" s="1">
        <v>45566</v>
      </c>
      <c r="B3287" t="s">
        <v>37</v>
      </c>
      <c r="C3287" t="s">
        <v>38</v>
      </c>
      <c r="D3287" t="s">
        <v>17</v>
      </c>
      <c r="E3287">
        <v>2</v>
      </c>
      <c r="F3287">
        <v>848</v>
      </c>
      <c r="G3287">
        <v>129.96</v>
      </c>
      <c r="H3287">
        <v>2024</v>
      </c>
      <c r="I3287" t="s">
        <v>14</v>
      </c>
      <c r="J3287" s="4">
        <v>0.15325471698113199</v>
      </c>
      <c r="K3287" t="s">
        <v>41</v>
      </c>
      <c r="L3287" t="s">
        <v>52</v>
      </c>
      <c r="M3287">
        <v>10</v>
      </c>
      <c r="N3287" t="s">
        <v>54</v>
      </c>
    </row>
    <row r="3288" spans="1:14" x14ac:dyDescent="0.3">
      <c r="A3288" s="1">
        <v>45299</v>
      </c>
      <c r="B3288" t="s">
        <v>37</v>
      </c>
      <c r="C3288" t="s">
        <v>38</v>
      </c>
      <c r="D3288" t="s">
        <v>17</v>
      </c>
      <c r="E3288">
        <v>1</v>
      </c>
      <c r="F3288">
        <v>1062</v>
      </c>
      <c r="G3288">
        <v>272.42</v>
      </c>
      <c r="H3288">
        <v>2024</v>
      </c>
      <c r="I3288" t="s">
        <v>26</v>
      </c>
      <c r="J3288" s="4">
        <v>0.256516007532957</v>
      </c>
      <c r="K3288" t="s">
        <v>41</v>
      </c>
      <c r="L3288" t="s">
        <v>55</v>
      </c>
      <c r="M3288">
        <v>1</v>
      </c>
      <c r="N3288" t="s">
        <v>65</v>
      </c>
    </row>
    <row r="3289" spans="1:14" x14ac:dyDescent="0.3">
      <c r="A3289" s="1">
        <v>45501</v>
      </c>
      <c r="B3289" t="s">
        <v>37</v>
      </c>
      <c r="C3289" t="s">
        <v>38</v>
      </c>
      <c r="D3289" t="s">
        <v>17</v>
      </c>
      <c r="E3289">
        <v>8</v>
      </c>
      <c r="F3289">
        <v>4128</v>
      </c>
      <c r="G3289">
        <v>315.48</v>
      </c>
      <c r="H3289">
        <v>2024</v>
      </c>
      <c r="I3289" t="s">
        <v>25</v>
      </c>
      <c r="J3289" s="4">
        <v>7.6424418604651198E-2</v>
      </c>
      <c r="K3289" t="s">
        <v>41</v>
      </c>
      <c r="L3289" t="s">
        <v>60</v>
      </c>
      <c r="M3289">
        <v>7</v>
      </c>
      <c r="N3289" t="s">
        <v>64</v>
      </c>
    </row>
    <row r="3290" spans="1:14" x14ac:dyDescent="0.3">
      <c r="A3290" s="1">
        <v>45574</v>
      </c>
      <c r="B3290" t="s">
        <v>37</v>
      </c>
      <c r="C3290" t="s">
        <v>38</v>
      </c>
      <c r="D3290" t="s">
        <v>17</v>
      </c>
      <c r="E3290">
        <v>1</v>
      </c>
      <c r="F3290">
        <v>624</v>
      </c>
      <c r="G3290">
        <v>106.92</v>
      </c>
      <c r="H3290">
        <v>2024</v>
      </c>
      <c r="I3290" t="s">
        <v>14</v>
      </c>
      <c r="J3290" s="4">
        <v>0.17134615384615401</v>
      </c>
      <c r="K3290" t="s">
        <v>41</v>
      </c>
      <c r="L3290" t="s">
        <v>52</v>
      </c>
      <c r="M3290">
        <v>10</v>
      </c>
      <c r="N3290" t="s">
        <v>54</v>
      </c>
    </row>
    <row r="3291" spans="1:14" x14ac:dyDescent="0.3">
      <c r="A3291" s="1">
        <v>45415</v>
      </c>
      <c r="B3291" t="s">
        <v>37</v>
      </c>
      <c r="C3291" t="s">
        <v>38</v>
      </c>
      <c r="D3291" t="s">
        <v>12</v>
      </c>
      <c r="E3291">
        <v>4</v>
      </c>
      <c r="F3291">
        <v>500</v>
      </c>
      <c r="G3291">
        <v>85.96</v>
      </c>
      <c r="H3291">
        <v>2024</v>
      </c>
      <c r="I3291" t="s">
        <v>20</v>
      </c>
      <c r="J3291" s="4">
        <v>0.17191999999999999</v>
      </c>
      <c r="K3291" t="s">
        <v>41</v>
      </c>
      <c r="L3291" t="s">
        <v>59</v>
      </c>
      <c r="M3291">
        <v>5</v>
      </c>
      <c r="N3291" t="s">
        <v>20</v>
      </c>
    </row>
    <row r="3292" spans="1:14" x14ac:dyDescent="0.3">
      <c r="A3292" s="1">
        <v>45551</v>
      </c>
      <c r="B3292" t="s">
        <v>37</v>
      </c>
      <c r="C3292" t="s">
        <v>38</v>
      </c>
      <c r="D3292" t="s">
        <v>17</v>
      </c>
      <c r="E3292">
        <v>7</v>
      </c>
      <c r="F3292">
        <v>6293</v>
      </c>
      <c r="G3292">
        <v>718.49</v>
      </c>
      <c r="H3292">
        <v>2024</v>
      </c>
      <c r="I3292" t="s">
        <v>21</v>
      </c>
      <c r="J3292" s="4">
        <v>0.114172890513269</v>
      </c>
      <c r="K3292" t="s">
        <v>41</v>
      </c>
      <c r="L3292" t="s">
        <v>60</v>
      </c>
      <c r="M3292">
        <v>9</v>
      </c>
      <c r="N3292" t="s">
        <v>61</v>
      </c>
    </row>
    <row r="3293" spans="1:14" x14ac:dyDescent="0.3">
      <c r="A3293" s="1">
        <v>45538</v>
      </c>
      <c r="B3293" t="s">
        <v>37</v>
      </c>
      <c r="C3293" t="s">
        <v>38</v>
      </c>
      <c r="D3293" t="s">
        <v>19</v>
      </c>
      <c r="E3293">
        <v>2</v>
      </c>
      <c r="F3293">
        <v>1632</v>
      </c>
      <c r="G3293">
        <v>292.77999999999997</v>
      </c>
      <c r="H3293">
        <v>2024</v>
      </c>
      <c r="I3293" t="s">
        <v>21</v>
      </c>
      <c r="J3293" s="4">
        <v>0.179399509803922</v>
      </c>
      <c r="K3293" t="s">
        <v>41</v>
      </c>
      <c r="L3293" t="s">
        <v>60</v>
      </c>
      <c r="M3293">
        <v>9</v>
      </c>
      <c r="N3293" t="s">
        <v>61</v>
      </c>
    </row>
    <row r="3294" spans="1:14" x14ac:dyDescent="0.3">
      <c r="A3294" s="1">
        <v>45425</v>
      </c>
      <c r="B3294" t="s">
        <v>37</v>
      </c>
      <c r="C3294" t="s">
        <v>38</v>
      </c>
      <c r="D3294" t="s">
        <v>12</v>
      </c>
      <c r="E3294">
        <v>1</v>
      </c>
      <c r="F3294">
        <v>1012</v>
      </c>
      <c r="G3294">
        <v>172.67</v>
      </c>
      <c r="H3294">
        <v>2024</v>
      </c>
      <c r="I3294" t="s">
        <v>20</v>
      </c>
      <c r="J3294" s="4">
        <v>0.17062252964426899</v>
      </c>
      <c r="K3294" t="s">
        <v>41</v>
      </c>
      <c r="L3294" t="s">
        <v>59</v>
      </c>
      <c r="M3294">
        <v>5</v>
      </c>
      <c r="N3294" t="s">
        <v>20</v>
      </c>
    </row>
    <row r="3295" spans="1:14" x14ac:dyDescent="0.3">
      <c r="A3295" s="1">
        <v>45401</v>
      </c>
      <c r="B3295" t="s">
        <v>37</v>
      </c>
      <c r="C3295" t="s">
        <v>38</v>
      </c>
      <c r="D3295" t="s">
        <v>19</v>
      </c>
      <c r="E3295">
        <v>2</v>
      </c>
      <c r="F3295">
        <v>2190</v>
      </c>
      <c r="G3295">
        <v>477.8</v>
      </c>
      <c r="H3295">
        <v>2024</v>
      </c>
      <c r="I3295" t="s">
        <v>23</v>
      </c>
      <c r="J3295" s="4">
        <v>0.21817351598173501</v>
      </c>
      <c r="K3295" t="s">
        <v>41</v>
      </c>
      <c r="L3295" t="s">
        <v>59</v>
      </c>
      <c r="M3295">
        <v>4</v>
      </c>
      <c r="N3295" t="s">
        <v>62</v>
      </c>
    </row>
    <row r="3296" spans="1:14" x14ac:dyDescent="0.3">
      <c r="A3296" s="1">
        <v>45321</v>
      </c>
      <c r="B3296" t="s">
        <v>37</v>
      </c>
      <c r="C3296" t="s">
        <v>38</v>
      </c>
      <c r="D3296" t="s">
        <v>12</v>
      </c>
      <c r="E3296">
        <v>3</v>
      </c>
      <c r="F3296">
        <v>531</v>
      </c>
      <c r="G3296">
        <v>126.24</v>
      </c>
      <c r="H3296">
        <v>2024</v>
      </c>
      <c r="I3296" t="s">
        <v>26</v>
      </c>
      <c r="J3296" s="4">
        <v>0.23774011299434999</v>
      </c>
      <c r="K3296" t="s">
        <v>41</v>
      </c>
      <c r="L3296" t="s">
        <v>55</v>
      </c>
      <c r="M3296">
        <v>1</v>
      </c>
      <c r="N3296" t="s">
        <v>65</v>
      </c>
    </row>
    <row r="3297" spans="1:14" x14ac:dyDescent="0.3">
      <c r="A3297" s="1">
        <v>45384</v>
      </c>
      <c r="B3297" t="s">
        <v>37</v>
      </c>
      <c r="C3297" t="s">
        <v>38</v>
      </c>
      <c r="D3297" t="s">
        <v>19</v>
      </c>
      <c r="E3297">
        <v>6</v>
      </c>
      <c r="F3297">
        <v>822</v>
      </c>
      <c r="G3297">
        <v>231.62</v>
      </c>
      <c r="H3297">
        <v>2024</v>
      </c>
      <c r="I3297" t="s">
        <v>23</v>
      </c>
      <c r="J3297" s="4">
        <v>0.28177615571776199</v>
      </c>
      <c r="K3297" t="s">
        <v>41</v>
      </c>
      <c r="L3297" t="s">
        <v>59</v>
      </c>
      <c r="M3297">
        <v>4</v>
      </c>
      <c r="N3297" t="s">
        <v>62</v>
      </c>
    </row>
    <row r="3298" spans="1:14" x14ac:dyDescent="0.3">
      <c r="A3298" s="1">
        <v>45486</v>
      </c>
      <c r="B3298" t="s">
        <v>37</v>
      </c>
      <c r="C3298" t="s">
        <v>38</v>
      </c>
      <c r="D3298" t="s">
        <v>22</v>
      </c>
      <c r="E3298">
        <v>9</v>
      </c>
      <c r="F3298">
        <v>8496</v>
      </c>
      <c r="G3298">
        <v>2316.0300000000002</v>
      </c>
      <c r="H3298">
        <v>2024</v>
      </c>
      <c r="I3298" t="s">
        <v>25</v>
      </c>
      <c r="J3298" s="4">
        <v>0.27260240112994399</v>
      </c>
      <c r="K3298" t="s">
        <v>41</v>
      </c>
      <c r="L3298" t="s">
        <v>60</v>
      </c>
      <c r="M3298">
        <v>7</v>
      </c>
      <c r="N3298" t="s">
        <v>64</v>
      </c>
    </row>
    <row r="3299" spans="1:14" x14ac:dyDescent="0.3">
      <c r="A3299" s="1">
        <v>45371</v>
      </c>
      <c r="B3299" t="s">
        <v>37</v>
      </c>
      <c r="C3299" t="s">
        <v>38</v>
      </c>
      <c r="D3299" t="s">
        <v>22</v>
      </c>
      <c r="E3299">
        <v>5</v>
      </c>
      <c r="F3299">
        <v>4970</v>
      </c>
      <c r="G3299">
        <v>1080.1199999999999</v>
      </c>
      <c r="H3299">
        <v>2024</v>
      </c>
      <c r="I3299" t="s">
        <v>15</v>
      </c>
      <c r="J3299" s="4">
        <v>0.21732796780684099</v>
      </c>
      <c r="K3299" t="s">
        <v>41</v>
      </c>
      <c r="L3299" t="s">
        <v>55</v>
      </c>
      <c r="M3299">
        <v>3</v>
      </c>
      <c r="N3299" t="s">
        <v>56</v>
      </c>
    </row>
    <row r="3300" spans="1:14" x14ac:dyDescent="0.3">
      <c r="A3300" s="1">
        <v>45448</v>
      </c>
      <c r="B3300" t="s">
        <v>37</v>
      </c>
      <c r="C3300" t="s">
        <v>38</v>
      </c>
      <c r="D3300" t="s">
        <v>22</v>
      </c>
      <c r="E3300">
        <v>5</v>
      </c>
      <c r="F3300">
        <v>1025</v>
      </c>
      <c r="G3300">
        <v>246.15</v>
      </c>
      <c r="H3300">
        <v>2024</v>
      </c>
      <c r="I3300" t="s">
        <v>27</v>
      </c>
      <c r="J3300" s="4">
        <v>0.24014634146341499</v>
      </c>
      <c r="K3300" t="s">
        <v>41</v>
      </c>
      <c r="L3300" t="s">
        <v>59</v>
      </c>
      <c r="M3300">
        <v>6</v>
      </c>
      <c r="N3300" t="s">
        <v>66</v>
      </c>
    </row>
    <row r="3301" spans="1:14" x14ac:dyDescent="0.3">
      <c r="A3301" s="1">
        <v>45565</v>
      </c>
      <c r="B3301" t="s">
        <v>37</v>
      </c>
      <c r="C3301" t="s">
        <v>38</v>
      </c>
      <c r="D3301" t="s">
        <v>19</v>
      </c>
      <c r="E3301">
        <v>3</v>
      </c>
      <c r="F3301">
        <v>1872</v>
      </c>
      <c r="G3301">
        <v>532.80999999999995</v>
      </c>
      <c r="H3301">
        <v>2024</v>
      </c>
      <c r="I3301" t="s">
        <v>21</v>
      </c>
      <c r="J3301" s="4">
        <v>0.28462072649572601</v>
      </c>
      <c r="K3301" t="s">
        <v>41</v>
      </c>
      <c r="L3301" t="s">
        <v>60</v>
      </c>
      <c r="M3301">
        <v>9</v>
      </c>
      <c r="N3301" t="s">
        <v>61</v>
      </c>
    </row>
    <row r="3302" spans="1:14" x14ac:dyDescent="0.3">
      <c r="A3302" s="1">
        <v>45387</v>
      </c>
      <c r="B3302" t="s">
        <v>37</v>
      </c>
      <c r="C3302" t="s">
        <v>38</v>
      </c>
      <c r="D3302" t="s">
        <v>12</v>
      </c>
      <c r="E3302">
        <v>2</v>
      </c>
      <c r="F3302">
        <v>2276</v>
      </c>
      <c r="G3302">
        <v>366.5</v>
      </c>
      <c r="H3302">
        <v>2024</v>
      </c>
      <c r="I3302" t="s">
        <v>23</v>
      </c>
      <c r="J3302" s="4">
        <v>0.16102811950790899</v>
      </c>
      <c r="K3302" t="s">
        <v>41</v>
      </c>
      <c r="L3302" t="s">
        <v>59</v>
      </c>
      <c r="M3302">
        <v>4</v>
      </c>
      <c r="N3302" t="s">
        <v>62</v>
      </c>
    </row>
    <row r="3303" spans="1:14" x14ac:dyDescent="0.3">
      <c r="A3303" s="1">
        <v>45358</v>
      </c>
      <c r="B3303" t="s">
        <v>37</v>
      </c>
      <c r="C3303" t="s">
        <v>38</v>
      </c>
      <c r="D3303" t="s">
        <v>19</v>
      </c>
      <c r="E3303">
        <v>7</v>
      </c>
      <c r="F3303">
        <v>8379</v>
      </c>
      <c r="G3303">
        <v>2009.05</v>
      </c>
      <c r="H3303">
        <v>2024</v>
      </c>
      <c r="I3303" t="s">
        <v>15</v>
      </c>
      <c r="J3303" s="4">
        <v>0.23977204917054501</v>
      </c>
      <c r="K3303" t="s">
        <v>41</v>
      </c>
      <c r="L3303" t="s">
        <v>55</v>
      </c>
      <c r="M3303">
        <v>3</v>
      </c>
      <c r="N3303" t="s">
        <v>56</v>
      </c>
    </row>
    <row r="3304" spans="1:14" x14ac:dyDescent="0.3">
      <c r="A3304" s="1">
        <v>45399</v>
      </c>
      <c r="B3304" t="s">
        <v>37</v>
      </c>
      <c r="C3304" t="s">
        <v>38</v>
      </c>
      <c r="D3304" t="s">
        <v>19</v>
      </c>
      <c r="E3304">
        <v>4</v>
      </c>
      <c r="F3304">
        <v>1336</v>
      </c>
      <c r="G3304">
        <v>116.65</v>
      </c>
      <c r="H3304">
        <v>2024</v>
      </c>
      <c r="I3304" t="s">
        <v>23</v>
      </c>
      <c r="J3304" s="4">
        <v>8.7312874251497002E-2</v>
      </c>
      <c r="K3304" t="s">
        <v>41</v>
      </c>
      <c r="L3304" t="s">
        <v>59</v>
      </c>
      <c r="M3304">
        <v>4</v>
      </c>
      <c r="N3304" t="s">
        <v>62</v>
      </c>
    </row>
    <row r="3305" spans="1:14" x14ac:dyDescent="0.3">
      <c r="A3305" s="1">
        <v>45463</v>
      </c>
      <c r="B3305" t="s">
        <v>37</v>
      </c>
      <c r="C3305" t="s">
        <v>38</v>
      </c>
      <c r="D3305" t="s">
        <v>22</v>
      </c>
      <c r="E3305">
        <v>6</v>
      </c>
      <c r="F3305">
        <v>3954</v>
      </c>
      <c r="G3305">
        <v>690.1</v>
      </c>
      <c r="H3305">
        <v>2024</v>
      </c>
      <c r="I3305" t="s">
        <v>27</v>
      </c>
      <c r="J3305" s="4">
        <v>0.17453211937278701</v>
      </c>
      <c r="K3305" t="s">
        <v>41</v>
      </c>
      <c r="L3305" t="s">
        <v>59</v>
      </c>
      <c r="M3305">
        <v>6</v>
      </c>
      <c r="N3305" t="s">
        <v>66</v>
      </c>
    </row>
    <row r="3306" spans="1:14" x14ac:dyDescent="0.3">
      <c r="A3306" s="1">
        <v>45308</v>
      </c>
      <c r="B3306" t="s">
        <v>37</v>
      </c>
      <c r="C3306" t="s">
        <v>38</v>
      </c>
      <c r="D3306" t="s">
        <v>22</v>
      </c>
      <c r="E3306">
        <v>9</v>
      </c>
      <c r="F3306">
        <v>4086</v>
      </c>
      <c r="G3306">
        <v>217.48</v>
      </c>
      <c r="H3306">
        <v>2024</v>
      </c>
      <c r="I3306" t="s">
        <v>26</v>
      </c>
      <c r="J3306" s="4">
        <v>5.3225648556045002E-2</v>
      </c>
      <c r="K3306" t="s">
        <v>41</v>
      </c>
      <c r="L3306" t="s">
        <v>55</v>
      </c>
      <c r="M3306">
        <v>1</v>
      </c>
      <c r="N3306" t="s">
        <v>65</v>
      </c>
    </row>
    <row r="3307" spans="1:14" x14ac:dyDescent="0.3">
      <c r="A3307" s="1">
        <v>45374</v>
      </c>
      <c r="B3307" t="s">
        <v>37</v>
      </c>
      <c r="C3307" t="s">
        <v>38</v>
      </c>
      <c r="D3307" t="s">
        <v>12</v>
      </c>
      <c r="E3307">
        <v>2</v>
      </c>
      <c r="F3307">
        <v>724</v>
      </c>
      <c r="G3307">
        <v>72.19</v>
      </c>
      <c r="H3307">
        <v>2024</v>
      </c>
      <c r="I3307" t="s">
        <v>15</v>
      </c>
      <c r="J3307" s="4">
        <v>9.9709944751381202E-2</v>
      </c>
      <c r="K3307" t="s">
        <v>41</v>
      </c>
      <c r="L3307" t="s">
        <v>55</v>
      </c>
      <c r="M3307">
        <v>3</v>
      </c>
      <c r="N3307" t="s">
        <v>56</v>
      </c>
    </row>
    <row r="3308" spans="1:14" x14ac:dyDescent="0.3">
      <c r="A3308" s="1">
        <v>45296</v>
      </c>
      <c r="B3308" t="s">
        <v>37</v>
      </c>
      <c r="C3308" t="s">
        <v>38</v>
      </c>
      <c r="D3308" t="s">
        <v>17</v>
      </c>
      <c r="E3308">
        <v>8</v>
      </c>
      <c r="F3308">
        <v>1824</v>
      </c>
      <c r="G3308">
        <v>495.35</v>
      </c>
      <c r="H3308">
        <v>2024</v>
      </c>
      <c r="I3308" t="s">
        <v>26</v>
      </c>
      <c r="J3308" s="4">
        <v>0.27157346491228102</v>
      </c>
      <c r="K3308" t="s">
        <v>41</v>
      </c>
      <c r="L3308" t="s">
        <v>55</v>
      </c>
      <c r="M3308">
        <v>1</v>
      </c>
      <c r="N3308" t="s">
        <v>65</v>
      </c>
    </row>
    <row r="3309" spans="1:14" x14ac:dyDescent="0.3">
      <c r="A3309" s="1">
        <v>45512</v>
      </c>
      <c r="B3309" t="s">
        <v>37</v>
      </c>
      <c r="C3309" t="s">
        <v>38</v>
      </c>
      <c r="D3309" t="s">
        <v>12</v>
      </c>
      <c r="E3309">
        <v>3</v>
      </c>
      <c r="F3309">
        <v>3093</v>
      </c>
      <c r="G3309">
        <v>584.23</v>
      </c>
      <c r="H3309">
        <v>2024</v>
      </c>
      <c r="I3309" t="s">
        <v>24</v>
      </c>
      <c r="J3309" s="4">
        <v>0.18888781118654999</v>
      </c>
      <c r="K3309" t="s">
        <v>41</v>
      </c>
      <c r="L3309" t="s">
        <v>60</v>
      </c>
      <c r="M3309">
        <v>8</v>
      </c>
      <c r="N3309" t="s">
        <v>63</v>
      </c>
    </row>
    <row r="3310" spans="1:14" x14ac:dyDescent="0.3">
      <c r="A3310" s="1">
        <v>45466</v>
      </c>
      <c r="B3310" t="s">
        <v>37</v>
      </c>
      <c r="C3310" t="s">
        <v>38</v>
      </c>
      <c r="D3310" t="s">
        <v>17</v>
      </c>
      <c r="E3310">
        <v>4</v>
      </c>
      <c r="F3310">
        <v>1060</v>
      </c>
      <c r="G3310">
        <v>155.78</v>
      </c>
      <c r="H3310">
        <v>2024</v>
      </c>
      <c r="I3310" t="s">
        <v>27</v>
      </c>
      <c r="J3310" s="4">
        <v>0.14696226415094299</v>
      </c>
      <c r="K3310" t="s">
        <v>41</v>
      </c>
      <c r="L3310" t="s">
        <v>59</v>
      </c>
      <c r="M3310">
        <v>6</v>
      </c>
      <c r="N3310" t="s">
        <v>66</v>
      </c>
    </row>
    <row r="3311" spans="1:14" x14ac:dyDescent="0.3">
      <c r="A3311" s="1">
        <v>45551</v>
      </c>
      <c r="B3311" t="s">
        <v>37</v>
      </c>
      <c r="C3311" t="s">
        <v>38</v>
      </c>
      <c r="D3311" t="s">
        <v>17</v>
      </c>
      <c r="E3311">
        <v>8</v>
      </c>
      <c r="F3311">
        <v>4080</v>
      </c>
      <c r="G3311">
        <v>336.96</v>
      </c>
      <c r="H3311">
        <v>2024</v>
      </c>
      <c r="I3311" t="s">
        <v>21</v>
      </c>
      <c r="J3311" s="4">
        <v>8.2588235294117601E-2</v>
      </c>
      <c r="K3311" t="s">
        <v>41</v>
      </c>
      <c r="L3311" t="s">
        <v>60</v>
      </c>
      <c r="M3311">
        <v>9</v>
      </c>
      <c r="N3311" t="s">
        <v>61</v>
      </c>
    </row>
    <row r="3312" spans="1:14" x14ac:dyDescent="0.3">
      <c r="A3312" s="1">
        <v>45528</v>
      </c>
      <c r="B3312" t="s">
        <v>37</v>
      </c>
      <c r="C3312" t="s">
        <v>38</v>
      </c>
      <c r="D3312" t="s">
        <v>19</v>
      </c>
      <c r="E3312">
        <v>9</v>
      </c>
      <c r="F3312">
        <v>9459</v>
      </c>
      <c r="G3312">
        <v>604.05999999999995</v>
      </c>
      <c r="H3312">
        <v>2024</v>
      </c>
      <c r="I3312" t="s">
        <v>24</v>
      </c>
      <c r="J3312" s="4">
        <v>6.3860873242414601E-2</v>
      </c>
      <c r="K3312" t="s">
        <v>41</v>
      </c>
      <c r="L3312" t="s">
        <v>60</v>
      </c>
      <c r="M3312">
        <v>8</v>
      </c>
      <c r="N3312" t="s">
        <v>63</v>
      </c>
    </row>
    <row r="3313" spans="1:14" x14ac:dyDescent="0.3">
      <c r="A3313" s="1">
        <v>45346</v>
      </c>
      <c r="B3313" t="s">
        <v>37</v>
      </c>
      <c r="C3313" t="s">
        <v>38</v>
      </c>
      <c r="D3313" t="s">
        <v>12</v>
      </c>
      <c r="E3313">
        <v>7</v>
      </c>
      <c r="F3313">
        <v>6097</v>
      </c>
      <c r="G3313">
        <v>567.32000000000005</v>
      </c>
      <c r="H3313">
        <v>2024</v>
      </c>
      <c r="I3313" t="s">
        <v>16</v>
      </c>
      <c r="J3313" s="4">
        <v>9.3049040511727105E-2</v>
      </c>
      <c r="K3313" t="s">
        <v>41</v>
      </c>
      <c r="L3313" t="s">
        <v>55</v>
      </c>
      <c r="M3313">
        <v>2</v>
      </c>
      <c r="N3313" t="s">
        <v>57</v>
      </c>
    </row>
    <row r="3314" spans="1:14" x14ac:dyDescent="0.3">
      <c r="A3314" s="1">
        <v>45389</v>
      </c>
      <c r="B3314" t="s">
        <v>37</v>
      </c>
      <c r="C3314" t="s">
        <v>38</v>
      </c>
      <c r="D3314" t="s">
        <v>19</v>
      </c>
      <c r="E3314">
        <v>3</v>
      </c>
      <c r="F3314">
        <v>1635</v>
      </c>
      <c r="G3314">
        <v>196.73</v>
      </c>
      <c r="H3314">
        <v>2024</v>
      </c>
      <c r="I3314" t="s">
        <v>23</v>
      </c>
      <c r="J3314" s="4">
        <v>0.120324159021407</v>
      </c>
      <c r="K3314" t="s">
        <v>41</v>
      </c>
      <c r="L3314" t="s">
        <v>59</v>
      </c>
      <c r="M3314">
        <v>4</v>
      </c>
      <c r="N3314" t="s">
        <v>62</v>
      </c>
    </row>
    <row r="3315" spans="1:14" x14ac:dyDescent="0.3">
      <c r="A3315" s="1">
        <v>45318</v>
      </c>
      <c r="B3315" t="s">
        <v>37</v>
      </c>
      <c r="C3315" t="s">
        <v>38</v>
      </c>
      <c r="D3315" t="s">
        <v>22</v>
      </c>
      <c r="E3315">
        <v>3</v>
      </c>
      <c r="F3315">
        <v>3219</v>
      </c>
      <c r="G3315">
        <v>255.09</v>
      </c>
      <c r="H3315">
        <v>2024</v>
      </c>
      <c r="I3315" t="s">
        <v>26</v>
      </c>
      <c r="J3315" s="4">
        <v>7.9245107176141694E-2</v>
      </c>
      <c r="K3315" t="s">
        <v>41</v>
      </c>
      <c r="L3315" t="s">
        <v>55</v>
      </c>
      <c r="M3315">
        <v>1</v>
      </c>
      <c r="N3315" t="s">
        <v>65</v>
      </c>
    </row>
    <row r="3316" spans="1:14" x14ac:dyDescent="0.3">
      <c r="A3316" s="1">
        <v>45500</v>
      </c>
      <c r="B3316" t="s">
        <v>37</v>
      </c>
      <c r="C3316" t="s">
        <v>38</v>
      </c>
      <c r="D3316" t="s">
        <v>17</v>
      </c>
      <c r="E3316">
        <v>3</v>
      </c>
      <c r="F3316">
        <v>1335</v>
      </c>
      <c r="G3316">
        <v>263.04000000000002</v>
      </c>
      <c r="H3316">
        <v>2024</v>
      </c>
      <c r="I3316" t="s">
        <v>25</v>
      </c>
      <c r="J3316" s="4">
        <v>0.19703370786516899</v>
      </c>
      <c r="K3316" t="s">
        <v>41</v>
      </c>
      <c r="L3316" t="s">
        <v>60</v>
      </c>
      <c r="M3316">
        <v>7</v>
      </c>
      <c r="N3316" t="s">
        <v>64</v>
      </c>
    </row>
    <row r="3317" spans="1:14" x14ac:dyDescent="0.3">
      <c r="A3317" s="1">
        <v>45497</v>
      </c>
      <c r="B3317" t="s">
        <v>37</v>
      </c>
      <c r="C3317" t="s">
        <v>38</v>
      </c>
      <c r="D3317" t="s">
        <v>12</v>
      </c>
      <c r="E3317">
        <v>9</v>
      </c>
      <c r="F3317">
        <v>7083</v>
      </c>
      <c r="G3317">
        <v>994.47</v>
      </c>
      <c r="H3317">
        <v>2024</v>
      </c>
      <c r="I3317" t="s">
        <v>25</v>
      </c>
      <c r="J3317" s="4">
        <v>0.14040237187632401</v>
      </c>
      <c r="K3317" t="s">
        <v>41</v>
      </c>
      <c r="L3317" t="s">
        <v>60</v>
      </c>
      <c r="M3317">
        <v>7</v>
      </c>
      <c r="N3317" t="s">
        <v>64</v>
      </c>
    </row>
    <row r="3318" spans="1:14" x14ac:dyDescent="0.3">
      <c r="A3318" s="1">
        <v>45576</v>
      </c>
      <c r="B3318" t="s">
        <v>37</v>
      </c>
      <c r="C3318" t="s">
        <v>38</v>
      </c>
      <c r="D3318" t="s">
        <v>17</v>
      </c>
      <c r="E3318">
        <v>8</v>
      </c>
      <c r="F3318">
        <v>7264</v>
      </c>
      <c r="G3318">
        <v>1318</v>
      </c>
      <c r="H3318">
        <v>2024</v>
      </c>
      <c r="I3318" t="s">
        <v>14</v>
      </c>
      <c r="J3318" s="4">
        <v>0.18144273127753299</v>
      </c>
      <c r="K3318" t="s">
        <v>41</v>
      </c>
      <c r="L3318" t="s">
        <v>52</v>
      </c>
      <c r="M3318">
        <v>10</v>
      </c>
      <c r="N3318" t="s">
        <v>54</v>
      </c>
    </row>
    <row r="3319" spans="1:14" x14ac:dyDescent="0.3">
      <c r="A3319" s="1">
        <v>45580</v>
      </c>
      <c r="B3319" t="s">
        <v>37</v>
      </c>
      <c r="C3319" t="s">
        <v>38</v>
      </c>
      <c r="D3319" t="s">
        <v>22</v>
      </c>
      <c r="E3319">
        <v>8</v>
      </c>
      <c r="F3319">
        <v>9528</v>
      </c>
      <c r="G3319">
        <v>1942.35</v>
      </c>
      <c r="H3319">
        <v>2024</v>
      </c>
      <c r="I3319" t="s">
        <v>14</v>
      </c>
      <c r="J3319" s="4">
        <v>0.20385705289672501</v>
      </c>
      <c r="K3319" t="s">
        <v>41</v>
      </c>
      <c r="L3319" t="s">
        <v>52</v>
      </c>
      <c r="M3319">
        <v>10</v>
      </c>
      <c r="N3319" t="s">
        <v>54</v>
      </c>
    </row>
    <row r="3320" spans="1:14" x14ac:dyDescent="0.3">
      <c r="A3320" s="1">
        <v>45400</v>
      </c>
      <c r="B3320" t="s">
        <v>37</v>
      </c>
      <c r="C3320" t="s">
        <v>38</v>
      </c>
      <c r="D3320" t="s">
        <v>22</v>
      </c>
      <c r="E3320">
        <v>1</v>
      </c>
      <c r="F3320">
        <v>445</v>
      </c>
      <c r="G3320">
        <v>29.57</v>
      </c>
      <c r="H3320">
        <v>2024</v>
      </c>
      <c r="I3320" t="s">
        <v>23</v>
      </c>
      <c r="J3320" s="4">
        <v>6.6449438202247205E-2</v>
      </c>
      <c r="K3320" t="s">
        <v>41</v>
      </c>
      <c r="L3320" t="s">
        <v>59</v>
      </c>
      <c r="M3320">
        <v>4</v>
      </c>
      <c r="N3320" t="s">
        <v>62</v>
      </c>
    </row>
    <row r="3321" spans="1:14" x14ac:dyDescent="0.3">
      <c r="A3321" s="1">
        <v>45594</v>
      </c>
      <c r="B3321" t="s">
        <v>37</v>
      </c>
      <c r="C3321" t="s">
        <v>38</v>
      </c>
      <c r="D3321" t="s">
        <v>12</v>
      </c>
      <c r="E3321">
        <v>9</v>
      </c>
      <c r="F3321">
        <v>9324</v>
      </c>
      <c r="G3321">
        <v>2416.9299999999998</v>
      </c>
      <c r="H3321">
        <v>2024</v>
      </c>
      <c r="I3321" t="s">
        <v>14</v>
      </c>
      <c r="J3321" s="4">
        <v>0.25921600171600201</v>
      </c>
      <c r="K3321" t="s">
        <v>41</v>
      </c>
      <c r="L3321" t="s">
        <v>52</v>
      </c>
      <c r="M3321">
        <v>10</v>
      </c>
      <c r="N3321" t="s">
        <v>54</v>
      </c>
    </row>
    <row r="3322" spans="1:14" x14ac:dyDescent="0.3">
      <c r="A3322" s="1">
        <v>45553</v>
      </c>
      <c r="B3322" t="s">
        <v>37</v>
      </c>
      <c r="C3322" t="s">
        <v>38</v>
      </c>
      <c r="D3322" t="s">
        <v>19</v>
      </c>
      <c r="E3322">
        <v>1</v>
      </c>
      <c r="F3322">
        <v>958</v>
      </c>
      <c r="G3322">
        <v>186.76</v>
      </c>
      <c r="H3322">
        <v>2024</v>
      </c>
      <c r="I3322" t="s">
        <v>21</v>
      </c>
      <c r="J3322" s="4">
        <v>0.194947807933194</v>
      </c>
      <c r="K3322" t="s">
        <v>41</v>
      </c>
      <c r="L3322" t="s">
        <v>60</v>
      </c>
      <c r="M3322">
        <v>9</v>
      </c>
      <c r="N3322" t="s">
        <v>61</v>
      </c>
    </row>
    <row r="3323" spans="1:14" x14ac:dyDescent="0.3">
      <c r="A3323" s="1">
        <v>45307</v>
      </c>
      <c r="B3323" t="s">
        <v>37</v>
      </c>
      <c r="C3323" t="s">
        <v>38</v>
      </c>
      <c r="D3323" t="s">
        <v>22</v>
      </c>
      <c r="E3323">
        <v>1</v>
      </c>
      <c r="F3323">
        <v>879</v>
      </c>
      <c r="G3323">
        <v>135</v>
      </c>
      <c r="H3323">
        <v>2024</v>
      </c>
      <c r="I3323" t="s">
        <v>26</v>
      </c>
      <c r="J3323" s="4">
        <v>0.15358361774744</v>
      </c>
      <c r="K3323" t="s">
        <v>41</v>
      </c>
      <c r="L3323" t="s">
        <v>55</v>
      </c>
      <c r="M3323">
        <v>1</v>
      </c>
      <c r="N3323" t="s">
        <v>65</v>
      </c>
    </row>
    <row r="3324" spans="1:14" x14ac:dyDescent="0.3">
      <c r="A3324" s="1">
        <v>45471</v>
      </c>
      <c r="B3324" t="s">
        <v>37</v>
      </c>
      <c r="C3324" t="s">
        <v>38</v>
      </c>
      <c r="D3324" t="s">
        <v>19</v>
      </c>
      <c r="E3324">
        <v>1</v>
      </c>
      <c r="F3324">
        <v>1037</v>
      </c>
      <c r="G3324">
        <v>56.89</v>
      </c>
      <c r="H3324">
        <v>2024</v>
      </c>
      <c r="I3324" t="s">
        <v>27</v>
      </c>
      <c r="J3324" s="4">
        <v>5.4860173577627798E-2</v>
      </c>
      <c r="K3324" t="s">
        <v>41</v>
      </c>
      <c r="L3324" t="s">
        <v>59</v>
      </c>
      <c r="M3324">
        <v>6</v>
      </c>
      <c r="N3324" t="s">
        <v>66</v>
      </c>
    </row>
    <row r="3325" spans="1:14" x14ac:dyDescent="0.3">
      <c r="A3325" s="1">
        <v>45557</v>
      </c>
      <c r="B3325" t="s">
        <v>37</v>
      </c>
      <c r="C3325" t="s">
        <v>38</v>
      </c>
      <c r="D3325" t="s">
        <v>19</v>
      </c>
      <c r="E3325">
        <v>6</v>
      </c>
      <c r="F3325">
        <v>4890</v>
      </c>
      <c r="G3325">
        <v>689.01</v>
      </c>
      <c r="H3325">
        <v>2024</v>
      </c>
      <c r="I3325" t="s">
        <v>21</v>
      </c>
      <c r="J3325" s="4">
        <v>0.14090184049079801</v>
      </c>
      <c r="K3325" t="s">
        <v>41</v>
      </c>
      <c r="L3325" t="s">
        <v>60</v>
      </c>
      <c r="M3325">
        <v>9</v>
      </c>
      <c r="N3325" t="s">
        <v>61</v>
      </c>
    </row>
    <row r="3326" spans="1:14" x14ac:dyDescent="0.3">
      <c r="A3326" s="1">
        <v>45351</v>
      </c>
      <c r="B3326" t="s">
        <v>37</v>
      </c>
      <c r="C3326" t="s">
        <v>38</v>
      </c>
      <c r="D3326" t="s">
        <v>22</v>
      </c>
      <c r="E3326">
        <v>3</v>
      </c>
      <c r="F3326">
        <v>3402</v>
      </c>
      <c r="G3326">
        <v>442.67</v>
      </c>
      <c r="H3326">
        <v>2024</v>
      </c>
      <c r="I3326" t="s">
        <v>16</v>
      </c>
      <c r="J3326" s="4">
        <v>0.13012051734273999</v>
      </c>
      <c r="K3326" t="s">
        <v>41</v>
      </c>
      <c r="L3326" t="s">
        <v>55</v>
      </c>
      <c r="M3326">
        <v>2</v>
      </c>
      <c r="N3326" t="s">
        <v>57</v>
      </c>
    </row>
    <row r="3327" spans="1:14" x14ac:dyDescent="0.3">
      <c r="A3327" s="1">
        <v>45360</v>
      </c>
      <c r="B3327" t="s">
        <v>37</v>
      </c>
      <c r="C3327" t="s">
        <v>38</v>
      </c>
      <c r="D3327" t="s">
        <v>12</v>
      </c>
      <c r="E3327">
        <v>8</v>
      </c>
      <c r="F3327">
        <v>9280</v>
      </c>
      <c r="G3327">
        <v>1596.88</v>
      </c>
      <c r="H3327">
        <v>2024</v>
      </c>
      <c r="I3327" t="s">
        <v>15</v>
      </c>
      <c r="J3327" s="4">
        <v>0.172077586206897</v>
      </c>
      <c r="K3327" t="s">
        <v>41</v>
      </c>
      <c r="L3327" t="s">
        <v>55</v>
      </c>
      <c r="M3327">
        <v>3</v>
      </c>
      <c r="N3327" t="s">
        <v>56</v>
      </c>
    </row>
    <row r="3328" spans="1:14" x14ac:dyDescent="0.3">
      <c r="A3328" s="1">
        <v>45604</v>
      </c>
      <c r="B3328" t="s">
        <v>37</v>
      </c>
      <c r="C3328" t="s">
        <v>38</v>
      </c>
      <c r="D3328" t="s">
        <v>12</v>
      </c>
      <c r="E3328">
        <v>8</v>
      </c>
      <c r="F3328">
        <v>1720</v>
      </c>
      <c r="G3328">
        <v>401.26</v>
      </c>
      <c r="H3328">
        <v>2024</v>
      </c>
      <c r="I3328" t="s">
        <v>18</v>
      </c>
      <c r="J3328" s="4">
        <v>0.23329069767441901</v>
      </c>
      <c r="K3328" t="s">
        <v>41</v>
      </c>
      <c r="L3328" t="s">
        <v>52</v>
      </c>
      <c r="M3328">
        <v>11</v>
      </c>
      <c r="N3328" t="s">
        <v>58</v>
      </c>
    </row>
    <row r="3329" spans="1:14" x14ac:dyDescent="0.3">
      <c r="A3329" s="1">
        <v>45447</v>
      </c>
      <c r="B3329" t="s">
        <v>37</v>
      </c>
      <c r="C3329" t="s">
        <v>38</v>
      </c>
      <c r="D3329" t="s">
        <v>12</v>
      </c>
      <c r="E3329">
        <v>5</v>
      </c>
      <c r="F3329">
        <v>1830</v>
      </c>
      <c r="G3329">
        <v>437.35</v>
      </c>
      <c r="H3329">
        <v>2024</v>
      </c>
      <c r="I3329" t="s">
        <v>27</v>
      </c>
      <c r="J3329" s="4">
        <v>0.23898907103825101</v>
      </c>
      <c r="K3329" t="s">
        <v>41</v>
      </c>
      <c r="L3329" t="s">
        <v>59</v>
      </c>
      <c r="M3329">
        <v>6</v>
      </c>
      <c r="N3329" t="s">
        <v>66</v>
      </c>
    </row>
    <row r="3330" spans="1:14" x14ac:dyDescent="0.3">
      <c r="A3330" s="1">
        <v>45293</v>
      </c>
      <c r="B3330" t="s">
        <v>37</v>
      </c>
      <c r="C3330" t="s">
        <v>38</v>
      </c>
      <c r="D3330" t="s">
        <v>12</v>
      </c>
      <c r="E3330">
        <v>8</v>
      </c>
      <c r="F3330">
        <v>3816</v>
      </c>
      <c r="G3330">
        <v>574.57000000000005</v>
      </c>
      <c r="H3330">
        <v>2024</v>
      </c>
      <c r="I3330" t="s">
        <v>26</v>
      </c>
      <c r="J3330" s="4">
        <v>0.150568658280922</v>
      </c>
      <c r="K3330" t="s">
        <v>41</v>
      </c>
      <c r="L3330" t="s">
        <v>55</v>
      </c>
      <c r="M3330">
        <v>1</v>
      </c>
      <c r="N3330" t="s">
        <v>65</v>
      </c>
    </row>
    <row r="3331" spans="1:14" x14ac:dyDescent="0.3">
      <c r="A3331" s="1">
        <v>45563</v>
      </c>
      <c r="B3331" t="s">
        <v>37</v>
      </c>
      <c r="C3331" t="s">
        <v>38</v>
      </c>
      <c r="D3331" t="s">
        <v>17</v>
      </c>
      <c r="E3331">
        <v>6</v>
      </c>
      <c r="F3331">
        <v>5724</v>
      </c>
      <c r="G3331">
        <v>857.33</v>
      </c>
      <c r="H3331">
        <v>2024</v>
      </c>
      <c r="I3331" t="s">
        <v>21</v>
      </c>
      <c r="J3331" s="4">
        <v>0.149778127183788</v>
      </c>
      <c r="K3331" t="s">
        <v>41</v>
      </c>
      <c r="L3331" t="s">
        <v>60</v>
      </c>
      <c r="M3331">
        <v>9</v>
      </c>
      <c r="N3331" t="s">
        <v>61</v>
      </c>
    </row>
    <row r="3332" spans="1:14" x14ac:dyDescent="0.3">
      <c r="A3332" s="1">
        <v>45395</v>
      </c>
      <c r="B3332" t="s">
        <v>37</v>
      </c>
      <c r="C3332" t="s">
        <v>38</v>
      </c>
      <c r="D3332" t="s">
        <v>22</v>
      </c>
      <c r="E3332">
        <v>3</v>
      </c>
      <c r="F3332">
        <v>1086</v>
      </c>
      <c r="G3332">
        <v>188.65</v>
      </c>
      <c r="H3332">
        <v>2024</v>
      </c>
      <c r="I3332" t="s">
        <v>23</v>
      </c>
      <c r="J3332" s="4">
        <v>0.17371086556169399</v>
      </c>
      <c r="K3332" t="s">
        <v>41</v>
      </c>
      <c r="L3332" t="s">
        <v>59</v>
      </c>
      <c r="M3332">
        <v>4</v>
      </c>
      <c r="N3332" t="s">
        <v>62</v>
      </c>
    </row>
    <row r="3333" spans="1:14" x14ac:dyDescent="0.3">
      <c r="A3333" s="1">
        <v>45553</v>
      </c>
      <c r="B3333" t="s">
        <v>37</v>
      </c>
      <c r="C3333" t="s">
        <v>38</v>
      </c>
      <c r="D3333" t="s">
        <v>22</v>
      </c>
      <c r="E3333">
        <v>9</v>
      </c>
      <c r="F3333">
        <v>3357</v>
      </c>
      <c r="G3333">
        <v>405.61</v>
      </c>
      <c r="H3333">
        <v>2024</v>
      </c>
      <c r="I3333" t="s">
        <v>21</v>
      </c>
      <c r="J3333" s="4">
        <v>0.120825141495383</v>
      </c>
      <c r="K3333" t="s">
        <v>41</v>
      </c>
      <c r="L3333" t="s">
        <v>60</v>
      </c>
      <c r="M3333">
        <v>9</v>
      </c>
      <c r="N3333" t="s">
        <v>61</v>
      </c>
    </row>
    <row r="3334" spans="1:14" x14ac:dyDescent="0.3">
      <c r="A3334" s="1">
        <v>45521</v>
      </c>
      <c r="B3334" t="s">
        <v>37</v>
      </c>
      <c r="C3334" t="s">
        <v>38</v>
      </c>
      <c r="D3334" t="s">
        <v>22</v>
      </c>
      <c r="E3334">
        <v>2</v>
      </c>
      <c r="F3334">
        <v>1878</v>
      </c>
      <c r="G3334">
        <v>386.28</v>
      </c>
      <c r="H3334">
        <v>2024</v>
      </c>
      <c r="I3334" t="s">
        <v>24</v>
      </c>
      <c r="J3334" s="4">
        <v>0.20568690095846601</v>
      </c>
      <c r="K3334" t="s">
        <v>41</v>
      </c>
      <c r="L3334" t="s">
        <v>60</v>
      </c>
      <c r="M3334">
        <v>8</v>
      </c>
      <c r="N3334" t="s">
        <v>63</v>
      </c>
    </row>
    <row r="3335" spans="1:14" x14ac:dyDescent="0.3">
      <c r="A3335" s="1">
        <v>45503</v>
      </c>
      <c r="B3335" t="s">
        <v>37</v>
      </c>
      <c r="C3335" t="s">
        <v>38</v>
      </c>
      <c r="D3335" t="s">
        <v>19</v>
      </c>
      <c r="E3335">
        <v>4</v>
      </c>
      <c r="F3335">
        <v>2396</v>
      </c>
      <c r="G3335">
        <v>608.5</v>
      </c>
      <c r="H3335">
        <v>2024</v>
      </c>
      <c r="I3335" t="s">
        <v>25</v>
      </c>
      <c r="J3335" s="4">
        <v>0.25396494156928201</v>
      </c>
      <c r="K3335" t="s">
        <v>41</v>
      </c>
      <c r="L3335" t="s">
        <v>60</v>
      </c>
      <c r="M3335">
        <v>7</v>
      </c>
      <c r="N3335" t="s">
        <v>64</v>
      </c>
    </row>
    <row r="3336" spans="1:14" x14ac:dyDescent="0.3">
      <c r="A3336" s="1">
        <v>45450</v>
      </c>
      <c r="B3336" t="s">
        <v>37</v>
      </c>
      <c r="C3336" t="s">
        <v>38</v>
      </c>
      <c r="D3336" t="s">
        <v>12</v>
      </c>
      <c r="E3336">
        <v>5</v>
      </c>
      <c r="F3336">
        <v>1035</v>
      </c>
      <c r="G3336">
        <v>187.12</v>
      </c>
      <c r="H3336">
        <v>2024</v>
      </c>
      <c r="I3336" t="s">
        <v>27</v>
      </c>
      <c r="J3336" s="4">
        <v>0.18079227053140101</v>
      </c>
      <c r="K3336" t="s">
        <v>41</v>
      </c>
      <c r="L3336" t="s">
        <v>59</v>
      </c>
      <c r="M3336">
        <v>6</v>
      </c>
      <c r="N3336" t="s">
        <v>66</v>
      </c>
    </row>
    <row r="3337" spans="1:14" x14ac:dyDescent="0.3">
      <c r="A3337" s="1">
        <v>45574</v>
      </c>
      <c r="B3337" t="s">
        <v>37</v>
      </c>
      <c r="C3337" t="s">
        <v>38</v>
      </c>
      <c r="D3337" t="s">
        <v>19</v>
      </c>
      <c r="E3337">
        <v>7</v>
      </c>
      <c r="F3337">
        <v>8057</v>
      </c>
      <c r="G3337">
        <v>1652.27</v>
      </c>
      <c r="H3337">
        <v>2024</v>
      </c>
      <c r="I3337" t="s">
        <v>14</v>
      </c>
      <c r="J3337" s="4">
        <v>0.20507260767034899</v>
      </c>
      <c r="K3337" t="s">
        <v>41</v>
      </c>
      <c r="L3337" t="s">
        <v>52</v>
      </c>
      <c r="M3337">
        <v>10</v>
      </c>
      <c r="N3337" t="s">
        <v>54</v>
      </c>
    </row>
    <row r="3338" spans="1:14" x14ac:dyDescent="0.3">
      <c r="A3338" s="1">
        <v>45319</v>
      </c>
      <c r="B3338" t="s">
        <v>37</v>
      </c>
      <c r="C3338" t="s">
        <v>38</v>
      </c>
      <c r="D3338" t="s">
        <v>19</v>
      </c>
      <c r="E3338">
        <v>2</v>
      </c>
      <c r="F3338">
        <v>1994</v>
      </c>
      <c r="G3338">
        <v>453.74</v>
      </c>
      <c r="H3338">
        <v>2024</v>
      </c>
      <c r="I3338" t="s">
        <v>26</v>
      </c>
      <c r="J3338" s="4">
        <v>0.22755265797392199</v>
      </c>
      <c r="K3338" t="s">
        <v>41</v>
      </c>
      <c r="L3338" t="s">
        <v>55</v>
      </c>
      <c r="M3338">
        <v>1</v>
      </c>
      <c r="N3338" t="s">
        <v>65</v>
      </c>
    </row>
    <row r="3339" spans="1:14" x14ac:dyDescent="0.3">
      <c r="A3339" s="1">
        <v>45545</v>
      </c>
      <c r="B3339" t="s">
        <v>37</v>
      </c>
      <c r="C3339" t="s">
        <v>38</v>
      </c>
      <c r="D3339" t="s">
        <v>12</v>
      </c>
      <c r="E3339">
        <v>3</v>
      </c>
      <c r="F3339">
        <v>2568</v>
      </c>
      <c r="G3339">
        <v>734.6</v>
      </c>
      <c r="H3339">
        <v>2024</v>
      </c>
      <c r="I3339" t="s">
        <v>21</v>
      </c>
      <c r="J3339" s="4">
        <v>0.28605919003115299</v>
      </c>
      <c r="K3339" t="s">
        <v>41</v>
      </c>
      <c r="L3339" t="s">
        <v>60</v>
      </c>
      <c r="M3339">
        <v>9</v>
      </c>
      <c r="N3339" t="s">
        <v>61</v>
      </c>
    </row>
    <row r="3340" spans="1:14" x14ac:dyDescent="0.3">
      <c r="A3340" s="1">
        <v>45417</v>
      </c>
      <c r="B3340" t="s">
        <v>37</v>
      </c>
      <c r="C3340" t="s">
        <v>38</v>
      </c>
      <c r="D3340" t="s">
        <v>22</v>
      </c>
      <c r="E3340">
        <v>3</v>
      </c>
      <c r="F3340">
        <v>2019</v>
      </c>
      <c r="G3340">
        <v>265.44</v>
      </c>
      <c r="H3340">
        <v>2024</v>
      </c>
      <c r="I3340" t="s">
        <v>20</v>
      </c>
      <c r="J3340" s="4">
        <v>0.13147102526002999</v>
      </c>
      <c r="K3340" t="s">
        <v>41</v>
      </c>
      <c r="L3340" t="s">
        <v>59</v>
      </c>
      <c r="M3340">
        <v>5</v>
      </c>
      <c r="N3340" t="s">
        <v>20</v>
      </c>
    </row>
    <row r="3341" spans="1:14" x14ac:dyDescent="0.3">
      <c r="A3341" s="1">
        <v>45517</v>
      </c>
      <c r="B3341" t="s">
        <v>37</v>
      </c>
      <c r="C3341" t="s">
        <v>38</v>
      </c>
      <c r="D3341" t="s">
        <v>22</v>
      </c>
      <c r="E3341">
        <v>6</v>
      </c>
      <c r="F3341">
        <v>6276</v>
      </c>
      <c r="G3341">
        <v>1396.25</v>
      </c>
      <c r="H3341">
        <v>2024</v>
      </c>
      <c r="I3341" t="s">
        <v>24</v>
      </c>
      <c r="J3341" s="4">
        <v>0.222474506054812</v>
      </c>
      <c r="K3341" t="s">
        <v>41</v>
      </c>
      <c r="L3341" t="s">
        <v>60</v>
      </c>
      <c r="M3341">
        <v>8</v>
      </c>
      <c r="N3341" t="s">
        <v>63</v>
      </c>
    </row>
    <row r="3342" spans="1:14" x14ac:dyDescent="0.3">
      <c r="A3342" s="1">
        <v>45540</v>
      </c>
      <c r="B3342" t="s">
        <v>37</v>
      </c>
      <c r="C3342" t="s">
        <v>38</v>
      </c>
      <c r="D3342" t="s">
        <v>12</v>
      </c>
      <c r="E3342">
        <v>3</v>
      </c>
      <c r="F3342">
        <v>1506</v>
      </c>
      <c r="G3342">
        <v>427.84</v>
      </c>
      <c r="H3342">
        <v>2024</v>
      </c>
      <c r="I3342" t="s">
        <v>21</v>
      </c>
      <c r="J3342" s="4">
        <v>0.284090305444887</v>
      </c>
      <c r="K3342" t="s">
        <v>41</v>
      </c>
      <c r="L3342" t="s">
        <v>60</v>
      </c>
      <c r="M3342">
        <v>9</v>
      </c>
      <c r="N3342" t="s">
        <v>61</v>
      </c>
    </row>
    <row r="3343" spans="1:14" x14ac:dyDescent="0.3">
      <c r="A3343" s="1">
        <v>45621</v>
      </c>
      <c r="B3343" t="s">
        <v>37</v>
      </c>
      <c r="C3343" t="s">
        <v>38</v>
      </c>
      <c r="D3343" t="s">
        <v>19</v>
      </c>
      <c r="E3343">
        <v>3</v>
      </c>
      <c r="F3343">
        <v>3282</v>
      </c>
      <c r="G3343">
        <v>492.59</v>
      </c>
      <c r="H3343">
        <v>2024</v>
      </c>
      <c r="I3343" t="s">
        <v>18</v>
      </c>
      <c r="J3343" s="4">
        <v>0.150088360755637</v>
      </c>
      <c r="K3343" t="s">
        <v>41</v>
      </c>
      <c r="L3343" t="s">
        <v>52</v>
      </c>
      <c r="M3343">
        <v>11</v>
      </c>
      <c r="N3343" t="s">
        <v>58</v>
      </c>
    </row>
    <row r="3344" spans="1:14" x14ac:dyDescent="0.3">
      <c r="A3344" s="1">
        <v>45471</v>
      </c>
      <c r="B3344" t="s">
        <v>37</v>
      </c>
      <c r="C3344" t="s">
        <v>38</v>
      </c>
      <c r="D3344" t="s">
        <v>12</v>
      </c>
      <c r="E3344">
        <v>4</v>
      </c>
      <c r="F3344">
        <v>1544</v>
      </c>
      <c r="G3344">
        <v>106.02</v>
      </c>
      <c r="H3344">
        <v>2024</v>
      </c>
      <c r="I3344" t="s">
        <v>27</v>
      </c>
      <c r="J3344" s="4">
        <v>6.8665803108808293E-2</v>
      </c>
      <c r="K3344" t="s">
        <v>41</v>
      </c>
      <c r="L3344" t="s">
        <v>59</v>
      </c>
      <c r="M3344">
        <v>6</v>
      </c>
      <c r="N3344" t="s">
        <v>66</v>
      </c>
    </row>
    <row r="3345" spans="1:14" x14ac:dyDescent="0.3">
      <c r="A3345" s="1">
        <v>45582</v>
      </c>
      <c r="B3345" t="s">
        <v>37</v>
      </c>
      <c r="C3345" t="s">
        <v>38</v>
      </c>
      <c r="D3345" t="s">
        <v>22</v>
      </c>
      <c r="E3345">
        <v>5</v>
      </c>
      <c r="F3345">
        <v>3385</v>
      </c>
      <c r="G3345">
        <v>774.86</v>
      </c>
      <c r="H3345">
        <v>2024</v>
      </c>
      <c r="I3345" t="s">
        <v>14</v>
      </c>
      <c r="J3345" s="4">
        <v>0.22890989660265901</v>
      </c>
      <c r="K3345" t="s">
        <v>41</v>
      </c>
      <c r="L3345" t="s">
        <v>52</v>
      </c>
      <c r="M3345">
        <v>10</v>
      </c>
      <c r="N3345" t="s">
        <v>54</v>
      </c>
    </row>
    <row r="3346" spans="1:14" x14ac:dyDescent="0.3">
      <c r="A3346" s="1">
        <v>45489</v>
      </c>
      <c r="B3346" t="s">
        <v>37</v>
      </c>
      <c r="C3346" t="s">
        <v>38</v>
      </c>
      <c r="D3346" t="s">
        <v>17</v>
      </c>
      <c r="E3346">
        <v>1</v>
      </c>
      <c r="F3346">
        <v>1091</v>
      </c>
      <c r="G3346">
        <v>258.3</v>
      </c>
      <c r="H3346">
        <v>2024</v>
      </c>
      <c r="I3346" t="s">
        <v>25</v>
      </c>
      <c r="J3346" s="4">
        <v>0.23675527039413399</v>
      </c>
      <c r="K3346" t="s">
        <v>41</v>
      </c>
      <c r="L3346" t="s">
        <v>60</v>
      </c>
      <c r="M3346">
        <v>7</v>
      </c>
      <c r="N3346" t="s">
        <v>64</v>
      </c>
    </row>
    <row r="3347" spans="1:14" x14ac:dyDescent="0.3">
      <c r="A3347" s="1">
        <v>45637</v>
      </c>
      <c r="B3347" t="s">
        <v>37</v>
      </c>
      <c r="C3347" t="s">
        <v>38</v>
      </c>
      <c r="D3347" t="s">
        <v>19</v>
      </c>
      <c r="E3347">
        <v>2</v>
      </c>
      <c r="F3347">
        <v>1218</v>
      </c>
      <c r="G3347">
        <v>218.88</v>
      </c>
      <c r="H3347">
        <v>2024</v>
      </c>
      <c r="I3347" t="s">
        <v>13</v>
      </c>
      <c r="J3347" s="4">
        <v>0.17970443349753701</v>
      </c>
      <c r="K3347" t="s">
        <v>41</v>
      </c>
      <c r="L3347" t="s">
        <v>52</v>
      </c>
      <c r="M3347">
        <v>12</v>
      </c>
      <c r="N3347" t="s">
        <v>53</v>
      </c>
    </row>
    <row r="3348" spans="1:14" x14ac:dyDescent="0.3">
      <c r="A3348" s="1">
        <v>45381</v>
      </c>
      <c r="B3348" t="s">
        <v>37</v>
      </c>
      <c r="C3348" t="s">
        <v>38</v>
      </c>
      <c r="D3348" t="s">
        <v>19</v>
      </c>
      <c r="E3348">
        <v>5</v>
      </c>
      <c r="F3348">
        <v>5920</v>
      </c>
      <c r="G3348">
        <v>1679.15</v>
      </c>
      <c r="H3348">
        <v>2024</v>
      </c>
      <c r="I3348" t="s">
        <v>15</v>
      </c>
      <c r="J3348" s="4">
        <v>0.28364020270270301</v>
      </c>
      <c r="K3348" t="s">
        <v>41</v>
      </c>
      <c r="L3348" t="s">
        <v>55</v>
      </c>
      <c r="M3348">
        <v>3</v>
      </c>
      <c r="N3348" t="s">
        <v>56</v>
      </c>
    </row>
    <row r="3349" spans="1:14" x14ac:dyDescent="0.3">
      <c r="A3349" s="1">
        <v>45602</v>
      </c>
      <c r="B3349" t="s">
        <v>37</v>
      </c>
      <c r="C3349" t="s">
        <v>38</v>
      </c>
      <c r="D3349" t="s">
        <v>19</v>
      </c>
      <c r="E3349">
        <v>9</v>
      </c>
      <c r="F3349">
        <v>5085</v>
      </c>
      <c r="G3349">
        <v>488.63</v>
      </c>
      <c r="H3349">
        <v>2024</v>
      </c>
      <c r="I3349" t="s">
        <v>18</v>
      </c>
      <c r="J3349" s="4">
        <v>9.6092428711897798E-2</v>
      </c>
      <c r="K3349" t="s">
        <v>41</v>
      </c>
      <c r="L3349" t="s">
        <v>52</v>
      </c>
      <c r="M3349">
        <v>11</v>
      </c>
      <c r="N3349" t="s">
        <v>58</v>
      </c>
    </row>
    <row r="3350" spans="1:14" x14ac:dyDescent="0.3">
      <c r="A3350" s="1">
        <v>45655</v>
      </c>
      <c r="B3350" t="s">
        <v>37</v>
      </c>
      <c r="C3350" t="s">
        <v>38</v>
      </c>
      <c r="D3350" t="s">
        <v>12</v>
      </c>
      <c r="E3350">
        <v>5</v>
      </c>
      <c r="F3350">
        <v>2275</v>
      </c>
      <c r="G3350">
        <v>313.5</v>
      </c>
      <c r="H3350">
        <v>2024</v>
      </c>
      <c r="I3350" t="s">
        <v>13</v>
      </c>
      <c r="J3350" s="4">
        <v>0.13780219780219799</v>
      </c>
      <c r="K3350" t="s">
        <v>41</v>
      </c>
      <c r="L3350" t="s">
        <v>52</v>
      </c>
      <c r="M3350">
        <v>12</v>
      </c>
      <c r="N3350" t="s">
        <v>53</v>
      </c>
    </row>
    <row r="3351" spans="1:14" x14ac:dyDescent="0.3">
      <c r="A3351" s="1">
        <v>45375</v>
      </c>
      <c r="B3351" t="s">
        <v>37</v>
      </c>
      <c r="C3351" t="s">
        <v>38</v>
      </c>
      <c r="D3351" t="s">
        <v>19</v>
      </c>
      <c r="E3351">
        <v>8</v>
      </c>
      <c r="F3351">
        <v>2320</v>
      </c>
      <c r="G3351">
        <v>668.63</v>
      </c>
      <c r="H3351">
        <v>2024</v>
      </c>
      <c r="I3351" t="s">
        <v>15</v>
      </c>
      <c r="J3351" s="4">
        <v>0.28820258620689698</v>
      </c>
      <c r="K3351" t="s">
        <v>41</v>
      </c>
      <c r="L3351" t="s">
        <v>55</v>
      </c>
      <c r="M3351">
        <v>3</v>
      </c>
      <c r="N3351" t="s">
        <v>56</v>
      </c>
    </row>
    <row r="3352" spans="1:14" x14ac:dyDescent="0.3">
      <c r="A3352" s="1">
        <v>45650</v>
      </c>
      <c r="B3352" t="s">
        <v>37</v>
      </c>
      <c r="C3352" t="s">
        <v>38</v>
      </c>
      <c r="D3352" t="s">
        <v>22</v>
      </c>
      <c r="E3352">
        <v>9</v>
      </c>
      <c r="F3352">
        <v>8370</v>
      </c>
      <c r="G3352">
        <v>1064.6500000000001</v>
      </c>
      <c r="H3352">
        <v>2024</v>
      </c>
      <c r="I3352" t="s">
        <v>13</v>
      </c>
      <c r="J3352" s="4">
        <v>0.127198327359618</v>
      </c>
      <c r="K3352" t="s">
        <v>41</v>
      </c>
      <c r="L3352" t="s">
        <v>52</v>
      </c>
      <c r="M3352">
        <v>12</v>
      </c>
      <c r="N3352" t="s">
        <v>53</v>
      </c>
    </row>
    <row r="3353" spans="1:14" x14ac:dyDescent="0.3">
      <c r="A3353" s="1">
        <v>45416</v>
      </c>
      <c r="B3353" t="s">
        <v>37</v>
      </c>
      <c r="C3353" t="s">
        <v>38</v>
      </c>
      <c r="D3353" t="s">
        <v>12</v>
      </c>
      <c r="E3353">
        <v>4</v>
      </c>
      <c r="F3353">
        <v>1792</v>
      </c>
      <c r="G3353">
        <v>417.99</v>
      </c>
      <c r="H3353">
        <v>2024</v>
      </c>
      <c r="I3353" t="s">
        <v>20</v>
      </c>
      <c r="J3353" s="4">
        <v>0.233253348214286</v>
      </c>
      <c r="K3353" t="s">
        <v>41</v>
      </c>
      <c r="L3353" t="s">
        <v>59</v>
      </c>
      <c r="M3353">
        <v>5</v>
      </c>
      <c r="N3353" t="s">
        <v>20</v>
      </c>
    </row>
    <row r="3354" spans="1:14" x14ac:dyDescent="0.3">
      <c r="A3354" s="1">
        <v>45408</v>
      </c>
      <c r="B3354" t="s">
        <v>37</v>
      </c>
      <c r="C3354" t="s">
        <v>38</v>
      </c>
      <c r="D3354" t="s">
        <v>12</v>
      </c>
      <c r="E3354">
        <v>6</v>
      </c>
      <c r="F3354">
        <v>990</v>
      </c>
      <c r="G3354">
        <v>102.83</v>
      </c>
      <c r="H3354">
        <v>2024</v>
      </c>
      <c r="I3354" t="s">
        <v>23</v>
      </c>
      <c r="J3354" s="4">
        <v>0.103868686868687</v>
      </c>
      <c r="K3354" t="s">
        <v>41</v>
      </c>
      <c r="L3354" t="s">
        <v>59</v>
      </c>
      <c r="M3354">
        <v>4</v>
      </c>
      <c r="N3354" t="s">
        <v>62</v>
      </c>
    </row>
    <row r="3355" spans="1:14" x14ac:dyDescent="0.3">
      <c r="A3355" s="1">
        <v>45523</v>
      </c>
      <c r="B3355" t="s">
        <v>37</v>
      </c>
      <c r="C3355" t="s">
        <v>38</v>
      </c>
      <c r="D3355" t="s">
        <v>22</v>
      </c>
      <c r="E3355">
        <v>1</v>
      </c>
      <c r="F3355">
        <v>915</v>
      </c>
      <c r="G3355">
        <v>129.08000000000001</v>
      </c>
      <c r="H3355">
        <v>2024</v>
      </c>
      <c r="I3355" t="s">
        <v>24</v>
      </c>
      <c r="J3355" s="4">
        <v>0.14107103825136599</v>
      </c>
      <c r="K3355" t="s">
        <v>41</v>
      </c>
      <c r="L3355" t="s">
        <v>60</v>
      </c>
      <c r="M3355">
        <v>8</v>
      </c>
      <c r="N3355" t="s">
        <v>63</v>
      </c>
    </row>
    <row r="3356" spans="1:14" x14ac:dyDescent="0.3">
      <c r="A3356" s="1">
        <v>45361</v>
      </c>
      <c r="B3356" t="s">
        <v>37</v>
      </c>
      <c r="C3356" t="s">
        <v>38</v>
      </c>
      <c r="D3356" t="s">
        <v>12</v>
      </c>
      <c r="E3356">
        <v>1</v>
      </c>
      <c r="F3356">
        <v>245</v>
      </c>
      <c r="G3356">
        <v>14.5</v>
      </c>
      <c r="H3356">
        <v>2024</v>
      </c>
      <c r="I3356" t="s">
        <v>15</v>
      </c>
      <c r="J3356" s="4">
        <v>5.9183673469387799E-2</v>
      </c>
      <c r="K3356" t="s">
        <v>41</v>
      </c>
      <c r="L3356" t="s">
        <v>55</v>
      </c>
      <c r="M3356">
        <v>3</v>
      </c>
      <c r="N3356" t="s">
        <v>56</v>
      </c>
    </row>
    <row r="3357" spans="1:14" x14ac:dyDescent="0.3">
      <c r="A3357" s="1">
        <v>45376</v>
      </c>
      <c r="B3357" t="s">
        <v>37</v>
      </c>
      <c r="C3357" t="s">
        <v>38</v>
      </c>
      <c r="D3357" t="s">
        <v>22</v>
      </c>
      <c r="E3357">
        <v>7</v>
      </c>
      <c r="F3357">
        <v>4522</v>
      </c>
      <c r="G3357">
        <v>1137.23</v>
      </c>
      <c r="H3357">
        <v>2024</v>
      </c>
      <c r="I3357" t="s">
        <v>15</v>
      </c>
      <c r="J3357" s="4">
        <v>0.25148827952233499</v>
      </c>
      <c r="K3357" t="s">
        <v>41</v>
      </c>
      <c r="L3357" t="s">
        <v>55</v>
      </c>
      <c r="M3357">
        <v>3</v>
      </c>
      <c r="N3357" t="s">
        <v>56</v>
      </c>
    </row>
    <row r="3358" spans="1:14" x14ac:dyDescent="0.3">
      <c r="A3358" s="1">
        <v>45500</v>
      </c>
      <c r="B3358" t="s">
        <v>37</v>
      </c>
      <c r="C3358" t="s">
        <v>38</v>
      </c>
      <c r="D3358" t="s">
        <v>19</v>
      </c>
      <c r="E3358">
        <v>2</v>
      </c>
      <c r="F3358">
        <v>1868</v>
      </c>
      <c r="G3358">
        <v>307.32</v>
      </c>
      <c r="H3358">
        <v>2024</v>
      </c>
      <c r="I3358" t="s">
        <v>25</v>
      </c>
      <c r="J3358" s="4">
        <v>0.16451820128479699</v>
      </c>
      <c r="K3358" t="s">
        <v>41</v>
      </c>
      <c r="L3358" t="s">
        <v>60</v>
      </c>
      <c r="M3358">
        <v>7</v>
      </c>
      <c r="N3358" t="s">
        <v>64</v>
      </c>
    </row>
    <row r="3359" spans="1:14" x14ac:dyDescent="0.3">
      <c r="A3359" s="1">
        <v>45625</v>
      </c>
      <c r="B3359" t="s">
        <v>37</v>
      </c>
      <c r="C3359" t="s">
        <v>38</v>
      </c>
      <c r="D3359" t="s">
        <v>22</v>
      </c>
      <c r="E3359">
        <v>4</v>
      </c>
      <c r="F3359">
        <v>3212</v>
      </c>
      <c r="G3359">
        <v>514.91999999999996</v>
      </c>
      <c r="H3359">
        <v>2024</v>
      </c>
      <c r="I3359" t="s">
        <v>18</v>
      </c>
      <c r="J3359" s="4">
        <v>0.160311332503113</v>
      </c>
      <c r="K3359" t="s">
        <v>41</v>
      </c>
      <c r="L3359" t="s">
        <v>52</v>
      </c>
      <c r="M3359">
        <v>11</v>
      </c>
      <c r="N3359" t="s">
        <v>58</v>
      </c>
    </row>
    <row r="3360" spans="1:14" x14ac:dyDescent="0.3">
      <c r="A3360" s="1">
        <v>45406</v>
      </c>
      <c r="B3360" t="s">
        <v>37</v>
      </c>
      <c r="C3360" t="s">
        <v>38</v>
      </c>
      <c r="D3360" t="s">
        <v>17</v>
      </c>
      <c r="E3360">
        <v>2</v>
      </c>
      <c r="F3360">
        <v>944</v>
      </c>
      <c r="G3360">
        <v>94.4</v>
      </c>
      <c r="H3360">
        <v>2024</v>
      </c>
      <c r="I3360" t="s">
        <v>23</v>
      </c>
      <c r="J3360" s="4">
        <v>0.1</v>
      </c>
      <c r="K3360" t="s">
        <v>41</v>
      </c>
      <c r="L3360" t="s">
        <v>59</v>
      </c>
      <c r="M3360">
        <v>4</v>
      </c>
      <c r="N3360" t="s">
        <v>62</v>
      </c>
    </row>
    <row r="3361" spans="1:14" x14ac:dyDescent="0.3">
      <c r="A3361" s="1">
        <v>45504</v>
      </c>
      <c r="B3361" t="s">
        <v>37</v>
      </c>
      <c r="C3361" t="s">
        <v>38</v>
      </c>
      <c r="D3361" t="s">
        <v>12</v>
      </c>
      <c r="E3361">
        <v>5</v>
      </c>
      <c r="F3361">
        <v>1145</v>
      </c>
      <c r="G3361">
        <v>244.72</v>
      </c>
      <c r="H3361">
        <v>2024</v>
      </c>
      <c r="I3361" t="s">
        <v>25</v>
      </c>
      <c r="J3361" s="4">
        <v>0.21372925764192099</v>
      </c>
      <c r="K3361" t="s">
        <v>41</v>
      </c>
      <c r="L3361" t="s">
        <v>60</v>
      </c>
      <c r="M3361">
        <v>7</v>
      </c>
      <c r="N3361" t="s">
        <v>64</v>
      </c>
    </row>
    <row r="3362" spans="1:14" x14ac:dyDescent="0.3">
      <c r="A3362" s="1">
        <v>45617</v>
      </c>
      <c r="B3362" t="s">
        <v>37</v>
      </c>
      <c r="C3362" t="s">
        <v>38</v>
      </c>
      <c r="D3362" t="s">
        <v>19</v>
      </c>
      <c r="E3362">
        <v>6</v>
      </c>
      <c r="F3362">
        <v>1728</v>
      </c>
      <c r="G3362">
        <v>247.86</v>
      </c>
      <c r="H3362">
        <v>2024</v>
      </c>
      <c r="I3362" t="s">
        <v>18</v>
      </c>
      <c r="J3362" s="4">
        <v>0.1434375</v>
      </c>
      <c r="K3362" t="s">
        <v>41</v>
      </c>
      <c r="L3362" t="s">
        <v>52</v>
      </c>
      <c r="M3362">
        <v>11</v>
      </c>
      <c r="N3362" t="s">
        <v>58</v>
      </c>
    </row>
    <row r="3363" spans="1:14" x14ac:dyDescent="0.3">
      <c r="A3363" s="1">
        <v>45523</v>
      </c>
      <c r="B3363" t="s">
        <v>37</v>
      </c>
      <c r="C3363" t="s">
        <v>38</v>
      </c>
      <c r="D3363" t="s">
        <v>19</v>
      </c>
      <c r="E3363">
        <v>2</v>
      </c>
      <c r="F3363">
        <v>308</v>
      </c>
      <c r="G3363">
        <v>35.32</v>
      </c>
      <c r="H3363">
        <v>2024</v>
      </c>
      <c r="I3363" t="s">
        <v>24</v>
      </c>
      <c r="J3363" s="4">
        <v>0.114675324675325</v>
      </c>
      <c r="K3363" t="s">
        <v>41</v>
      </c>
      <c r="L3363" t="s">
        <v>60</v>
      </c>
      <c r="M3363">
        <v>8</v>
      </c>
      <c r="N3363" t="s">
        <v>63</v>
      </c>
    </row>
    <row r="3364" spans="1:14" x14ac:dyDescent="0.3">
      <c r="A3364" s="1">
        <v>45466</v>
      </c>
      <c r="B3364" t="s">
        <v>37</v>
      </c>
      <c r="C3364" t="s">
        <v>38</v>
      </c>
      <c r="D3364" t="s">
        <v>17</v>
      </c>
      <c r="E3364">
        <v>4</v>
      </c>
      <c r="F3364">
        <v>2604</v>
      </c>
      <c r="G3364">
        <v>271.22000000000003</v>
      </c>
      <c r="H3364">
        <v>2024</v>
      </c>
      <c r="I3364" t="s">
        <v>27</v>
      </c>
      <c r="J3364" s="4">
        <v>0.104155145929339</v>
      </c>
      <c r="K3364" t="s">
        <v>41</v>
      </c>
      <c r="L3364" t="s">
        <v>59</v>
      </c>
      <c r="M3364">
        <v>6</v>
      </c>
      <c r="N3364" t="s">
        <v>66</v>
      </c>
    </row>
    <row r="3365" spans="1:14" x14ac:dyDescent="0.3">
      <c r="A3365" s="1">
        <v>45513</v>
      </c>
      <c r="B3365" t="s">
        <v>37</v>
      </c>
      <c r="C3365" t="s">
        <v>38</v>
      </c>
      <c r="D3365" t="s">
        <v>19</v>
      </c>
      <c r="E3365">
        <v>2</v>
      </c>
      <c r="F3365">
        <v>1710</v>
      </c>
      <c r="G3365">
        <v>468.76</v>
      </c>
      <c r="H3365">
        <v>2024</v>
      </c>
      <c r="I3365" t="s">
        <v>24</v>
      </c>
      <c r="J3365" s="4">
        <v>0.27412865497076</v>
      </c>
      <c r="K3365" t="s">
        <v>41</v>
      </c>
      <c r="L3365" t="s">
        <v>60</v>
      </c>
      <c r="M3365">
        <v>8</v>
      </c>
      <c r="N3365" t="s">
        <v>63</v>
      </c>
    </row>
    <row r="3366" spans="1:14" x14ac:dyDescent="0.3">
      <c r="A3366" s="1">
        <v>45552</v>
      </c>
      <c r="B3366" t="s">
        <v>37</v>
      </c>
      <c r="C3366" t="s">
        <v>38</v>
      </c>
      <c r="D3366" t="s">
        <v>19</v>
      </c>
      <c r="E3366">
        <v>9</v>
      </c>
      <c r="F3366">
        <v>8595</v>
      </c>
      <c r="G3366">
        <v>1312.19</v>
      </c>
      <c r="H3366">
        <v>2024</v>
      </c>
      <c r="I3366" t="s">
        <v>21</v>
      </c>
      <c r="J3366" s="4">
        <v>0.152668993600931</v>
      </c>
      <c r="K3366" t="s">
        <v>41</v>
      </c>
      <c r="L3366" t="s">
        <v>60</v>
      </c>
      <c r="M3366">
        <v>9</v>
      </c>
      <c r="N3366" t="s">
        <v>61</v>
      </c>
    </row>
    <row r="3367" spans="1:14" x14ac:dyDescent="0.3">
      <c r="A3367" s="1">
        <v>45469</v>
      </c>
      <c r="B3367" t="s">
        <v>37</v>
      </c>
      <c r="C3367" t="s">
        <v>38</v>
      </c>
      <c r="D3367" t="s">
        <v>22</v>
      </c>
      <c r="E3367">
        <v>6</v>
      </c>
      <c r="F3367">
        <v>1326</v>
      </c>
      <c r="G3367">
        <v>338.66</v>
      </c>
      <c r="H3367">
        <v>2024</v>
      </c>
      <c r="I3367" t="s">
        <v>27</v>
      </c>
      <c r="J3367" s="4">
        <v>0.255399698340875</v>
      </c>
      <c r="K3367" t="s">
        <v>41</v>
      </c>
      <c r="L3367" t="s">
        <v>59</v>
      </c>
      <c r="M3367">
        <v>6</v>
      </c>
      <c r="N3367" t="s">
        <v>66</v>
      </c>
    </row>
    <row r="3368" spans="1:14" x14ac:dyDescent="0.3">
      <c r="A3368" s="1">
        <v>45591</v>
      </c>
      <c r="B3368" t="s">
        <v>37</v>
      </c>
      <c r="C3368" t="s">
        <v>38</v>
      </c>
      <c r="D3368" t="s">
        <v>19</v>
      </c>
      <c r="E3368">
        <v>1</v>
      </c>
      <c r="F3368">
        <v>730</v>
      </c>
      <c r="G3368">
        <v>55.72</v>
      </c>
      <c r="H3368">
        <v>2024</v>
      </c>
      <c r="I3368" t="s">
        <v>14</v>
      </c>
      <c r="J3368" s="4">
        <v>7.6328767123287594E-2</v>
      </c>
      <c r="K3368" t="s">
        <v>41</v>
      </c>
      <c r="L3368" t="s">
        <v>52</v>
      </c>
      <c r="M3368">
        <v>10</v>
      </c>
      <c r="N3368" t="s">
        <v>54</v>
      </c>
    </row>
    <row r="3369" spans="1:14" x14ac:dyDescent="0.3">
      <c r="A3369" s="1">
        <v>45558</v>
      </c>
      <c r="B3369" t="s">
        <v>37</v>
      </c>
      <c r="C3369" t="s">
        <v>38</v>
      </c>
      <c r="D3369" t="s">
        <v>19</v>
      </c>
      <c r="E3369">
        <v>1</v>
      </c>
      <c r="F3369">
        <v>546</v>
      </c>
      <c r="G3369">
        <v>124.1</v>
      </c>
      <c r="H3369">
        <v>2024</v>
      </c>
      <c r="I3369" t="s">
        <v>21</v>
      </c>
      <c r="J3369" s="4">
        <v>0.22728937728937701</v>
      </c>
      <c r="K3369" t="s">
        <v>41</v>
      </c>
      <c r="L3369" t="s">
        <v>60</v>
      </c>
      <c r="M3369">
        <v>9</v>
      </c>
      <c r="N3369" t="s">
        <v>61</v>
      </c>
    </row>
    <row r="3370" spans="1:14" x14ac:dyDescent="0.3">
      <c r="A3370" s="1">
        <v>45509</v>
      </c>
      <c r="B3370" t="s">
        <v>37</v>
      </c>
      <c r="C3370" t="s">
        <v>38</v>
      </c>
      <c r="D3370" t="s">
        <v>12</v>
      </c>
      <c r="E3370">
        <v>1</v>
      </c>
      <c r="F3370">
        <v>714</v>
      </c>
      <c r="G3370">
        <v>209.69</v>
      </c>
      <c r="H3370">
        <v>2024</v>
      </c>
      <c r="I3370" t="s">
        <v>24</v>
      </c>
      <c r="J3370" s="4">
        <v>0.29368347338935602</v>
      </c>
      <c r="K3370" t="s">
        <v>41</v>
      </c>
      <c r="L3370" t="s">
        <v>60</v>
      </c>
      <c r="M3370">
        <v>8</v>
      </c>
      <c r="N3370" t="s">
        <v>63</v>
      </c>
    </row>
    <row r="3371" spans="1:14" x14ac:dyDescent="0.3">
      <c r="A3371" s="1">
        <v>45307</v>
      </c>
      <c r="B3371" t="s">
        <v>37</v>
      </c>
      <c r="C3371" t="s">
        <v>38</v>
      </c>
      <c r="D3371" t="s">
        <v>19</v>
      </c>
      <c r="E3371">
        <v>1</v>
      </c>
      <c r="F3371">
        <v>591</v>
      </c>
      <c r="G3371">
        <v>39.06</v>
      </c>
      <c r="H3371">
        <v>2024</v>
      </c>
      <c r="I3371" t="s">
        <v>26</v>
      </c>
      <c r="J3371" s="4">
        <v>6.6091370558375606E-2</v>
      </c>
      <c r="K3371" t="s">
        <v>41</v>
      </c>
      <c r="L3371" t="s">
        <v>55</v>
      </c>
      <c r="M3371">
        <v>1</v>
      </c>
      <c r="N3371" t="s">
        <v>65</v>
      </c>
    </row>
    <row r="3372" spans="1:14" x14ac:dyDescent="0.3">
      <c r="A3372" s="1">
        <v>45309</v>
      </c>
      <c r="B3372" t="s">
        <v>37</v>
      </c>
      <c r="C3372" t="s">
        <v>38</v>
      </c>
      <c r="D3372" t="s">
        <v>22</v>
      </c>
      <c r="E3372">
        <v>4</v>
      </c>
      <c r="F3372">
        <v>2464</v>
      </c>
      <c r="G3372">
        <v>602.29999999999995</v>
      </c>
      <c r="H3372">
        <v>2024</v>
      </c>
      <c r="I3372" t="s">
        <v>26</v>
      </c>
      <c r="J3372" s="4">
        <v>0.244439935064935</v>
      </c>
      <c r="K3372" t="s">
        <v>41</v>
      </c>
      <c r="L3372" t="s">
        <v>55</v>
      </c>
      <c r="M3372">
        <v>1</v>
      </c>
      <c r="N3372" t="s">
        <v>65</v>
      </c>
    </row>
    <row r="3373" spans="1:14" x14ac:dyDescent="0.3">
      <c r="A3373" s="1">
        <v>45482</v>
      </c>
      <c r="B3373" t="s">
        <v>37</v>
      </c>
      <c r="C3373" t="s">
        <v>38</v>
      </c>
      <c r="D3373" t="s">
        <v>17</v>
      </c>
      <c r="E3373">
        <v>9</v>
      </c>
      <c r="F3373">
        <v>2484</v>
      </c>
      <c r="G3373">
        <v>655.54</v>
      </c>
      <c r="H3373">
        <v>2024</v>
      </c>
      <c r="I3373" t="s">
        <v>25</v>
      </c>
      <c r="J3373" s="4">
        <v>0.26390499194847</v>
      </c>
      <c r="K3373" t="s">
        <v>41</v>
      </c>
      <c r="L3373" t="s">
        <v>60</v>
      </c>
      <c r="M3373">
        <v>7</v>
      </c>
      <c r="N3373" t="s">
        <v>64</v>
      </c>
    </row>
    <row r="3374" spans="1:14" x14ac:dyDescent="0.3">
      <c r="A3374" s="1">
        <v>45440</v>
      </c>
      <c r="B3374" t="s">
        <v>37</v>
      </c>
      <c r="C3374" t="s">
        <v>38</v>
      </c>
      <c r="D3374" t="s">
        <v>12</v>
      </c>
      <c r="E3374">
        <v>1</v>
      </c>
      <c r="F3374">
        <v>293</v>
      </c>
      <c r="G3374">
        <v>29.58</v>
      </c>
      <c r="H3374">
        <v>2024</v>
      </c>
      <c r="I3374" t="s">
        <v>20</v>
      </c>
      <c r="J3374" s="4">
        <v>0.100955631399317</v>
      </c>
      <c r="K3374" t="s">
        <v>41</v>
      </c>
      <c r="L3374" t="s">
        <v>59</v>
      </c>
      <c r="M3374">
        <v>5</v>
      </c>
      <c r="N3374" t="s">
        <v>20</v>
      </c>
    </row>
    <row r="3375" spans="1:14" x14ac:dyDescent="0.3">
      <c r="A3375" s="1">
        <v>45511</v>
      </c>
      <c r="B3375" t="s">
        <v>37</v>
      </c>
      <c r="C3375" t="s">
        <v>38</v>
      </c>
      <c r="D3375" t="s">
        <v>19</v>
      </c>
      <c r="E3375">
        <v>9</v>
      </c>
      <c r="F3375">
        <v>9477</v>
      </c>
      <c r="G3375">
        <v>2443.62</v>
      </c>
      <c r="H3375">
        <v>2024</v>
      </c>
      <c r="I3375" t="s">
        <v>24</v>
      </c>
      <c r="J3375" s="4">
        <v>0.25784742006964201</v>
      </c>
      <c r="K3375" t="s">
        <v>41</v>
      </c>
      <c r="L3375" t="s">
        <v>60</v>
      </c>
      <c r="M3375">
        <v>8</v>
      </c>
      <c r="N3375" t="s">
        <v>63</v>
      </c>
    </row>
    <row r="3376" spans="1:14" x14ac:dyDescent="0.3">
      <c r="A3376" s="1">
        <v>45441</v>
      </c>
      <c r="B3376" t="s">
        <v>37</v>
      </c>
      <c r="C3376" t="s">
        <v>38</v>
      </c>
      <c r="D3376" t="s">
        <v>22</v>
      </c>
      <c r="E3376">
        <v>7</v>
      </c>
      <c r="F3376">
        <v>6713</v>
      </c>
      <c r="G3376">
        <v>457.99</v>
      </c>
      <c r="H3376">
        <v>2024</v>
      </c>
      <c r="I3376" t="s">
        <v>20</v>
      </c>
      <c r="J3376" s="4">
        <v>6.8224340831223002E-2</v>
      </c>
      <c r="K3376" t="s">
        <v>41</v>
      </c>
      <c r="L3376" t="s">
        <v>59</v>
      </c>
      <c r="M3376">
        <v>5</v>
      </c>
      <c r="N3376" t="s">
        <v>20</v>
      </c>
    </row>
    <row r="3377" spans="1:14" x14ac:dyDescent="0.3">
      <c r="A3377" s="1">
        <v>45567</v>
      </c>
      <c r="B3377" t="s">
        <v>37</v>
      </c>
      <c r="C3377" t="s">
        <v>38</v>
      </c>
      <c r="D3377" t="s">
        <v>19</v>
      </c>
      <c r="E3377">
        <v>8</v>
      </c>
      <c r="F3377">
        <v>3336</v>
      </c>
      <c r="G3377">
        <v>492.76</v>
      </c>
      <c r="H3377">
        <v>2024</v>
      </c>
      <c r="I3377" t="s">
        <v>14</v>
      </c>
      <c r="J3377" s="4">
        <v>0.14770983213429301</v>
      </c>
      <c r="K3377" t="s">
        <v>41</v>
      </c>
      <c r="L3377" t="s">
        <v>52</v>
      </c>
      <c r="M3377">
        <v>10</v>
      </c>
      <c r="N3377" t="s">
        <v>54</v>
      </c>
    </row>
    <row r="3378" spans="1:14" x14ac:dyDescent="0.3">
      <c r="A3378" s="1">
        <v>45353</v>
      </c>
      <c r="B3378" t="s">
        <v>37</v>
      </c>
      <c r="C3378" t="s">
        <v>38</v>
      </c>
      <c r="D3378" t="s">
        <v>17</v>
      </c>
      <c r="E3378">
        <v>7</v>
      </c>
      <c r="F3378">
        <v>4676</v>
      </c>
      <c r="G3378">
        <v>520.38</v>
      </c>
      <c r="H3378">
        <v>2024</v>
      </c>
      <c r="I3378" t="s">
        <v>15</v>
      </c>
      <c r="J3378" s="4">
        <v>0.111287425149701</v>
      </c>
      <c r="K3378" t="s">
        <v>41</v>
      </c>
      <c r="L3378" t="s">
        <v>55</v>
      </c>
      <c r="M3378">
        <v>3</v>
      </c>
      <c r="N3378" t="s">
        <v>56</v>
      </c>
    </row>
    <row r="3379" spans="1:14" x14ac:dyDescent="0.3">
      <c r="A3379" s="1">
        <v>45411</v>
      </c>
      <c r="B3379" t="s">
        <v>37</v>
      </c>
      <c r="C3379" t="s">
        <v>38</v>
      </c>
      <c r="D3379" t="s">
        <v>17</v>
      </c>
      <c r="E3379">
        <v>6</v>
      </c>
      <c r="F3379">
        <v>1938</v>
      </c>
      <c r="G3379">
        <v>146.72999999999999</v>
      </c>
      <c r="H3379">
        <v>2024</v>
      </c>
      <c r="I3379" t="s">
        <v>23</v>
      </c>
      <c r="J3379" s="4">
        <v>7.5712074303405597E-2</v>
      </c>
      <c r="K3379" t="s">
        <v>41</v>
      </c>
      <c r="L3379" t="s">
        <v>59</v>
      </c>
      <c r="M3379">
        <v>4</v>
      </c>
      <c r="N3379" t="s">
        <v>62</v>
      </c>
    </row>
    <row r="3380" spans="1:14" x14ac:dyDescent="0.3">
      <c r="A3380" s="1">
        <v>45322</v>
      </c>
      <c r="B3380" t="s">
        <v>37</v>
      </c>
      <c r="C3380" t="s">
        <v>38</v>
      </c>
      <c r="D3380" t="s">
        <v>12</v>
      </c>
      <c r="E3380">
        <v>8</v>
      </c>
      <c r="F3380">
        <v>6160</v>
      </c>
      <c r="G3380">
        <v>947.96</v>
      </c>
      <c r="H3380">
        <v>2024</v>
      </c>
      <c r="I3380" t="s">
        <v>26</v>
      </c>
      <c r="J3380" s="4">
        <v>0.15388961038960999</v>
      </c>
      <c r="K3380" t="s">
        <v>41</v>
      </c>
      <c r="L3380" t="s">
        <v>55</v>
      </c>
      <c r="M3380">
        <v>1</v>
      </c>
      <c r="N3380" t="s">
        <v>65</v>
      </c>
    </row>
    <row r="3381" spans="1:14" x14ac:dyDescent="0.3">
      <c r="A3381" s="1">
        <v>45481</v>
      </c>
      <c r="B3381" t="s">
        <v>37</v>
      </c>
      <c r="C3381" t="s">
        <v>38</v>
      </c>
      <c r="D3381" t="s">
        <v>19</v>
      </c>
      <c r="E3381">
        <v>1</v>
      </c>
      <c r="F3381">
        <v>1175</v>
      </c>
      <c r="G3381">
        <v>171.51</v>
      </c>
      <c r="H3381">
        <v>2024</v>
      </c>
      <c r="I3381" t="s">
        <v>25</v>
      </c>
      <c r="J3381" s="4">
        <v>0.14596595744680799</v>
      </c>
      <c r="K3381" t="s">
        <v>41</v>
      </c>
      <c r="L3381" t="s">
        <v>60</v>
      </c>
      <c r="M3381">
        <v>7</v>
      </c>
      <c r="N3381" t="s">
        <v>64</v>
      </c>
    </row>
    <row r="3382" spans="1:14" x14ac:dyDescent="0.3">
      <c r="A3382" s="1">
        <v>45468</v>
      </c>
      <c r="B3382" t="s">
        <v>37</v>
      </c>
      <c r="C3382" t="s">
        <v>38</v>
      </c>
      <c r="D3382" t="s">
        <v>12</v>
      </c>
      <c r="E3382">
        <v>1</v>
      </c>
      <c r="F3382">
        <v>235</v>
      </c>
      <c r="G3382">
        <v>54.87</v>
      </c>
      <c r="H3382">
        <v>2024</v>
      </c>
      <c r="I3382" t="s">
        <v>27</v>
      </c>
      <c r="J3382" s="4">
        <v>0.233489361702128</v>
      </c>
      <c r="K3382" t="s">
        <v>41</v>
      </c>
      <c r="L3382" t="s">
        <v>59</v>
      </c>
      <c r="M3382">
        <v>6</v>
      </c>
      <c r="N3382" t="s">
        <v>66</v>
      </c>
    </row>
    <row r="3383" spans="1:14" x14ac:dyDescent="0.3">
      <c r="A3383" s="1">
        <v>45598</v>
      </c>
      <c r="B3383" t="s">
        <v>37</v>
      </c>
      <c r="C3383" t="s">
        <v>38</v>
      </c>
      <c r="D3383" t="s">
        <v>22</v>
      </c>
      <c r="E3383">
        <v>8</v>
      </c>
      <c r="F3383">
        <v>4784</v>
      </c>
      <c r="G3383">
        <v>769.91</v>
      </c>
      <c r="H3383">
        <v>2024</v>
      </c>
      <c r="I3383" t="s">
        <v>18</v>
      </c>
      <c r="J3383" s="4">
        <v>0.160934364548495</v>
      </c>
      <c r="K3383" t="s">
        <v>41</v>
      </c>
      <c r="L3383" t="s">
        <v>52</v>
      </c>
      <c r="M3383">
        <v>11</v>
      </c>
      <c r="N3383" t="s">
        <v>58</v>
      </c>
    </row>
    <row r="3384" spans="1:14" x14ac:dyDescent="0.3">
      <c r="A3384" s="1">
        <v>45522</v>
      </c>
      <c r="B3384" t="s">
        <v>37</v>
      </c>
      <c r="C3384" t="s">
        <v>38</v>
      </c>
      <c r="D3384" t="s">
        <v>17</v>
      </c>
      <c r="E3384">
        <v>9</v>
      </c>
      <c r="F3384">
        <v>6183</v>
      </c>
      <c r="G3384">
        <v>359.54</v>
      </c>
      <c r="H3384">
        <v>2024</v>
      </c>
      <c r="I3384" t="s">
        <v>24</v>
      </c>
      <c r="J3384" s="4">
        <v>5.8149765486010002E-2</v>
      </c>
      <c r="K3384" t="s">
        <v>41</v>
      </c>
      <c r="L3384" t="s">
        <v>60</v>
      </c>
      <c r="M3384">
        <v>8</v>
      </c>
      <c r="N3384" t="s">
        <v>63</v>
      </c>
    </row>
    <row r="3385" spans="1:14" x14ac:dyDescent="0.3">
      <c r="A3385" s="1">
        <v>45583</v>
      </c>
      <c r="B3385" t="s">
        <v>37</v>
      </c>
      <c r="C3385" t="s">
        <v>38</v>
      </c>
      <c r="D3385" t="s">
        <v>22</v>
      </c>
      <c r="E3385">
        <v>6</v>
      </c>
      <c r="F3385">
        <v>3696</v>
      </c>
      <c r="G3385">
        <v>597.66</v>
      </c>
      <c r="H3385">
        <v>2024</v>
      </c>
      <c r="I3385" t="s">
        <v>14</v>
      </c>
      <c r="J3385" s="4">
        <v>0.16170454545454499</v>
      </c>
      <c r="K3385" t="s">
        <v>41</v>
      </c>
      <c r="L3385" t="s">
        <v>52</v>
      </c>
      <c r="M3385">
        <v>10</v>
      </c>
      <c r="N3385" t="s">
        <v>54</v>
      </c>
    </row>
    <row r="3386" spans="1:14" x14ac:dyDescent="0.3">
      <c r="A3386" s="1">
        <v>45359</v>
      </c>
      <c r="B3386" t="s">
        <v>37</v>
      </c>
      <c r="C3386" t="s">
        <v>38</v>
      </c>
      <c r="D3386" t="s">
        <v>12</v>
      </c>
      <c r="E3386">
        <v>9</v>
      </c>
      <c r="F3386">
        <v>7281</v>
      </c>
      <c r="G3386">
        <v>1358.17</v>
      </c>
      <c r="H3386">
        <v>2024</v>
      </c>
      <c r="I3386" t="s">
        <v>15</v>
      </c>
      <c r="J3386" s="4">
        <v>0.18653619008378</v>
      </c>
      <c r="K3386" t="s">
        <v>41</v>
      </c>
      <c r="L3386" t="s">
        <v>55</v>
      </c>
      <c r="M3386">
        <v>3</v>
      </c>
      <c r="N3386" t="s">
        <v>56</v>
      </c>
    </row>
    <row r="3387" spans="1:14" x14ac:dyDescent="0.3">
      <c r="A3387" s="1">
        <v>45494</v>
      </c>
      <c r="B3387" t="s">
        <v>37</v>
      </c>
      <c r="C3387" t="s">
        <v>38</v>
      </c>
      <c r="D3387" t="s">
        <v>19</v>
      </c>
      <c r="E3387">
        <v>9</v>
      </c>
      <c r="F3387">
        <v>7020</v>
      </c>
      <c r="G3387">
        <v>623.97</v>
      </c>
      <c r="H3387">
        <v>2024</v>
      </c>
      <c r="I3387" t="s">
        <v>25</v>
      </c>
      <c r="J3387" s="4">
        <v>8.8884615384615395E-2</v>
      </c>
      <c r="K3387" t="s">
        <v>41</v>
      </c>
      <c r="L3387" t="s">
        <v>60</v>
      </c>
      <c r="M3387">
        <v>7</v>
      </c>
      <c r="N3387" t="s">
        <v>64</v>
      </c>
    </row>
    <row r="3388" spans="1:14" x14ac:dyDescent="0.3">
      <c r="A3388" s="1">
        <v>45498</v>
      </c>
      <c r="B3388" t="s">
        <v>37</v>
      </c>
      <c r="C3388" t="s">
        <v>38</v>
      </c>
      <c r="D3388" t="s">
        <v>22</v>
      </c>
      <c r="E3388">
        <v>7</v>
      </c>
      <c r="F3388">
        <v>7896</v>
      </c>
      <c r="G3388">
        <v>484.76</v>
      </c>
      <c r="H3388">
        <v>2024</v>
      </c>
      <c r="I3388" t="s">
        <v>25</v>
      </c>
      <c r="J3388" s="4">
        <v>6.1393110435663603E-2</v>
      </c>
      <c r="K3388" t="s">
        <v>41</v>
      </c>
      <c r="L3388" t="s">
        <v>60</v>
      </c>
      <c r="M3388">
        <v>7</v>
      </c>
      <c r="N3388" t="s">
        <v>64</v>
      </c>
    </row>
    <row r="3389" spans="1:14" x14ac:dyDescent="0.3">
      <c r="A3389" s="1">
        <v>45554</v>
      </c>
      <c r="B3389" t="s">
        <v>37</v>
      </c>
      <c r="C3389" t="s">
        <v>38</v>
      </c>
      <c r="D3389" t="s">
        <v>12</v>
      </c>
      <c r="E3389">
        <v>9</v>
      </c>
      <c r="F3389">
        <v>3753</v>
      </c>
      <c r="G3389">
        <v>1114.8699999999999</v>
      </c>
      <c r="H3389">
        <v>2024</v>
      </c>
      <c r="I3389" t="s">
        <v>21</v>
      </c>
      <c r="J3389" s="4">
        <v>0.29706101785238498</v>
      </c>
      <c r="K3389" t="s">
        <v>41</v>
      </c>
      <c r="L3389" t="s">
        <v>60</v>
      </c>
      <c r="M3389">
        <v>9</v>
      </c>
      <c r="N3389" t="s">
        <v>61</v>
      </c>
    </row>
    <row r="3390" spans="1:14" x14ac:dyDescent="0.3">
      <c r="A3390" s="1">
        <v>45601</v>
      </c>
      <c r="B3390" t="s">
        <v>37</v>
      </c>
      <c r="C3390" t="s">
        <v>38</v>
      </c>
      <c r="D3390" t="s">
        <v>22</v>
      </c>
      <c r="E3390">
        <v>5</v>
      </c>
      <c r="F3390">
        <v>4375</v>
      </c>
      <c r="G3390">
        <v>347.43</v>
      </c>
      <c r="H3390">
        <v>2024</v>
      </c>
      <c r="I3390" t="s">
        <v>18</v>
      </c>
      <c r="J3390" s="4">
        <v>7.9412571428571402E-2</v>
      </c>
      <c r="K3390" t="s">
        <v>41</v>
      </c>
      <c r="L3390" t="s">
        <v>52</v>
      </c>
      <c r="M3390">
        <v>11</v>
      </c>
      <c r="N3390" t="s">
        <v>58</v>
      </c>
    </row>
    <row r="3391" spans="1:14" x14ac:dyDescent="0.3">
      <c r="A3391" s="1">
        <v>45627</v>
      </c>
      <c r="B3391" t="s">
        <v>37</v>
      </c>
      <c r="C3391" t="s">
        <v>38</v>
      </c>
      <c r="D3391" t="s">
        <v>22</v>
      </c>
      <c r="E3391">
        <v>6</v>
      </c>
      <c r="F3391">
        <v>4854</v>
      </c>
      <c r="G3391">
        <v>510.88</v>
      </c>
      <c r="H3391">
        <v>2024</v>
      </c>
      <c r="I3391" t="s">
        <v>13</v>
      </c>
      <c r="J3391" s="4">
        <v>0.1052492789452</v>
      </c>
      <c r="K3391" t="s">
        <v>41</v>
      </c>
      <c r="L3391" t="s">
        <v>52</v>
      </c>
      <c r="M3391">
        <v>12</v>
      </c>
      <c r="N3391" t="s">
        <v>53</v>
      </c>
    </row>
    <row r="3392" spans="1:14" x14ac:dyDescent="0.3">
      <c r="A3392" s="1">
        <v>45336</v>
      </c>
      <c r="B3392" t="s">
        <v>37</v>
      </c>
      <c r="C3392" t="s">
        <v>38</v>
      </c>
      <c r="D3392" t="s">
        <v>12</v>
      </c>
      <c r="E3392">
        <v>5</v>
      </c>
      <c r="F3392">
        <v>1060</v>
      </c>
      <c r="G3392">
        <v>217.96</v>
      </c>
      <c r="H3392">
        <v>2024</v>
      </c>
      <c r="I3392" t="s">
        <v>16</v>
      </c>
      <c r="J3392" s="4">
        <v>0.20562264150943399</v>
      </c>
      <c r="K3392" t="s">
        <v>41</v>
      </c>
      <c r="L3392" t="s">
        <v>55</v>
      </c>
      <c r="M3392">
        <v>2</v>
      </c>
      <c r="N3392" t="s">
        <v>57</v>
      </c>
    </row>
    <row r="3393" spans="1:14" x14ac:dyDescent="0.3">
      <c r="A3393" s="1">
        <v>44855</v>
      </c>
      <c r="B3393" t="s">
        <v>37</v>
      </c>
      <c r="C3393" t="s">
        <v>38</v>
      </c>
      <c r="D3393" t="s">
        <v>12</v>
      </c>
      <c r="E3393">
        <v>8</v>
      </c>
      <c r="F3393">
        <v>1376</v>
      </c>
      <c r="G3393">
        <v>152.1</v>
      </c>
      <c r="H3393">
        <v>2022</v>
      </c>
      <c r="I3393" t="s">
        <v>14</v>
      </c>
      <c r="J3393" s="4">
        <v>0.110537790697674</v>
      </c>
      <c r="K3393" t="s">
        <v>42</v>
      </c>
      <c r="L3393" t="s">
        <v>52</v>
      </c>
      <c r="M3393">
        <v>10</v>
      </c>
      <c r="N3393" t="s">
        <v>54</v>
      </c>
    </row>
    <row r="3394" spans="1:14" x14ac:dyDescent="0.3">
      <c r="A3394" s="1">
        <v>44907</v>
      </c>
      <c r="B3394" t="s">
        <v>37</v>
      </c>
      <c r="C3394" t="s">
        <v>38</v>
      </c>
      <c r="D3394" t="s">
        <v>12</v>
      </c>
      <c r="E3394">
        <v>3</v>
      </c>
      <c r="F3394">
        <v>936</v>
      </c>
      <c r="G3394">
        <v>201.24</v>
      </c>
      <c r="H3394">
        <v>2022</v>
      </c>
      <c r="I3394" t="s">
        <v>13</v>
      </c>
      <c r="J3394" s="4">
        <v>0.215</v>
      </c>
      <c r="K3394" t="s">
        <v>42</v>
      </c>
      <c r="L3394" t="s">
        <v>52</v>
      </c>
      <c r="M3394">
        <v>12</v>
      </c>
      <c r="N3394" t="s">
        <v>53</v>
      </c>
    </row>
    <row r="3395" spans="1:14" x14ac:dyDescent="0.3">
      <c r="A3395" s="1">
        <v>44705</v>
      </c>
      <c r="B3395" t="s">
        <v>37</v>
      </c>
      <c r="C3395" t="s">
        <v>38</v>
      </c>
      <c r="D3395" t="s">
        <v>17</v>
      </c>
      <c r="E3395">
        <v>4</v>
      </c>
      <c r="F3395">
        <v>3600</v>
      </c>
      <c r="G3395">
        <v>623.72</v>
      </c>
      <c r="H3395">
        <v>2022</v>
      </c>
      <c r="I3395" t="s">
        <v>20</v>
      </c>
      <c r="J3395" s="4">
        <v>0.173255555555556</v>
      </c>
      <c r="K3395" t="s">
        <v>42</v>
      </c>
      <c r="L3395" t="s">
        <v>59</v>
      </c>
      <c r="M3395">
        <v>5</v>
      </c>
      <c r="N3395" t="s">
        <v>20</v>
      </c>
    </row>
    <row r="3396" spans="1:14" x14ac:dyDescent="0.3">
      <c r="A3396" s="1">
        <v>44882</v>
      </c>
      <c r="B3396" t="s">
        <v>37</v>
      </c>
      <c r="C3396" t="s">
        <v>38</v>
      </c>
      <c r="D3396" t="s">
        <v>19</v>
      </c>
      <c r="E3396">
        <v>2</v>
      </c>
      <c r="F3396">
        <v>124</v>
      </c>
      <c r="G3396">
        <v>27.42</v>
      </c>
      <c r="H3396">
        <v>2022</v>
      </c>
      <c r="I3396" t="s">
        <v>18</v>
      </c>
      <c r="J3396" s="4">
        <v>0.22112903225806499</v>
      </c>
      <c r="K3396" t="s">
        <v>42</v>
      </c>
      <c r="L3396" t="s">
        <v>52</v>
      </c>
      <c r="M3396">
        <v>11</v>
      </c>
      <c r="N3396" t="s">
        <v>58</v>
      </c>
    </row>
    <row r="3397" spans="1:14" x14ac:dyDescent="0.3">
      <c r="A3397" s="1">
        <v>44723</v>
      </c>
      <c r="B3397" t="s">
        <v>37</v>
      </c>
      <c r="C3397" t="s">
        <v>38</v>
      </c>
      <c r="D3397" t="s">
        <v>12</v>
      </c>
      <c r="E3397">
        <v>3</v>
      </c>
      <c r="F3397">
        <v>2547</v>
      </c>
      <c r="G3397">
        <v>300.74</v>
      </c>
      <c r="H3397">
        <v>2022</v>
      </c>
      <c r="I3397" t="s">
        <v>27</v>
      </c>
      <c r="J3397" s="4">
        <v>0.118076168040832</v>
      </c>
      <c r="K3397" t="s">
        <v>42</v>
      </c>
      <c r="L3397" t="s">
        <v>59</v>
      </c>
      <c r="M3397">
        <v>6</v>
      </c>
      <c r="N3397" t="s">
        <v>66</v>
      </c>
    </row>
    <row r="3398" spans="1:14" x14ac:dyDescent="0.3">
      <c r="A3398" s="1">
        <v>44712</v>
      </c>
      <c r="B3398" t="s">
        <v>37</v>
      </c>
      <c r="C3398" t="s">
        <v>38</v>
      </c>
      <c r="D3398" t="s">
        <v>17</v>
      </c>
      <c r="E3398">
        <v>2</v>
      </c>
      <c r="F3398">
        <v>112</v>
      </c>
      <c r="G3398">
        <v>23.33</v>
      </c>
      <c r="H3398">
        <v>2022</v>
      </c>
      <c r="I3398" t="s">
        <v>20</v>
      </c>
      <c r="J3398" s="4">
        <v>0.208303571428571</v>
      </c>
      <c r="K3398" t="s">
        <v>42</v>
      </c>
      <c r="L3398" t="s">
        <v>59</v>
      </c>
      <c r="M3398">
        <v>5</v>
      </c>
      <c r="N3398" t="s">
        <v>20</v>
      </c>
    </row>
    <row r="3399" spans="1:14" x14ac:dyDescent="0.3">
      <c r="A3399" s="1">
        <v>44590</v>
      </c>
      <c r="B3399" t="s">
        <v>37</v>
      </c>
      <c r="C3399" t="s">
        <v>38</v>
      </c>
      <c r="D3399" t="s">
        <v>22</v>
      </c>
      <c r="E3399">
        <v>2</v>
      </c>
      <c r="F3399">
        <v>2224</v>
      </c>
      <c r="G3399">
        <v>116.47</v>
      </c>
      <c r="H3399">
        <v>2022</v>
      </c>
      <c r="I3399" t="s">
        <v>26</v>
      </c>
      <c r="J3399" s="4">
        <v>5.2369604316546803E-2</v>
      </c>
      <c r="K3399" t="s">
        <v>42</v>
      </c>
      <c r="L3399" t="s">
        <v>55</v>
      </c>
      <c r="M3399">
        <v>1</v>
      </c>
      <c r="N3399" t="s">
        <v>65</v>
      </c>
    </row>
    <row r="3400" spans="1:14" x14ac:dyDescent="0.3">
      <c r="A3400" s="1">
        <v>44578</v>
      </c>
      <c r="B3400" t="s">
        <v>37</v>
      </c>
      <c r="C3400" t="s">
        <v>38</v>
      </c>
      <c r="D3400" t="s">
        <v>12</v>
      </c>
      <c r="E3400">
        <v>2</v>
      </c>
      <c r="F3400">
        <v>2238</v>
      </c>
      <c r="G3400">
        <v>294.54000000000002</v>
      </c>
      <c r="H3400">
        <v>2022</v>
      </c>
      <c r="I3400" t="s">
        <v>26</v>
      </c>
      <c r="J3400" s="4">
        <v>0.13160857908847201</v>
      </c>
      <c r="K3400" t="s">
        <v>42</v>
      </c>
      <c r="L3400" t="s">
        <v>55</v>
      </c>
      <c r="M3400">
        <v>1</v>
      </c>
      <c r="N3400" t="s">
        <v>65</v>
      </c>
    </row>
    <row r="3401" spans="1:14" x14ac:dyDescent="0.3">
      <c r="A3401" s="1">
        <v>44583</v>
      </c>
      <c r="B3401" t="s">
        <v>37</v>
      </c>
      <c r="C3401" t="s">
        <v>38</v>
      </c>
      <c r="D3401" t="s">
        <v>22</v>
      </c>
      <c r="E3401">
        <v>4</v>
      </c>
      <c r="F3401">
        <v>1028</v>
      </c>
      <c r="G3401">
        <v>192.13</v>
      </c>
      <c r="H3401">
        <v>2022</v>
      </c>
      <c r="I3401" t="s">
        <v>26</v>
      </c>
      <c r="J3401" s="4">
        <v>0.18689688715953301</v>
      </c>
      <c r="K3401" t="s">
        <v>42</v>
      </c>
      <c r="L3401" t="s">
        <v>55</v>
      </c>
      <c r="M3401">
        <v>1</v>
      </c>
      <c r="N3401" t="s">
        <v>65</v>
      </c>
    </row>
    <row r="3402" spans="1:14" x14ac:dyDescent="0.3">
      <c r="A3402" s="1">
        <v>44597</v>
      </c>
      <c r="B3402" t="s">
        <v>37</v>
      </c>
      <c r="C3402" t="s">
        <v>38</v>
      </c>
      <c r="D3402" t="s">
        <v>12</v>
      </c>
      <c r="E3402">
        <v>8</v>
      </c>
      <c r="F3402">
        <v>3952</v>
      </c>
      <c r="G3402">
        <v>451.08</v>
      </c>
      <c r="H3402">
        <v>2022</v>
      </c>
      <c r="I3402" t="s">
        <v>16</v>
      </c>
      <c r="J3402" s="4">
        <v>0.11413967611336</v>
      </c>
      <c r="K3402" t="s">
        <v>42</v>
      </c>
      <c r="L3402" t="s">
        <v>55</v>
      </c>
      <c r="M3402">
        <v>2</v>
      </c>
      <c r="N3402" t="s">
        <v>57</v>
      </c>
    </row>
    <row r="3403" spans="1:14" x14ac:dyDescent="0.3">
      <c r="A3403" s="1">
        <v>44798</v>
      </c>
      <c r="B3403" t="s">
        <v>37</v>
      </c>
      <c r="C3403" t="s">
        <v>38</v>
      </c>
      <c r="D3403" t="s">
        <v>19</v>
      </c>
      <c r="E3403">
        <v>1</v>
      </c>
      <c r="F3403">
        <v>1029</v>
      </c>
      <c r="G3403">
        <v>173.61</v>
      </c>
      <c r="H3403">
        <v>2022</v>
      </c>
      <c r="I3403" t="s">
        <v>24</v>
      </c>
      <c r="J3403" s="4">
        <v>0.168717201166181</v>
      </c>
      <c r="K3403" t="s">
        <v>42</v>
      </c>
      <c r="L3403" t="s">
        <v>60</v>
      </c>
      <c r="M3403">
        <v>8</v>
      </c>
      <c r="N3403" t="s">
        <v>63</v>
      </c>
    </row>
    <row r="3404" spans="1:14" x14ac:dyDescent="0.3">
      <c r="A3404" s="1">
        <v>44648</v>
      </c>
      <c r="B3404" t="s">
        <v>37</v>
      </c>
      <c r="C3404" t="s">
        <v>38</v>
      </c>
      <c r="D3404" t="s">
        <v>19</v>
      </c>
      <c r="E3404">
        <v>5</v>
      </c>
      <c r="F3404">
        <v>5405</v>
      </c>
      <c r="G3404">
        <v>326.56</v>
      </c>
      <c r="H3404">
        <v>2022</v>
      </c>
      <c r="I3404" t="s">
        <v>15</v>
      </c>
      <c r="J3404" s="4">
        <v>6.0418131359852002E-2</v>
      </c>
      <c r="K3404" t="s">
        <v>42</v>
      </c>
      <c r="L3404" t="s">
        <v>55</v>
      </c>
      <c r="M3404">
        <v>3</v>
      </c>
      <c r="N3404" t="s">
        <v>56</v>
      </c>
    </row>
    <row r="3405" spans="1:14" x14ac:dyDescent="0.3">
      <c r="A3405" s="1">
        <v>44690</v>
      </c>
      <c r="B3405" t="s">
        <v>37</v>
      </c>
      <c r="C3405" t="s">
        <v>38</v>
      </c>
      <c r="D3405" t="s">
        <v>12</v>
      </c>
      <c r="E3405">
        <v>9</v>
      </c>
      <c r="F3405">
        <v>10656</v>
      </c>
      <c r="G3405">
        <v>961.3</v>
      </c>
      <c r="H3405">
        <v>2022</v>
      </c>
      <c r="I3405" t="s">
        <v>20</v>
      </c>
      <c r="J3405" s="4">
        <v>9.0212087087087098E-2</v>
      </c>
      <c r="K3405" t="s">
        <v>42</v>
      </c>
      <c r="L3405" t="s">
        <v>59</v>
      </c>
      <c r="M3405">
        <v>5</v>
      </c>
      <c r="N3405" t="s">
        <v>20</v>
      </c>
    </row>
    <row r="3406" spans="1:14" x14ac:dyDescent="0.3">
      <c r="A3406" s="1">
        <v>44749</v>
      </c>
      <c r="B3406" t="s">
        <v>37</v>
      </c>
      <c r="C3406" t="s">
        <v>38</v>
      </c>
      <c r="D3406" t="s">
        <v>17</v>
      </c>
      <c r="E3406">
        <v>5</v>
      </c>
      <c r="F3406">
        <v>1255</v>
      </c>
      <c r="G3406">
        <v>257.14999999999998</v>
      </c>
      <c r="H3406">
        <v>2022</v>
      </c>
      <c r="I3406" t="s">
        <v>25</v>
      </c>
      <c r="J3406" s="4">
        <v>0.204900398406374</v>
      </c>
      <c r="K3406" t="s">
        <v>42</v>
      </c>
      <c r="L3406" t="s">
        <v>60</v>
      </c>
      <c r="M3406">
        <v>7</v>
      </c>
      <c r="N3406" t="s">
        <v>64</v>
      </c>
    </row>
    <row r="3407" spans="1:14" x14ac:dyDescent="0.3">
      <c r="A3407" s="1">
        <v>44703</v>
      </c>
      <c r="B3407" t="s">
        <v>37</v>
      </c>
      <c r="C3407" t="s">
        <v>38</v>
      </c>
      <c r="D3407" t="s">
        <v>12</v>
      </c>
      <c r="E3407">
        <v>2</v>
      </c>
      <c r="F3407">
        <v>1874</v>
      </c>
      <c r="G3407">
        <v>271.5</v>
      </c>
      <c r="H3407">
        <v>2022</v>
      </c>
      <c r="I3407" t="s">
        <v>20</v>
      </c>
      <c r="J3407" s="4">
        <v>0.144877267876201</v>
      </c>
      <c r="K3407" t="s">
        <v>42</v>
      </c>
      <c r="L3407" t="s">
        <v>59</v>
      </c>
      <c r="M3407">
        <v>5</v>
      </c>
      <c r="N3407" t="s">
        <v>20</v>
      </c>
    </row>
    <row r="3408" spans="1:14" x14ac:dyDescent="0.3">
      <c r="A3408" s="1">
        <v>44763</v>
      </c>
      <c r="B3408" t="s">
        <v>37</v>
      </c>
      <c r="C3408" t="s">
        <v>38</v>
      </c>
      <c r="D3408" t="s">
        <v>22</v>
      </c>
      <c r="E3408">
        <v>2</v>
      </c>
      <c r="F3408">
        <v>2016</v>
      </c>
      <c r="G3408">
        <v>426.43</v>
      </c>
      <c r="H3408">
        <v>2022</v>
      </c>
      <c r="I3408" t="s">
        <v>25</v>
      </c>
      <c r="J3408" s="4">
        <v>0.21152281746031701</v>
      </c>
      <c r="K3408" t="s">
        <v>42</v>
      </c>
      <c r="L3408" t="s">
        <v>60</v>
      </c>
      <c r="M3408">
        <v>7</v>
      </c>
      <c r="N3408" t="s">
        <v>64</v>
      </c>
    </row>
    <row r="3409" spans="1:14" x14ac:dyDescent="0.3">
      <c r="A3409" s="1">
        <v>44573</v>
      </c>
      <c r="B3409" t="s">
        <v>37</v>
      </c>
      <c r="C3409" t="s">
        <v>38</v>
      </c>
      <c r="D3409" t="s">
        <v>12</v>
      </c>
      <c r="E3409">
        <v>7</v>
      </c>
      <c r="F3409">
        <v>5635</v>
      </c>
      <c r="G3409">
        <v>1185.97</v>
      </c>
      <c r="H3409">
        <v>2022</v>
      </c>
      <c r="I3409" t="s">
        <v>26</v>
      </c>
      <c r="J3409" s="4">
        <v>0.21046495119787001</v>
      </c>
      <c r="K3409" t="s">
        <v>42</v>
      </c>
      <c r="L3409" t="s">
        <v>55</v>
      </c>
      <c r="M3409">
        <v>1</v>
      </c>
      <c r="N3409" t="s">
        <v>65</v>
      </c>
    </row>
    <row r="3410" spans="1:14" x14ac:dyDescent="0.3">
      <c r="A3410" s="1">
        <v>44728</v>
      </c>
      <c r="B3410" t="s">
        <v>37</v>
      </c>
      <c r="C3410" t="s">
        <v>38</v>
      </c>
      <c r="D3410" t="s">
        <v>17</v>
      </c>
      <c r="E3410">
        <v>6</v>
      </c>
      <c r="F3410">
        <v>6444</v>
      </c>
      <c r="G3410">
        <v>518.79</v>
      </c>
      <c r="H3410">
        <v>2022</v>
      </c>
      <c r="I3410" t="s">
        <v>27</v>
      </c>
      <c r="J3410" s="4">
        <v>8.0507448789571695E-2</v>
      </c>
      <c r="K3410" t="s">
        <v>42</v>
      </c>
      <c r="L3410" t="s">
        <v>59</v>
      </c>
      <c r="M3410">
        <v>6</v>
      </c>
      <c r="N3410" t="s">
        <v>66</v>
      </c>
    </row>
    <row r="3411" spans="1:14" x14ac:dyDescent="0.3">
      <c r="A3411" s="1">
        <v>44679</v>
      </c>
      <c r="B3411" t="s">
        <v>37</v>
      </c>
      <c r="C3411" t="s">
        <v>38</v>
      </c>
      <c r="D3411" t="s">
        <v>19</v>
      </c>
      <c r="E3411">
        <v>7</v>
      </c>
      <c r="F3411">
        <v>5649</v>
      </c>
      <c r="G3411">
        <v>660.37</v>
      </c>
      <c r="H3411">
        <v>2022</v>
      </c>
      <c r="I3411" t="s">
        <v>23</v>
      </c>
      <c r="J3411" s="4">
        <v>0.116900336342716</v>
      </c>
      <c r="K3411" t="s">
        <v>42</v>
      </c>
      <c r="L3411" t="s">
        <v>59</v>
      </c>
      <c r="M3411">
        <v>4</v>
      </c>
      <c r="N3411" t="s">
        <v>62</v>
      </c>
    </row>
    <row r="3412" spans="1:14" x14ac:dyDescent="0.3">
      <c r="A3412" s="1">
        <v>44623</v>
      </c>
      <c r="B3412" t="s">
        <v>37</v>
      </c>
      <c r="C3412" t="s">
        <v>38</v>
      </c>
      <c r="D3412" t="s">
        <v>22</v>
      </c>
      <c r="E3412">
        <v>2</v>
      </c>
      <c r="F3412">
        <v>1570</v>
      </c>
      <c r="G3412">
        <v>247.7</v>
      </c>
      <c r="H3412">
        <v>2022</v>
      </c>
      <c r="I3412" t="s">
        <v>15</v>
      </c>
      <c r="J3412" s="4">
        <v>0.15777070063694301</v>
      </c>
      <c r="K3412" t="s">
        <v>42</v>
      </c>
      <c r="L3412" t="s">
        <v>55</v>
      </c>
      <c r="M3412">
        <v>3</v>
      </c>
      <c r="N3412" t="s">
        <v>56</v>
      </c>
    </row>
    <row r="3413" spans="1:14" x14ac:dyDescent="0.3">
      <c r="A3413" s="1">
        <v>44649</v>
      </c>
      <c r="B3413" t="s">
        <v>37</v>
      </c>
      <c r="C3413" t="s">
        <v>38</v>
      </c>
      <c r="D3413" t="s">
        <v>12</v>
      </c>
      <c r="E3413">
        <v>8</v>
      </c>
      <c r="F3413">
        <v>7944</v>
      </c>
      <c r="G3413">
        <v>1142.83</v>
      </c>
      <c r="H3413">
        <v>2022</v>
      </c>
      <c r="I3413" t="s">
        <v>15</v>
      </c>
      <c r="J3413" s="4">
        <v>0.143860775427996</v>
      </c>
      <c r="K3413" t="s">
        <v>42</v>
      </c>
      <c r="L3413" t="s">
        <v>55</v>
      </c>
      <c r="M3413">
        <v>3</v>
      </c>
      <c r="N3413" t="s">
        <v>56</v>
      </c>
    </row>
    <row r="3414" spans="1:14" x14ac:dyDescent="0.3">
      <c r="A3414" s="1">
        <v>44597</v>
      </c>
      <c r="B3414" t="s">
        <v>37</v>
      </c>
      <c r="C3414" t="s">
        <v>38</v>
      </c>
      <c r="D3414" t="s">
        <v>17</v>
      </c>
      <c r="E3414">
        <v>1</v>
      </c>
      <c r="F3414">
        <v>686</v>
      </c>
      <c r="G3414">
        <v>86.18</v>
      </c>
      <c r="H3414">
        <v>2022</v>
      </c>
      <c r="I3414" t="s">
        <v>16</v>
      </c>
      <c r="J3414" s="4">
        <v>0.12562682215743401</v>
      </c>
      <c r="K3414" t="s">
        <v>42</v>
      </c>
      <c r="L3414" t="s">
        <v>55</v>
      </c>
      <c r="M3414">
        <v>2</v>
      </c>
      <c r="N3414" t="s">
        <v>57</v>
      </c>
    </row>
    <row r="3415" spans="1:14" x14ac:dyDescent="0.3">
      <c r="A3415" s="1">
        <v>44799</v>
      </c>
      <c r="B3415" t="s">
        <v>37</v>
      </c>
      <c r="C3415" t="s">
        <v>38</v>
      </c>
      <c r="D3415" t="s">
        <v>12</v>
      </c>
      <c r="E3415">
        <v>5</v>
      </c>
      <c r="F3415">
        <v>1205</v>
      </c>
      <c r="G3415">
        <v>235.19</v>
      </c>
      <c r="H3415">
        <v>2022</v>
      </c>
      <c r="I3415" t="s">
        <v>24</v>
      </c>
      <c r="J3415" s="4">
        <v>0.19517842323651499</v>
      </c>
      <c r="K3415" t="s">
        <v>42</v>
      </c>
      <c r="L3415" t="s">
        <v>60</v>
      </c>
      <c r="M3415">
        <v>8</v>
      </c>
      <c r="N3415" t="s">
        <v>63</v>
      </c>
    </row>
    <row r="3416" spans="1:14" x14ac:dyDescent="0.3">
      <c r="A3416" s="1">
        <v>44704</v>
      </c>
      <c r="B3416" t="s">
        <v>37</v>
      </c>
      <c r="C3416" t="s">
        <v>38</v>
      </c>
      <c r="D3416" t="s">
        <v>17</v>
      </c>
      <c r="E3416">
        <v>1</v>
      </c>
      <c r="F3416">
        <v>985</v>
      </c>
      <c r="G3416">
        <v>105.09</v>
      </c>
      <c r="H3416">
        <v>2022</v>
      </c>
      <c r="I3416" t="s">
        <v>20</v>
      </c>
      <c r="J3416" s="4">
        <v>0.106690355329949</v>
      </c>
      <c r="K3416" t="s">
        <v>42</v>
      </c>
      <c r="L3416" t="s">
        <v>59</v>
      </c>
      <c r="M3416">
        <v>5</v>
      </c>
      <c r="N3416" t="s">
        <v>20</v>
      </c>
    </row>
    <row r="3417" spans="1:14" x14ac:dyDescent="0.3">
      <c r="A3417" s="1">
        <v>44690</v>
      </c>
      <c r="B3417" t="s">
        <v>37</v>
      </c>
      <c r="C3417" t="s">
        <v>38</v>
      </c>
      <c r="D3417" t="s">
        <v>19</v>
      </c>
      <c r="E3417">
        <v>5</v>
      </c>
      <c r="F3417">
        <v>4880</v>
      </c>
      <c r="G3417">
        <v>1084.69</v>
      </c>
      <c r="H3417">
        <v>2022</v>
      </c>
      <c r="I3417" t="s">
        <v>20</v>
      </c>
      <c r="J3417" s="4">
        <v>0.22227254098360699</v>
      </c>
      <c r="K3417" t="s">
        <v>42</v>
      </c>
      <c r="L3417" t="s">
        <v>59</v>
      </c>
      <c r="M3417">
        <v>5</v>
      </c>
      <c r="N3417" t="s">
        <v>20</v>
      </c>
    </row>
    <row r="3418" spans="1:14" x14ac:dyDescent="0.3">
      <c r="A3418" s="1">
        <v>44867</v>
      </c>
      <c r="B3418" t="s">
        <v>37</v>
      </c>
      <c r="C3418" t="s">
        <v>38</v>
      </c>
      <c r="D3418" t="s">
        <v>12</v>
      </c>
      <c r="E3418">
        <v>5</v>
      </c>
      <c r="F3418">
        <v>265</v>
      </c>
      <c r="G3418">
        <v>53.21</v>
      </c>
      <c r="H3418">
        <v>2022</v>
      </c>
      <c r="I3418" t="s">
        <v>18</v>
      </c>
      <c r="J3418" s="4">
        <v>0.20079245283018901</v>
      </c>
      <c r="K3418" t="s">
        <v>42</v>
      </c>
      <c r="L3418" t="s">
        <v>52</v>
      </c>
      <c r="M3418">
        <v>11</v>
      </c>
      <c r="N3418" t="s">
        <v>58</v>
      </c>
    </row>
    <row r="3419" spans="1:14" x14ac:dyDescent="0.3">
      <c r="A3419" s="1">
        <v>44607</v>
      </c>
      <c r="B3419" t="s">
        <v>37</v>
      </c>
      <c r="C3419" t="s">
        <v>38</v>
      </c>
      <c r="D3419" t="s">
        <v>17</v>
      </c>
      <c r="E3419">
        <v>4</v>
      </c>
      <c r="F3419">
        <v>2804</v>
      </c>
      <c r="G3419">
        <v>391.59</v>
      </c>
      <c r="H3419">
        <v>2022</v>
      </c>
      <c r="I3419" t="s">
        <v>16</v>
      </c>
      <c r="J3419" s="4">
        <v>0.139654065620542</v>
      </c>
      <c r="K3419" t="s">
        <v>42</v>
      </c>
      <c r="L3419" t="s">
        <v>55</v>
      </c>
      <c r="M3419">
        <v>2</v>
      </c>
      <c r="N3419" t="s">
        <v>57</v>
      </c>
    </row>
    <row r="3420" spans="1:14" x14ac:dyDescent="0.3">
      <c r="A3420" s="1">
        <v>44760</v>
      </c>
      <c r="B3420" t="s">
        <v>37</v>
      </c>
      <c r="C3420" t="s">
        <v>38</v>
      </c>
      <c r="D3420" t="s">
        <v>17</v>
      </c>
      <c r="E3420">
        <v>9</v>
      </c>
      <c r="F3420">
        <v>7740</v>
      </c>
      <c r="G3420">
        <v>605.35</v>
      </c>
      <c r="H3420">
        <v>2022</v>
      </c>
      <c r="I3420" t="s">
        <v>25</v>
      </c>
      <c r="J3420" s="4">
        <v>7.8210594315245505E-2</v>
      </c>
      <c r="K3420" t="s">
        <v>42</v>
      </c>
      <c r="L3420" t="s">
        <v>60</v>
      </c>
      <c r="M3420">
        <v>7</v>
      </c>
      <c r="N3420" t="s">
        <v>64</v>
      </c>
    </row>
    <row r="3421" spans="1:14" x14ac:dyDescent="0.3">
      <c r="A3421" s="1">
        <v>44654</v>
      </c>
      <c r="B3421" t="s">
        <v>37</v>
      </c>
      <c r="C3421" t="s">
        <v>38</v>
      </c>
      <c r="D3421" t="s">
        <v>22</v>
      </c>
      <c r="E3421">
        <v>5</v>
      </c>
      <c r="F3421">
        <v>5410</v>
      </c>
      <c r="G3421">
        <v>1129.77</v>
      </c>
      <c r="H3421">
        <v>2022</v>
      </c>
      <c r="I3421" t="s">
        <v>23</v>
      </c>
      <c r="J3421" s="4">
        <v>0.20882994454713499</v>
      </c>
      <c r="K3421" t="s">
        <v>42</v>
      </c>
      <c r="L3421" t="s">
        <v>59</v>
      </c>
      <c r="M3421">
        <v>4</v>
      </c>
      <c r="N3421" t="s">
        <v>62</v>
      </c>
    </row>
    <row r="3422" spans="1:14" x14ac:dyDescent="0.3">
      <c r="A3422" s="1">
        <v>44904</v>
      </c>
      <c r="B3422" t="s">
        <v>37</v>
      </c>
      <c r="C3422" t="s">
        <v>38</v>
      </c>
      <c r="D3422" t="s">
        <v>17</v>
      </c>
      <c r="E3422">
        <v>2</v>
      </c>
      <c r="F3422">
        <v>212</v>
      </c>
      <c r="G3422">
        <v>13.4</v>
      </c>
      <c r="H3422">
        <v>2022</v>
      </c>
      <c r="I3422" t="s">
        <v>13</v>
      </c>
      <c r="J3422" s="4">
        <v>6.3207547169811307E-2</v>
      </c>
      <c r="K3422" t="s">
        <v>42</v>
      </c>
      <c r="L3422" t="s">
        <v>52</v>
      </c>
      <c r="M3422">
        <v>12</v>
      </c>
      <c r="N3422" t="s">
        <v>53</v>
      </c>
    </row>
    <row r="3423" spans="1:14" x14ac:dyDescent="0.3">
      <c r="A3423" s="1">
        <v>44630</v>
      </c>
      <c r="B3423" t="s">
        <v>37</v>
      </c>
      <c r="C3423" t="s">
        <v>38</v>
      </c>
      <c r="D3423" t="s">
        <v>22</v>
      </c>
      <c r="E3423">
        <v>5</v>
      </c>
      <c r="F3423">
        <v>5515</v>
      </c>
      <c r="G3423">
        <v>330.02</v>
      </c>
      <c r="H3423">
        <v>2022</v>
      </c>
      <c r="I3423" t="s">
        <v>15</v>
      </c>
      <c r="J3423" s="4">
        <v>5.98404351767906E-2</v>
      </c>
      <c r="K3423" t="s">
        <v>42</v>
      </c>
      <c r="L3423" t="s">
        <v>55</v>
      </c>
      <c r="M3423">
        <v>3</v>
      </c>
      <c r="N3423" t="s">
        <v>56</v>
      </c>
    </row>
    <row r="3424" spans="1:14" x14ac:dyDescent="0.3">
      <c r="A3424" s="1">
        <v>44765</v>
      </c>
      <c r="B3424" t="s">
        <v>37</v>
      </c>
      <c r="C3424" t="s">
        <v>38</v>
      </c>
      <c r="D3424" t="s">
        <v>12</v>
      </c>
      <c r="E3424">
        <v>1</v>
      </c>
      <c r="F3424">
        <v>473</v>
      </c>
      <c r="G3424">
        <v>43.65</v>
      </c>
      <c r="H3424">
        <v>2022</v>
      </c>
      <c r="I3424" t="s">
        <v>25</v>
      </c>
      <c r="J3424" s="4">
        <v>9.2283298097251595E-2</v>
      </c>
      <c r="K3424" t="s">
        <v>42</v>
      </c>
      <c r="L3424" t="s">
        <v>60</v>
      </c>
      <c r="M3424">
        <v>7</v>
      </c>
      <c r="N3424" t="s">
        <v>64</v>
      </c>
    </row>
    <row r="3425" spans="1:14" x14ac:dyDescent="0.3">
      <c r="A3425" s="1">
        <v>44606</v>
      </c>
      <c r="B3425" t="s">
        <v>37</v>
      </c>
      <c r="C3425" t="s">
        <v>38</v>
      </c>
      <c r="D3425" t="s">
        <v>22</v>
      </c>
      <c r="E3425">
        <v>2</v>
      </c>
      <c r="F3425">
        <v>1518</v>
      </c>
      <c r="G3425">
        <v>262.64999999999998</v>
      </c>
      <c r="H3425">
        <v>2022</v>
      </c>
      <c r="I3425" t="s">
        <v>16</v>
      </c>
      <c r="J3425" s="4">
        <v>0.17302371541502001</v>
      </c>
      <c r="K3425" t="s">
        <v>42</v>
      </c>
      <c r="L3425" t="s">
        <v>55</v>
      </c>
      <c r="M3425">
        <v>2</v>
      </c>
      <c r="N3425" t="s">
        <v>57</v>
      </c>
    </row>
    <row r="3426" spans="1:14" x14ac:dyDescent="0.3">
      <c r="A3426" s="1">
        <v>44722</v>
      </c>
      <c r="B3426" t="s">
        <v>37</v>
      </c>
      <c r="C3426" t="s">
        <v>38</v>
      </c>
      <c r="D3426" t="s">
        <v>17</v>
      </c>
      <c r="E3426">
        <v>3</v>
      </c>
      <c r="F3426">
        <v>168</v>
      </c>
      <c r="G3426">
        <v>45.31</v>
      </c>
      <c r="H3426">
        <v>2022</v>
      </c>
      <c r="I3426" t="s">
        <v>27</v>
      </c>
      <c r="J3426" s="4">
        <v>0.26970238095238103</v>
      </c>
      <c r="K3426" t="s">
        <v>42</v>
      </c>
      <c r="L3426" t="s">
        <v>59</v>
      </c>
      <c r="M3426">
        <v>6</v>
      </c>
      <c r="N3426" t="s">
        <v>66</v>
      </c>
    </row>
    <row r="3427" spans="1:14" x14ac:dyDescent="0.3">
      <c r="A3427" s="1">
        <v>44661</v>
      </c>
      <c r="B3427" t="s">
        <v>37</v>
      </c>
      <c r="C3427" t="s">
        <v>38</v>
      </c>
      <c r="D3427" t="s">
        <v>12</v>
      </c>
      <c r="E3427">
        <v>2</v>
      </c>
      <c r="F3427">
        <v>2070</v>
      </c>
      <c r="G3427">
        <v>183.41</v>
      </c>
      <c r="H3427">
        <v>2022</v>
      </c>
      <c r="I3427" t="s">
        <v>23</v>
      </c>
      <c r="J3427" s="4">
        <v>8.8603864734299501E-2</v>
      </c>
      <c r="K3427" t="s">
        <v>42</v>
      </c>
      <c r="L3427" t="s">
        <v>59</v>
      </c>
      <c r="M3427">
        <v>4</v>
      </c>
      <c r="N3427" t="s">
        <v>62</v>
      </c>
    </row>
    <row r="3428" spans="1:14" x14ac:dyDescent="0.3">
      <c r="A3428" s="1">
        <v>44578</v>
      </c>
      <c r="B3428" t="s">
        <v>37</v>
      </c>
      <c r="C3428" t="s">
        <v>38</v>
      </c>
      <c r="D3428" t="s">
        <v>19</v>
      </c>
      <c r="E3428">
        <v>1</v>
      </c>
      <c r="F3428">
        <v>1146</v>
      </c>
      <c r="G3428">
        <v>152.79</v>
      </c>
      <c r="H3428">
        <v>2022</v>
      </c>
      <c r="I3428" t="s">
        <v>26</v>
      </c>
      <c r="J3428" s="4">
        <v>0.133324607329843</v>
      </c>
      <c r="K3428" t="s">
        <v>42</v>
      </c>
      <c r="L3428" t="s">
        <v>55</v>
      </c>
      <c r="M3428">
        <v>1</v>
      </c>
      <c r="N3428" t="s">
        <v>65</v>
      </c>
    </row>
    <row r="3429" spans="1:14" x14ac:dyDescent="0.3">
      <c r="A3429" s="1">
        <v>44614</v>
      </c>
      <c r="B3429" t="s">
        <v>37</v>
      </c>
      <c r="C3429" t="s">
        <v>38</v>
      </c>
      <c r="D3429" t="s">
        <v>22</v>
      </c>
      <c r="E3429">
        <v>7</v>
      </c>
      <c r="F3429">
        <v>3675</v>
      </c>
      <c r="G3429">
        <v>227.14</v>
      </c>
      <c r="H3429">
        <v>2022</v>
      </c>
      <c r="I3429" t="s">
        <v>16</v>
      </c>
      <c r="J3429" s="4">
        <v>6.1806802721088398E-2</v>
      </c>
      <c r="K3429" t="s">
        <v>42</v>
      </c>
      <c r="L3429" t="s">
        <v>55</v>
      </c>
      <c r="M3429">
        <v>2</v>
      </c>
      <c r="N3429" t="s">
        <v>57</v>
      </c>
    </row>
    <row r="3430" spans="1:14" x14ac:dyDescent="0.3">
      <c r="A3430" s="1">
        <v>44792</v>
      </c>
      <c r="B3430" t="s">
        <v>37</v>
      </c>
      <c r="C3430" t="s">
        <v>38</v>
      </c>
      <c r="D3430" t="s">
        <v>22</v>
      </c>
      <c r="E3430">
        <v>7</v>
      </c>
      <c r="F3430">
        <v>4823</v>
      </c>
      <c r="G3430">
        <v>420.58</v>
      </c>
      <c r="H3430">
        <v>2022</v>
      </c>
      <c r="I3430" t="s">
        <v>24</v>
      </c>
      <c r="J3430" s="4">
        <v>8.7202985693551699E-2</v>
      </c>
      <c r="K3430" t="s">
        <v>42</v>
      </c>
      <c r="L3430" t="s">
        <v>60</v>
      </c>
      <c r="M3430">
        <v>8</v>
      </c>
      <c r="N3430" t="s">
        <v>63</v>
      </c>
    </row>
    <row r="3431" spans="1:14" x14ac:dyDescent="0.3">
      <c r="A3431" s="1">
        <v>44623</v>
      </c>
      <c r="B3431" t="s">
        <v>37</v>
      </c>
      <c r="C3431" t="s">
        <v>38</v>
      </c>
      <c r="D3431" t="s">
        <v>17</v>
      </c>
      <c r="E3431">
        <v>7</v>
      </c>
      <c r="F3431">
        <v>3297</v>
      </c>
      <c r="G3431">
        <v>583.86</v>
      </c>
      <c r="H3431">
        <v>2022</v>
      </c>
      <c r="I3431" t="s">
        <v>15</v>
      </c>
      <c r="J3431" s="4">
        <v>0.17708826205641501</v>
      </c>
      <c r="K3431" t="s">
        <v>42</v>
      </c>
      <c r="L3431" t="s">
        <v>55</v>
      </c>
      <c r="M3431">
        <v>3</v>
      </c>
      <c r="N3431" t="s">
        <v>56</v>
      </c>
    </row>
    <row r="3432" spans="1:14" x14ac:dyDescent="0.3">
      <c r="A3432" s="1">
        <v>44581</v>
      </c>
      <c r="B3432" t="s">
        <v>37</v>
      </c>
      <c r="C3432" t="s">
        <v>38</v>
      </c>
      <c r="D3432" t="s">
        <v>12</v>
      </c>
      <c r="E3432">
        <v>1</v>
      </c>
      <c r="F3432">
        <v>684</v>
      </c>
      <c r="G3432">
        <v>170.36</v>
      </c>
      <c r="H3432">
        <v>2022</v>
      </c>
      <c r="I3432" t="s">
        <v>26</v>
      </c>
      <c r="J3432" s="4">
        <v>0.24906432748537999</v>
      </c>
      <c r="K3432" t="s">
        <v>42</v>
      </c>
      <c r="L3432" t="s">
        <v>55</v>
      </c>
      <c r="M3432">
        <v>1</v>
      </c>
      <c r="N3432" t="s">
        <v>65</v>
      </c>
    </row>
    <row r="3433" spans="1:14" x14ac:dyDescent="0.3">
      <c r="A3433" s="1">
        <v>44854</v>
      </c>
      <c r="B3433" t="s">
        <v>37</v>
      </c>
      <c r="C3433" t="s">
        <v>38</v>
      </c>
      <c r="D3433" t="s">
        <v>12</v>
      </c>
      <c r="E3433">
        <v>1</v>
      </c>
      <c r="F3433">
        <v>98</v>
      </c>
      <c r="G3433">
        <v>28.57</v>
      </c>
      <c r="H3433">
        <v>2022</v>
      </c>
      <c r="I3433" t="s">
        <v>14</v>
      </c>
      <c r="J3433" s="4">
        <v>0.29153061224489801</v>
      </c>
      <c r="K3433" t="s">
        <v>42</v>
      </c>
      <c r="L3433" t="s">
        <v>52</v>
      </c>
      <c r="M3433">
        <v>10</v>
      </c>
      <c r="N3433" t="s">
        <v>54</v>
      </c>
    </row>
    <row r="3434" spans="1:14" x14ac:dyDescent="0.3">
      <c r="A3434" s="1">
        <v>44572</v>
      </c>
      <c r="B3434" t="s">
        <v>37</v>
      </c>
      <c r="C3434" t="s">
        <v>38</v>
      </c>
      <c r="D3434" t="s">
        <v>17</v>
      </c>
      <c r="E3434">
        <v>1</v>
      </c>
      <c r="F3434">
        <v>1016</v>
      </c>
      <c r="G3434">
        <v>171.31</v>
      </c>
      <c r="H3434">
        <v>2022</v>
      </c>
      <c r="I3434" t="s">
        <v>26</v>
      </c>
      <c r="J3434" s="4">
        <v>0.16861220472440899</v>
      </c>
      <c r="K3434" t="s">
        <v>42</v>
      </c>
      <c r="L3434" t="s">
        <v>55</v>
      </c>
      <c r="M3434">
        <v>1</v>
      </c>
      <c r="N3434" t="s">
        <v>65</v>
      </c>
    </row>
    <row r="3435" spans="1:14" x14ac:dyDescent="0.3">
      <c r="A3435" s="1">
        <v>44647</v>
      </c>
      <c r="B3435" t="s">
        <v>37</v>
      </c>
      <c r="C3435" t="s">
        <v>38</v>
      </c>
      <c r="D3435" t="s">
        <v>22</v>
      </c>
      <c r="E3435">
        <v>2</v>
      </c>
      <c r="F3435">
        <v>1774</v>
      </c>
      <c r="G3435">
        <v>322.49</v>
      </c>
      <c r="H3435">
        <v>2022</v>
      </c>
      <c r="I3435" t="s">
        <v>15</v>
      </c>
      <c r="J3435" s="4">
        <v>0.181786922209696</v>
      </c>
      <c r="K3435" t="s">
        <v>42</v>
      </c>
      <c r="L3435" t="s">
        <v>55</v>
      </c>
      <c r="M3435">
        <v>3</v>
      </c>
      <c r="N3435" t="s">
        <v>56</v>
      </c>
    </row>
    <row r="3436" spans="1:14" x14ac:dyDescent="0.3">
      <c r="A3436" s="1">
        <v>44832</v>
      </c>
      <c r="B3436" t="s">
        <v>37</v>
      </c>
      <c r="C3436" t="s">
        <v>38</v>
      </c>
      <c r="D3436" t="s">
        <v>12</v>
      </c>
      <c r="E3436">
        <v>4</v>
      </c>
      <c r="F3436">
        <v>3432</v>
      </c>
      <c r="G3436">
        <v>364.27</v>
      </c>
      <c r="H3436">
        <v>2022</v>
      </c>
      <c r="I3436" t="s">
        <v>21</v>
      </c>
      <c r="J3436" s="4">
        <v>0.106139277389277</v>
      </c>
      <c r="K3436" t="s">
        <v>42</v>
      </c>
      <c r="L3436" t="s">
        <v>60</v>
      </c>
      <c r="M3436">
        <v>9</v>
      </c>
      <c r="N3436" t="s">
        <v>61</v>
      </c>
    </row>
    <row r="3437" spans="1:14" x14ac:dyDescent="0.3">
      <c r="A3437" s="1">
        <v>44621</v>
      </c>
      <c r="B3437" t="s">
        <v>37</v>
      </c>
      <c r="C3437" t="s">
        <v>38</v>
      </c>
      <c r="D3437" t="s">
        <v>17</v>
      </c>
      <c r="E3437">
        <v>2</v>
      </c>
      <c r="F3437">
        <v>1796</v>
      </c>
      <c r="G3437">
        <v>225.15</v>
      </c>
      <c r="H3437">
        <v>2022</v>
      </c>
      <c r="I3437" t="s">
        <v>15</v>
      </c>
      <c r="J3437" s="4">
        <v>0.12536191536748301</v>
      </c>
      <c r="K3437" t="s">
        <v>42</v>
      </c>
      <c r="L3437" t="s">
        <v>55</v>
      </c>
      <c r="M3437">
        <v>3</v>
      </c>
      <c r="N3437" t="s">
        <v>56</v>
      </c>
    </row>
    <row r="3438" spans="1:14" x14ac:dyDescent="0.3">
      <c r="A3438" s="1">
        <v>44684</v>
      </c>
      <c r="B3438" t="s">
        <v>37</v>
      </c>
      <c r="C3438" t="s">
        <v>38</v>
      </c>
      <c r="D3438" t="s">
        <v>22</v>
      </c>
      <c r="E3438">
        <v>5</v>
      </c>
      <c r="F3438">
        <v>3340</v>
      </c>
      <c r="G3438">
        <v>845.53</v>
      </c>
      <c r="H3438">
        <v>2022</v>
      </c>
      <c r="I3438" t="s">
        <v>20</v>
      </c>
      <c r="J3438" s="4">
        <v>0.253152694610778</v>
      </c>
      <c r="K3438" t="s">
        <v>42</v>
      </c>
      <c r="L3438" t="s">
        <v>59</v>
      </c>
      <c r="M3438">
        <v>5</v>
      </c>
      <c r="N3438" t="s">
        <v>20</v>
      </c>
    </row>
    <row r="3439" spans="1:14" x14ac:dyDescent="0.3">
      <c r="A3439" s="1">
        <v>44774</v>
      </c>
      <c r="B3439" t="s">
        <v>37</v>
      </c>
      <c r="C3439" t="s">
        <v>38</v>
      </c>
      <c r="D3439" t="s">
        <v>22</v>
      </c>
      <c r="E3439">
        <v>4</v>
      </c>
      <c r="F3439">
        <v>1304</v>
      </c>
      <c r="G3439">
        <v>336.95</v>
      </c>
      <c r="H3439">
        <v>2022</v>
      </c>
      <c r="I3439" t="s">
        <v>24</v>
      </c>
      <c r="J3439" s="4">
        <v>0.25839723926380398</v>
      </c>
      <c r="K3439" t="s">
        <v>42</v>
      </c>
      <c r="L3439" t="s">
        <v>60</v>
      </c>
      <c r="M3439">
        <v>8</v>
      </c>
      <c r="N3439" t="s">
        <v>63</v>
      </c>
    </row>
    <row r="3440" spans="1:14" x14ac:dyDescent="0.3">
      <c r="A3440" s="1">
        <v>44694</v>
      </c>
      <c r="B3440" t="s">
        <v>37</v>
      </c>
      <c r="C3440" t="s">
        <v>38</v>
      </c>
      <c r="D3440" t="s">
        <v>19</v>
      </c>
      <c r="E3440">
        <v>7</v>
      </c>
      <c r="F3440">
        <v>5635</v>
      </c>
      <c r="G3440">
        <v>1665.01</v>
      </c>
      <c r="H3440">
        <v>2022</v>
      </c>
      <c r="I3440" t="s">
        <v>20</v>
      </c>
      <c r="J3440" s="4">
        <v>0.295476486246673</v>
      </c>
      <c r="K3440" t="s">
        <v>42</v>
      </c>
      <c r="L3440" t="s">
        <v>59</v>
      </c>
      <c r="M3440">
        <v>5</v>
      </c>
      <c r="N3440" t="s">
        <v>20</v>
      </c>
    </row>
    <row r="3441" spans="1:14" x14ac:dyDescent="0.3">
      <c r="A3441" s="1">
        <v>44587</v>
      </c>
      <c r="B3441" t="s">
        <v>37</v>
      </c>
      <c r="C3441" t="s">
        <v>38</v>
      </c>
      <c r="D3441" t="s">
        <v>19</v>
      </c>
      <c r="E3441">
        <v>1</v>
      </c>
      <c r="F3441">
        <v>498</v>
      </c>
      <c r="G3441">
        <v>58.3</v>
      </c>
      <c r="H3441">
        <v>2022</v>
      </c>
      <c r="I3441" t="s">
        <v>26</v>
      </c>
      <c r="J3441" s="4">
        <v>0.117068273092369</v>
      </c>
      <c r="K3441" t="s">
        <v>42</v>
      </c>
      <c r="L3441" t="s">
        <v>55</v>
      </c>
      <c r="M3441">
        <v>1</v>
      </c>
      <c r="N3441" t="s">
        <v>65</v>
      </c>
    </row>
    <row r="3442" spans="1:14" x14ac:dyDescent="0.3">
      <c r="A3442" s="1">
        <v>44910</v>
      </c>
      <c r="B3442" t="s">
        <v>37</v>
      </c>
      <c r="C3442" t="s">
        <v>38</v>
      </c>
      <c r="D3442" t="s">
        <v>19</v>
      </c>
      <c r="E3442">
        <v>6</v>
      </c>
      <c r="F3442">
        <v>4464</v>
      </c>
      <c r="G3442">
        <v>1122.3699999999999</v>
      </c>
      <c r="H3442">
        <v>2022</v>
      </c>
      <c r="I3442" t="s">
        <v>13</v>
      </c>
      <c r="J3442" s="4">
        <v>0.25142697132616498</v>
      </c>
      <c r="K3442" t="s">
        <v>42</v>
      </c>
      <c r="L3442" t="s">
        <v>52</v>
      </c>
      <c r="M3442">
        <v>12</v>
      </c>
      <c r="N3442" t="s">
        <v>53</v>
      </c>
    </row>
    <row r="3443" spans="1:14" x14ac:dyDescent="0.3">
      <c r="A3443" s="1">
        <v>44573</v>
      </c>
      <c r="B3443" t="s">
        <v>37</v>
      </c>
      <c r="C3443" t="s">
        <v>38</v>
      </c>
      <c r="D3443" t="s">
        <v>12</v>
      </c>
      <c r="E3443">
        <v>1</v>
      </c>
      <c r="F3443">
        <v>349</v>
      </c>
      <c r="G3443">
        <v>42.05</v>
      </c>
      <c r="H3443">
        <v>2022</v>
      </c>
      <c r="I3443" t="s">
        <v>26</v>
      </c>
      <c r="J3443" s="4">
        <v>0.12048710601719199</v>
      </c>
      <c r="K3443" t="s">
        <v>42</v>
      </c>
      <c r="L3443" t="s">
        <v>55</v>
      </c>
      <c r="M3443">
        <v>1</v>
      </c>
      <c r="N3443" t="s">
        <v>65</v>
      </c>
    </row>
    <row r="3444" spans="1:14" x14ac:dyDescent="0.3">
      <c r="A3444" s="1">
        <v>44816</v>
      </c>
      <c r="B3444" t="s">
        <v>37</v>
      </c>
      <c r="C3444" t="s">
        <v>38</v>
      </c>
      <c r="D3444" t="s">
        <v>17</v>
      </c>
      <c r="E3444">
        <v>5</v>
      </c>
      <c r="F3444">
        <v>1230</v>
      </c>
      <c r="G3444">
        <v>158.22999999999999</v>
      </c>
      <c r="H3444">
        <v>2022</v>
      </c>
      <c r="I3444" t="s">
        <v>21</v>
      </c>
      <c r="J3444" s="4">
        <v>0.12864227642276399</v>
      </c>
      <c r="K3444" t="s">
        <v>42</v>
      </c>
      <c r="L3444" t="s">
        <v>60</v>
      </c>
      <c r="M3444">
        <v>9</v>
      </c>
      <c r="N3444" t="s">
        <v>61</v>
      </c>
    </row>
    <row r="3445" spans="1:14" x14ac:dyDescent="0.3">
      <c r="A3445" s="1">
        <v>44576</v>
      </c>
      <c r="B3445" t="s">
        <v>37</v>
      </c>
      <c r="C3445" t="s">
        <v>38</v>
      </c>
      <c r="D3445" t="s">
        <v>19</v>
      </c>
      <c r="E3445">
        <v>7</v>
      </c>
      <c r="F3445">
        <v>5957</v>
      </c>
      <c r="G3445">
        <v>1433.85</v>
      </c>
      <c r="H3445">
        <v>2022</v>
      </c>
      <c r="I3445" t="s">
        <v>26</v>
      </c>
      <c r="J3445" s="4">
        <v>0.240700016786973</v>
      </c>
      <c r="K3445" t="s">
        <v>42</v>
      </c>
      <c r="L3445" t="s">
        <v>55</v>
      </c>
      <c r="M3445">
        <v>1</v>
      </c>
      <c r="N3445" t="s">
        <v>65</v>
      </c>
    </row>
    <row r="3446" spans="1:14" x14ac:dyDescent="0.3">
      <c r="A3446" s="1">
        <v>44795</v>
      </c>
      <c r="B3446" t="s">
        <v>37</v>
      </c>
      <c r="C3446" t="s">
        <v>38</v>
      </c>
      <c r="D3446" t="s">
        <v>22</v>
      </c>
      <c r="E3446">
        <v>8</v>
      </c>
      <c r="F3446">
        <v>2592</v>
      </c>
      <c r="G3446">
        <v>432.37</v>
      </c>
      <c r="H3446">
        <v>2022</v>
      </c>
      <c r="I3446" t="s">
        <v>24</v>
      </c>
      <c r="J3446" s="4">
        <v>0.16680941358024701</v>
      </c>
      <c r="K3446" t="s">
        <v>42</v>
      </c>
      <c r="L3446" t="s">
        <v>60</v>
      </c>
      <c r="M3446">
        <v>8</v>
      </c>
      <c r="N3446" t="s">
        <v>63</v>
      </c>
    </row>
    <row r="3447" spans="1:14" x14ac:dyDescent="0.3">
      <c r="A3447" s="1">
        <v>44658</v>
      </c>
      <c r="B3447" t="s">
        <v>37</v>
      </c>
      <c r="C3447" t="s">
        <v>38</v>
      </c>
      <c r="D3447" t="s">
        <v>19</v>
      </c>
      <c r="E3447">
        <v>4</v>
      </c>
      <c r="F3447">
        <v>2796</v>
      </c>
      <c r="G3447">
        <v>682.65</v>
      </c>
      <c r="H3447">
        <v>2022</v>
      </c>
      <c r="I3447" t="s">
        <v>23</v>
      </c>
      <c r="J3447" s="4">
        <v>0.24415236051502101</v>
      </c>
      <c r="K3447" t="s">
        <v>42</v>
      </c>
      <c r="L3447" t="s">
        <v>59</v>
      </c>
      <c r="M3447">
        <v>4</v>
      </c>
      <c r="N3447" t="s">
        <v>62</v>
      </c>
    </row>
    <row r="3448" spans="1:14" x14ac:dyDescent="0.3">
      <c r="A3448" s="1">
        <v>44695</v>
      </c>
      <c r="B3448" t="s">
        <v>37</v>
      </c>
      <c r="C3448" t="s">
        <v>38</v>
      </c>
      <c r="D3448" t="s">
        <v>12</v>
      </c>
      <c r="E3448">
        <v>3</v>
      </c>
      <c r="F3448">
        <v>1563</v>
      </c>
      <c r="G3448">
        <v>221.62</v>
      </c>
      <c r="H3448">
        <v>2022</v>
      </c>
      <c r="I3448" t="s">
        <v>20</v>
      </c>
      <c r="J3448" s="4">
        <v>0.141791426743442</v>
      </c>
      <c r="K3448" t="s">
        <v>42</v>
      </c>
      <c r="L3448" t="s">
        <v>59</v>
      </c>
      <c r="M3448">
        <v>5</v>
      </c>
      <c r="N3448" t="s">
        <v>20</v>
      </c>
    </row>
    <row r="3449" spans="1:14" x14ac:dyDescent="0.3">
      <c r="A3449" s="1">
        <v>44834</v>
      </c>
      <c r="B3449" t="s">
        <v>37</v>
      </c>
      <c r="C3449" t="s">
        <v>38</v>
      </c>
      <c r="D3449" t="s">
        <v>19</v>
      </c>
      <c r="E3449">
        <v>5</v>
      </c>
      <c r="F3449">
        <v>3085</v>
      </c>
      <c r="G3449">
        <v>413.52</v>
      </c>
      <c r="H3449">
        <v>2022</v>
      </c>
      <c r="I3449" t="s">
        <v>21</v>
      </c>
      <c r="J3449" s="4">
        <v>0.13404213938411699</v>
      </c>
      <c r="K3449" t="s">
        <v>42</v>
      </c>
      <c r="L3449" t="s">
        <v>60</v>
      </c>
      <c r="M3449">
        <v>9</v>
      </c>
      <c r="N3449" t="s">
        <v>61</v>
      </c>
    </row>
    <row r="3450" spans="1:14" x14ac:dyDescent="0.3">
      <c r="A3450" s="1">
        <v>44905</v>
      </c>
      <c r="B3450" t="s">
        <v>37</v>
      </c>
      <c r="C3450" t="s">
        <v>38</v>
      </c>
      <c r="D3450" t="s">
        <v>22</v>
      </c>
      <c r="E3450">
        <v>9</v>
      </c>
      <c r="F3450">
        <v>7029</v>
      </c>
      <c r="G3450">
        <v>1005.58</v>
      </c>
      <c r="H3450">
        <v>2022</v>
      </c>
      <c r="I3450" t="s">
        <v>13</v>
      </c>
      <c r="J3450" s="4">
        <v>0.14306160193484099</v>
      </c>
      <c r="K3450" t="s">
        <v>42</v>
      </c>
      <c r="L3450" t="s">
        <v>52</v>
      </c>
      <c r="M3450">
        <v>12</v>
      </c>
      <c r="N3450" t="s">
        <v>53</v>
      </c>
    </row>
    <row r="3451" spans="1:14" x14ac:dyDescent="0.3">
      <c r="A3451" s="1">
        <v>44895</v>
      </c>
      <c r="B3451" t="s">
        <v>37</v>
      </c>
      <c r="C3451" t="s">
        <v>38</v>
      </c>
      <c r="D3451" t="s">
        <v>12</v>
      </c>
      <c r="E3451">
        <v>7</v>
      </c>
      <c r="F3451">
        <v>2471</v>
      </c>
      <c r="G3451">
        <v>566.51</v>
      </c>
      <c r="H3451">
        <v>2022</v>
      </c>
      <c r="I3451" t="s">
        <v>18</v>
      </c>
      <c r="J3451" s="4">
        <v>0.22926345609065199</v>
      </c>
      <c r="K3451" t="s">
        <v>42</v>
      </c>
      <c r="L3451" t="s">
        <v>52</v>
      </c>
      <c r="M3451">
        <v>11</v>
      </c>
      <c r="N3451" t="s">
        <v>58</v>
      </c>
    </row>
    <row r="3452" spans="1:14" x14ac:dyDescent="0.3">
      <c r="A3452" s="1">
        <v>44801</v>
      </c>
      <c r="B3452" t="s">
        <v>37</v>
      </c>
      <c r="C3452" t="s">
        <v>38</v>
      </c>
      <c r="D3452" t="s">
        <v>17</v>
      </c>
      <c r="E3452">
        <v>9</v>
      </c>
      <c r="F3452">
        <v>5454</v>
      </c>
      <c r="G3452">
        <v>385.51</v>
      </c>
      <c r="H3452">
        <v>2022</v>
      </c>
      <c r="I3452" t="s">
        <v>24</v>
      </c>
      <c r="J3452" s="4">
        <v>7.0683901723505693E-2</v>
      </c>
      <c r="K3452" t="s">
        <v>42</v>
      </c>
      <c r="L3452" t="s">
        <v>60</v>
      </c>
      <c r="M3452">
        <v>8</v>
      </c>
      <c r="N3452" t="s">
        <v>63</v>
      </c>
    </row>
    <row r="3453" spans="1:14" x14ac:dyDescent="0.3">
      <c r="A3453" s="1">
        <v>44909</v>
      </c>
      <c r="B3453" t="s">
        <v>37</v>
      </c>
      <c r="C3453" t="s">
        <v>38</v>
      </c>
      <c r="D3453" t="s">
        <v>22</v>
      </c>
      <c r="E3453">
        <v>3</v>
      </c>
      <c r="F3453">
        <v>2523</v>
      </c>
      <c r="G3453">
        <v>506.7</v>
      </c>
      <c r="H3453">
        <v>2022</v>
      </c>
      <c r="I3453" t="s">
        <v>13</v>
      </c>
      <c r="J3453" s="4">
        <v>0.20083234244946499</v>
      </c>
      <c r="K3453" t="s">
        <v>42</v>
      </c>
      <c r="L3453" t="s">
        <v>52</v>
      </c>
      <c r="M3453">
        <v>12</v>
      </c>
      <c r="N3453" t="s">
        <v>53</v>
      </c>
    </row>
    <row r="3454" spans="1:14" x14ac:dyDescent="0.3">
      <c r="A3454" s="1">
        <v>44603</v>
      </c>
      <c r="B3454" t="s">
        <v>37</v>
      </c>
      <c r="C3454" t="s">
        <v>38</v>
      </c>
      <c r="D3454" t="s">
        <v>19</v>
      </c>
      <c r="E3454">
        <v>9</v>
      </c>
      <c r="F3454">
        <v>4212</v>
      </c>
      <c r="G3454">
        <v>552.96</v>
      </c>
      <c r="H3454">
        <v>2022</v>
      </c>
      <c r="I3454" t="s">
        <v>16</v>
      </c>
      <c r="J3454" s="4">
        <v>0.131282051282051</v>
      </c>
      <c r="K3454" t="s">
        <v>42</v>
      </c>
      <c r="L3454" t="s">
        <v>55</v>
      </c>
      <c r="M3454">
        <v>2</v>
      </c>
      <c r="N3454" t="s">
        <v>57</v>
      </c>
    </row>
    <row r="3455" spans="1:14" x14ac:dyDescent="0.3">
      <c r="A3455" s="1">
        <v>44575</v>
      </c>
      <c r="B3455" t="s">
        <v>37</v>
      </c>
      <c r="C3455" t="s">
        <v>38</v>
      </c>
      <c r="D3455" t="s">
        <v>12</v>
      </c>
      <c r="E3455">
        <v>3</v>
      </c>
      <c r="F3455">
        <v>2817</v>
      </c>
      <c r="G3455">
        <v>588.47</v>
      </c>
      <c r="H3455">
        <v>2022</v>
      </c>
      <c r="I3455" t="s">
        <v>26</v>
      </c>
      <c r="J3455" s="4">
        <v>0.20889953851615201</v>
      </c>
      <c r="K3455" t="s">
        <v>42</v>
      </c>
      <c r="L3455" t="s">
        <v>55</v>
      </c>
      <c r="M3455">
        <v>1</v>
      </c>
      <c r="N3455" t="s">
        <v>65</v>
      </c>
    </row>
    <row r="3456" spans="1:14" x14ac:dyDescent="0.3">
      <c r="A3456" s="1">
        <v>44821</v>
      </c>
      <c r="B3456" t="s">
        <v>37</v>
      </c>
      <c r="C3456" t="s">
        <v>38</v>
      </c>
      <c r="D3456" t="s">
        <v>17</v>
      </c>
      <c r="E3456">
        <v>2</v>
      </c>
      <c r="F3456">
        <v>180</v>
      </c>
      <c r="G3456">
        <v>10.78</v>
      </c>
      <c r="H3456">
        <v>2022</v>
      </c>
      <c r="I3456" t="s">
        <v>21</v>
      </c>
      <c r="J3456" s="4">
        <v>5.9888888888888901E-2</v>
      </c>
      <c r="K3456" t="s">
        <v>42</v>
      </c>
      <c r="L3456" t="s">
        <v>60</v>
      </c>
      <c r="M3456">
        <v>9</v>
      </c>
      <c r="N3456" t="s">
        <v>61</v>
      </c>
    </row>
    <row r="3457" spans="1:14" x14ac:dyDescent="0.3">
      <c r="A3457" s="1">
        <v>44600</v>
      </c>
      <c r="B3457" t="s">
        <v>37</v>
      </c>
      <c r="C3457" t="s">
        <v>38</v>
      </c>
      <c r="D3457" t="s">
        <v>12</v>
      </c>
      <c r="E3457">
        <v>1</v>
      </c>
      <c r="F3457">
        <v>184</v>
      </c>
      <c r="G3457">
        <v>50.19</v>
      </c>
      <c r="H3457">
        <v>2022</v>
      </c>
      <c r="I3457" t="s">
        <v>16</v>
      </c>
      <c r="J3457" s="4">
        <v>0.27277173913043501</v>
      </c>
      <c r="K3457" t="s">
        <v>42</v>
      </c>
      <c r="L3457" t="s">
        <v>55</v>
      </c>
      <c r="M3457">
        <v>2</v>
      </c>
      <c r="N3457" t="s">
        <v>57</v>
      </c>
    </row>
    <row r="3458" spans="1:14" x14ac:dyDescent="0.3">
      <c r="A3458" s="1">
        <v>44709</v>
      </c>
      <c r="B3458" t="s">
        <v>37</v>
      </c>
      <c r="C3458" t="s">
        <v>38</v>
      </c>
      <c r="D3458" t="s">
        <v>19</v>
      </c>
      <c r="E3458">
        <v>1</v>
      </c>
      <c r="F3458">
        <v>1118</v>
      </c>
      <c r="G3458">
        <v>319.27999999999997</v>
      </c>
      <c r="H3458">
        <v>2022</v>
      </c>
      <c r="I3458" t="s">
        <v>20</v>
      </c>
      <c r="J3458" s="4">
        <v>0.28558139534883697</v>
      </c>
      <c r="K3458" t="s">
        <v>42</v>
      </c>
      <c r="L3458" t="s">
        <v>59</v>
      </c>
      <c r="M3458">
        <v>5</v>
      </c>
      <c r="N3458" t="s">
        <v>20</v>
      </c>
    </row>
    <row r="3459" spans="1:14" x14ac:dyDescent="0.3">
      <c r="A3459" s="1">
        <v>44778</v>
      </c>
      <c r="B3459" t="s">
        <v>37</v>
      </c>
      <c r="C3459" t="s">
        <v>38</v>
      </c>
      <c r="D3459" t="s">
        <v>12</v>
      </c>
      <c r="E3459">
        <v>1</v>
      </c>
      <c r="F3459">
        <v>75</v>
      </c>
      <c r="G3459">
        <v>19.29</v>
      </c>
      <c r="H3459">
        <v>2022</v>
      </c>
      <c r="I3459" t="s">
        <v>24</v>
      </c>
      <c r="J3459" s="4">
        <v>0.25719999999999998</v>
      </c>
      <c r="K3459" t="s">
        <v>42</v>
      </c>
      <c r="L3459" t="s">
        <v>60</v>
      </c>
      <c r="M3459">
        <v>8</v>
      </c>
      <c r="N3459" t="s">
        <v>63</v>
      </c>
    </row>
    <row r="3460" spans="1:14" x14ac:dyDescent="0.3">
      <c r="A3460" s="1">
        <v>44639</v>
      </c>
      <c r="B3460" t="s">
        <v>37</v>
      </c>
      <c r="C3460" t="s">
        <v>38</v>
      </c>
      <c r="D3460" t="s">
        <v>22</v>
      </c>
      <c r="E3460">
        <v>3</v>
      </c>
      <c r="F3460">
        <v>1611</v>
      </c>
      <c r="G3460">
        <v>234.84</v>
      </c>
      <c r="H3460">
        <v>2022</v>
      </c>
      <c r="I3460" t="s">
        <v>15</v>
      </c>
      <c r="J3460" s="4">
        <v>0.14577281191806299</v>
      </c>
      <c r="K3460" t="s">
        <v>42</v>
      </c>
      <c r="L3460" t="s">
        <v>55</v>
      </c>
      <c r="M3460">
        <v>3</v>
      </c>
      <c r="N3460" t="s">
        <v>56</v>
      </c>
    </row>
    <row r="3461" spans="1:14" x14ac:dyDescent="0.3">
      <c r="A3461" s="1">
        <v>44746</v>
      </c>
      <c r="B3461" t="s">
        <v>37</v>
      </c>
      <c r="C3461" t="s">
        <v>38</v>
      </c>
      <c r="D3461" t="s">
        <v>12</v>
      </c>
      <c r="E3461">
        <v>3</v>
      </c>
      <c r="F3461">
        <v>258</v>
      </c>
      <c r="G3461">
        <v>38.03</v>
      </c>
      <c r="H3461">
        <v>2022</v>
      </c>
      <c r="I3461" t="s">
        <v>25</v>
      </c>
      <c r="J3461" s="4">
        <v>0.147403100775194</v>
      </c>
      <c r="K3461" t="s">
        <v>42</v>
      </c>
      <c r="L3461" t="s">
        <v>60</v>
      </c>
      <c r="M3461">
        <v>7</v>
      </c>
      <c r="N3461" t="s">
        <v>64</v>
      </c>
    </row>
    <row r="3462" spans="1:14" x14ac:dyDescent="0.3">
      <c r="A3462" s="1">
        <v>44603</v>
      </c>
      <c r="B3462" t="s">
        <v>37</v>
      </c>
      <c r="C3462" t="s">
        <v>38</v>
      </c>
      <c r="D3462" t="s">
        <v>12</v>
      </c>
      <c r="E3462">
        <v>9</v>
      </c>
      <c r="F3462">
        <v>7290</v>
      </c>
      <c r="G3462">
        <v>841.07</v>
      </c>
      <c r="H3462">
        <v>2022</v>
      </c>
      <c r="I3462" t="s">
        <v>16</v>
      </c>
      <c r="J3462" s="4">
        <v>0.11537311385459501</v>
      </c>
      <c r="K3462" t="s">
        <v>42</v>
      </c>
      <c r="L3462" t="s">
        <v>55</v>
      </c>
      <c r="M3462">
        <v>2</v>
      </c>
      <c r="N3462" t="s">
        <v>57</v>
      </c>
    </row>
    <row r="3463" spans="1:14" x14ac:dyDescent="0.3">
      <c r="A3463" s="1">
        <v>44921</v>
      </c>
      <c r="B3463" t="s">
        <v>37</v>
      </c>
      <c r="C3463" t="s">
        <v>38</v>
      </c>
      <c r="D3463" t="s">
        <v>17</v>
      </c>
      <c r="E3463">
        <v>6</v>
      </c>
      <c r="F3463">
        <v>2910</v>
      </c>
      <c r="G3463">
        <v>173.45</v>
      </c>
      <c r="H3463">
        <v>2022</v>
      </c>
      <c r="I3463" t="s">
        <v>13</v>
      </c>
      <c r="J3463" s="4">
        <v>5.9604810996563597E-2</v>
      </c>
      <c r="K3463" t="s">
        <v>42</v>
      </c>
      <c r="L3463" t="s">
        <v>52</v>
      </c>
      <c r="M3463">
        <v>12</v>
      </c>
      <c r="N3463" t="s">
        <v>53</v>
      </c>
    </row>
    <row r="3464" spans="1:14" x14ac:dyDescent="0.3">
      <c r="A3464" s="1">
        <v>44813</v>
      </c>
      <c r="B3464" t="s">
        <v>37</v>
      </c>
      <c r="C3464" t="s">
        <v>38</v>
      </c>
      <c r="D3464" t="s">
        <v>19</v>
      </c>
      <c r="E3464">
        <v>2</v>
      </c>
      <c r="F3464">
        <v>2080</v>
      </c>
      <c r="G3464">
        <v>450.24</v>
      </c>
      <c r="H3464">
        <v>2022</v>
      </c>
      <c r="I3464" t="s">
        <v>21</v>
      </c>
      <c r="J3464" s="4">
        <v>0.21646153846153801</v>
      </c>
      <c r="K3464" t="s">
        <v>42</v>
      </c>
      <c r="L3464" t="s">
        <v>60</v>
      </c>
      <c r="M3464">
        <v>9</v>
      </c>
      <c r="N3464" t="s">
        <v>61</v>
      </c>
    </row>
    <row r="3465" spans="1:14" x14ac:dyDescent="0.3">
      <c r="A3465" s="1">
        <v>44674</v>
      </c>
      <c r="B3465" t="s">
        <v>37</v>
      </c>
      <c r="C3465" t="s">
        <v>38</v>
      </c>
      <c r="D3465" t="s">
        <v>22</v>
      </c>
      <c r="E3465">
        <v>7</v>
      </c>
      <c r="F3465">
        <v>2338</v>
      </c>
      <c r="G3465">
        <v>531.5</v>
      </c>
      <c r="H3465">
        <v>2022</v>
      </c>
      <c r="I3465" t="s">
        <v>23</v>
      </c>
      <c r="J3465" s="4">
        <v>0.22733105218135199</v>
      </c>
      <c r="K3465" t="s">
        <v>42</v>
      </c>
      <c r="L3465" t="s">
        <v>59</v>
      </c>
      <c r="M3465">
        <v>4</v>
      </c>
      <c r="N3465" t="s">
        <v>62</v>
      </c>
    </row>
    <row r="3466" spans="1:14" x14ac:dyDescent="0.3">
      <c r="A3466" s="1">
        <v>44692</v>
      </c>
      <c r="B3466" t="s">
        <v>37</v>
      </c>
      <c r="C3466" t="s">
        <v>38</v>
      </c>
      <c r="D3466" t="s">
        <v>12</v>
      </c>
      <c r="E3466">
        <v>9</v>
      </c>
      <c r="F3466">
        <v>7506</v>
      </c>
      <c r="G3466">
        <v>827.17</v>
      </c>
      <c r="H3466">
        <v>2022</v>
      </c>
      <c r="I3466" t="s">
        <v>20</v>
      </c>
      <c r="J3466" s="4">
        <v>0.110201172395417</v>
      </c>
      <c r="K3466" t="s">
        <v>42</v>
      </c>
      <c r="L3466" t="s">
        <v>59</v>
      </c>
      <c r="M3466">
        <v>5</v>
      </c>
      <c r="N3466" t="s">
        <v>20</v>
      </c>
    </row>
    <row r="3467" spans="1:14" x14ac:dyDescent="0.3">
      <c r="A3467" s="1">
        <v>44648</v>
      </c>
      <c r="B3467" t="s">
        <v>37</v>
      </c>
      <c r="C3467" t="s">
        <v>38</v>
      </c>
      <c r="D3467" t="s">
        <v>17</v>
      </c>
      <c r="E3467">
        <v>2</v>
      </c>
      <c r="F3467">
        <v>606</v>
      </c>
      <c r="G3467">
        <v>154.99</v>
      </c>
      <c r="H3467">
        <v>2022</v>
      </c>
      <c r="I3467" t="s">
        <v>15</v>
      </c>
      <c r="J3467" s="4">
        <v>0.255759075907591</v>
      </c>
      <c r="K3467" t="s">
        <v>42</v>
      </c>
      <c r="L3467" t="s">
        <v>55</v>
      </c>
      <c r="M3467">
        <v>3</v>
      </c>
      <c r="N3467" t="s">
        <v>56</v>
      </c>
    </row>
    <row r="3468" spans="1:14" x14ac:dyDescent="0.3">
      <c r="A3468" s="1">
        <v>44565</v>
      </c>
      <c r="B3468" t="s">
        <v>37</v>
      </c>
      <c r="C3468" t="s">
        <v>38</v>
      </c>
      <c r="D3468" t="s">
        <v>19</v>
      </c>
      <c r="E3468">
        <v>6</v>
      </c>
      <c r="F3468">
        <v>6108</v>
      </c>
      <c r="G3468">
        <v>1488.4</v>
      </c>
      <c r="H3468">
        <v>2022</v>
      </c>
      <c r="I3468" t="s">
        <v>26</v>
      </c>
      <c r="J3468" s="4">
        <v>0.24368041912246199</v>
      </c>
      <c r="K3468" t="s">
        <v>42</v>
      </c>
      <c r="L3468" t="s">
        <v>55</v>
      </c>
      <c r="M3468">
        <v>1</v>
      </c>
      <c r="N3468" t="s">
        <v>65</v>
      </c>
    </row>
    <row r="3469" spans="1:14" x14ac:dyDescent="0.3">
      <c r="A3469" s="1">
        <v>44780</v>
      </c>
      <c r="B3469" t="s">
        <v>37</v>
      </c>
      <c r="C3469" t="s">
        <v>38</v>
      </c>
      <c r="D3469" t="s">
        <v>22</v>
      </c>
      <c r="E3469">
        <v>6</v>
      </c>
      <c r="F3469">
        <v>4434</v>
      </c>
      <c r="G3469">
        <v>306.63</v>
      </c>
      <c r="H3469">
        <v>2022</v>
      </c>
      <c r="I3469" t="s">
        <v>24</v>
      </c>
      <c r="J3469" s="4">
        <v>6.9154262516914797E-2</v>
      </c>
      <c r="K3469" t="s">
        <v>42</v>
      </c>
      <c r="L3469" t="s">
        <v>60</v>
      </c>
      <c r="M3469">
        <v>8</v>
      </c>
      <c r="N3469" t="s">
        <v>63</v>
      </c>
    </row>
    <row r="3470" spans="1:14" x14ac:dyDescent="0.3">
      <c r="A3470" s="1">
        <v>44821</v>
      </c>
      <c r="B3470" t="s">
        <v>37</v>
      </c>
      <c r="C3470" t="s">
        <v>38</v>
      </c>
      <c r="D3470" t="s">
        <v>12</v>
      </c>
      <c r="E3470">
        <v>3</v>
      </c>
      <c r="F3470">
        <v>3111</v>
      </c>
      <c r="G3470">
        <v>382.52</v>
      </c>
      <c r="H3470">
        <v>2022</v>
      </c>
      <c r="I3470" t="s">
        <v>21</v>
      </c>
      <c r="J3470" s="4">
        <v>0.12295724847316</v>
      </c>
      <c r="K3470" t="s">
        <v>42</v>
      </c>
      <c r="L3470" t="s">
        <v>60</v>
      </c>
      <c r="M3470">
        <v>9</v>
      </c>
      <c r="N3470" t="s">
        <v>61</v>
      </c>
    </row>
    <row r="3471" spans="1:14" x14ac:dyDescent="0.3">
      <c r="A3471" s="1">
        <v>44869</v>
      </c>
      <c r="B3471" t="s">
        <v>37</v>
      </c>
      <c r="C3471" t="s">
        <v>38</v>
      </c>
      <c r="D3471" t="s">
        <v>22</v>
      </c>
      <c r="E3471">
        <v>5</v>
      </c>
      <c r="F3471">
        <v>4750</v>
      </c>
      <c r="G3471">
        <v>1179.56</v>
      </c>
      <c r="H3471">
        <v>2022</v>
      </c>
      <c r="I3471" t="s">
        <v>18</v>
      </c>
      <c r="J3471" s="4">
        <v>0.248328421052632</v>
      </c>
      <c r="K3471" t="s">
        <v>42</v>
      </c>
      <c r="L3471" t="s">
        <v>52</v>
      </c>
      <c r="M3471">
        <v>11</v>
      </c>
      <c r="N3471" t="s">
        <v>58</v>
      </c>
    </row>
    <row r="3472" spans="1:14" x14ac:dyDescent="0.3">
      <c r="A3472" s="1">
        <v>44874</v>
      </c>
      <c r="B3472" t="s">
        <v>37</v>
      </c>
      <c r="C3472" t="s">
        <v>38</v>
      </c>
      <c r="D3472" t="s">
        <v>19</v>
      </c>
      <c r="E3472">
        <v>6</v>
      </c>
      <c r="F3472">
        <v>3222</v>
      </c>
      <c r="G3472">
        <v>846.27</v>
      </c>
      <c r="H3472">
        <v>2022</v>
      </c>
      <c r="I3472" t="s">
        <v>18</v>
      </c>
      <c r="J3472" s="4">
        <v>0.26265363128491598</v>
      </c>
      <c r="K3472" t="s">
        <v>42</v>
      </c>
      <c r="L3472" t="s">
        <v>52</v>
      </c>
      <c r="M3472">
        <v>11</v>
      </c>
      <c r="N3472" t="s">
        <v>58</v>
      </c>
    </row>
    <row r="3473" spans="1:14" x14ac:dyDescent="0.3">
      <c r="A3473" s="1">
        <v>44916</v>
      </c>
      <c r="B3473" t="s">
        <v>37</v>
      </c>
      <c r="C3473" t="s">
        <v>38</v>
      </c>
      <c r="D3473" t="s">
        <v>17</v>
      </c>
      <c r="E3473">
        <v>4</v>
      </c>
      <c r="F3473">
        <v>1016</v>
      </c>
      <c r="G3473">
        <v>269.88</v>
      </c>
      <c r="H3473">
        <v>2022</v>
      </c>
      <c r="I3473" t="s">
        <v>13</v>
      </c>
      <c r="J3473" s="4">
        <v>0.26562992125984303</v>
      </c>
      <c r="K3473" t="s">
        <v>42</v>
      </c>
      <c r="L3473" t="s">
        <v>52</v>
      </c>
      <c r="M3473">
        <v>12</v>
      </c>
      <c r="N3473" t="s">
        <v>53</v>
      </c>
    </row>
    <row r="3474" spans="1:14" x14ac:dyDescent="0.3">
      <c r="A3474" s="1">
        <v>44579</v>
      </c>
      <c r="B3474" t="s">
        <v>37</v>
      </c>
      <c r="C3474" t="s">
        <v>38</v>
      </c>
      <c r="D3474" t="s">
        <v>19</v>
      </c>
      <c r="E3474">
        <v>7</v>
      </c>
      <c r="F3474">
        <v>3780</v>
      </c>
      <c r="G3474">
        <v>351.51</v>
      </c>
      <c r="H3474">
        <v>2022</v>
      </c>
      <c r="I3474" t="s">
        <v>26</v>
      </c>
      <c r="J3474" s="4">
        <v>9.2992063492063501E-2</v>
      </c>
      <c r="K3474" t="s">
        <v>42</v>
      </c>
      <c r="L3474" t="s">
        <v>55</v>
      </c>
      <c r="M3474">
        <v>1</v>
      </c>
      <c r="N3474" t="s">
        <v>65</v>
      </c>
    </row>
    <row r="3475" spans="1:14" x14ac:dyDescent="0.3">
      <c r="A3475" s="1">
        <v>44919</v>
      </c>
      <c r="B3475" t="s">
        <v>37</v>
      </c>
      <c r="C3475" t="s">
        <v>38</v>
      </c>
      <c r="D3475" t="s">
        <v>12</v>
      </c>
      <c r="E3475">
        <v>8</v>
      </c>
      <c r="F3475">
        <v>7072</v>
      </c>
      <c r="G3475">
        <v>2113.06</v>
      </c>
      <c r="H3475">
        <v>2022</v>
      </c>
      <c r="I3475" t="s">
        <v>13</v>
      </c>
      <c r="J3475" s="4">
        <v>0.29879242081447999</v>
      </c>
      <c r="K3475" t="s">
        <v>42</v>
      </c>
      <c r="L3475" t="s">
        <v>52</v>
      </c>
      <c r="M3475">
        <v>12</v>
      </c>
      <c r="N3475" t="s">
        <v>53</v>
      </c>
    </row>
    <row r="3476" spans="1:14" x14ac:dyDescent="0.3">
      <c r="A3476" s="1">
        <v>44647</v>
      </c>
      <c r="B3476" t="s">
        <v>37</v>
      </c>
      <c r="C3476" t="s">
        <v>38</v>
      </c>
      <c r="D3476" t="s">
        <v>22</v>
      </c>
      <c r="E3476">
        <v>7</v>
      </c>
      <c r="F3476">
        <v>5740</v>
      </c>
      <c r="G3476">
        <v>1615.9</v>
      </c>
      <c r="H3476">
        <v>2022</v>
      </c>
      <c r="I3476" t="s">
        <v>15</v>
      </c>
      <c r="J3476" s="4">
        <v>0.28151567944250899</v>
      </c>
      <c r="K3476" t="s">
        <v>42</v>
      </c>
      <c r="L3476" t="s">
        <v>55</v>
      </c>
      <c r="M3476">
        <v>3</v>
      </c>
      <c r="N3476" t="s">
        <v>56</v>
      </c>
    </row>
    <row r="3477" spans="1:14" x14ac:dyDescent="0.3">
      <c r="A3477" s="1">
        <v>44673</v>
      </c>
      <c r="B3477" t="s">
        <v>37</v>
      </c>
      <c r="C3477" t="s">
        <v>38</v>
      </c>
      <c r="D3477" t="s">
        <v>12</v>
      </c>
      <c r="E3477">
        <v>8</v>
      </c>
      <c r="F3477">
        <v>432</v>
      </c>
      <c r="G3477">
        <v>98.44</v>
      </c>
      <c r="H3477">
        <v>2022</v>
      </c>
      <c r="I3477" t="s">
        <v>23</v>
      </c>
      <c r="J3477" s="4">
        <v>0.22787037037037</v>
      </c>
      <c r="K3477" t="s">
        <v>42</v>
      </c>
      <c r="L3477" t="s">
        <v>59</v>
      </c>
      <c r="M3477">
        <v>4</v>
      </c>
      <c r="N3477" t="s">
        <v>62</v>
      </c>
    </row>
    <row r="3478" spans="1:14" x14ac:dyDescent="0.3">
      <c r="A3478" s="1">
        <v>44777</v>
      </c>
      <c r="B3478" t="s">
        <v>37</v>
      </c>
      <c r="C3478" t="s">
        <v>38</v>
      </c>
      <c r="D3478" t="s">
        <v>17</v>
      </c>
      <c r="E3478">
        <v>2</v>
      </c>
      <c r="F3478">
        <v>954</v>
      </c>
      <c r="G3478">
        <v>71</v>
      </c>
      <c r="H3478">
        <v>2022</v>
      </c>
      <c r="I3478" t="s">
        <v>24</v>
      </c>
      <c r="J3478" s="4">
        <v>7.4423480083857393E-2</v>
      </c>
      <c r="K3478" t="s">
        <v>42</v>
      </c>
      <c r="L3478" t="s">
        <v>60</v>
      </c>
      <c r="M3478">
        <v>8</v>
      </c>
      <c r="N3478" t="s">
        <v>63</v>
      </c>
    </row>
    <row r="3479" spans="1:14" x14ac:dyDescent="0.3">
      <c r="A3479" s="1">
        <v>44568</v>
      </c>
      <c r="B3479" t="s">
        <v>37</v>
      </c>
      <c r="C3479" t="s">
        <v>38</v>
      </c>
      <c r="D3479" t="s">
        <v>19</v>
      </c>
      <c r="E3479">
        <v>4</v>
      </c>
      <c r="F3479">
        <v>1412</v>
      </c>
      <c r="G3479">
        <v>150.13</v>
      </c>
      <c r="H3479">
        <v>2022</v>
      </c>
      <c r="I3479" t="s">
        <v>26</v>
      </c>
      <c r="J3479" s="4">
        <v>0.106324362606232</v>
      </c>
      <c r="K3479" t="s">
        <v>42</v>
      </c>
      <c r="L3479" t="s">
        <v>55</v>
      </c>
      <c r="M3479">
        <v>1</v>
      </c>
      <c r="N3479" t="s">
        <v>65</v>
      </c>
    </row>
    <row r="3480" spans="1:14" x14ac:dyDescent="0.3">
      <c r="A3480" s="1">
        <v>44842</v>
      </c>
      <c r="B3480" t="s">
        <v>37</v>
      </c>
      <c r="C3480" t="s">
        <v>38</v>
      </c>
      <c r="D3480" t="s">
        <v>22</v>
      </c>
      <c r="E3480">
        <v>3</v>
      </c>
      <c r="F3480">
        <v>3330</v>
      </c>
      <c r="G3480">
        <v>503.85</v>
      </c>
      <c r="H3480">
        <v>2022</v>
      </c>
      <c r="I3480" t="s">
        <v>14</v>
      </c>
      <c r="J3480" s="4">
        <v>0.15130630630630601</v>
      </c>
      <c r="K3480" t="s">
        <v>42</v>
      </c>
      <c r="L3480" t="s">
        <v>52</v>
      </c>
      <c r="M3480">
        <v>10</v>
      </c>
      <c r="N3480" t="s">
        <v>54</v>
      </c>
    </row>
    <row r="3481" spans="1:14" x14ac:dyDescent="0.3">
      <c r="A3481" s="1">
        <v>44689</v>
      </c>
      <c r="B3481" t="s">
        <v>37</v>
      </c>
      <c r="C3481" t="s">
        <v>38</v>
      </c>
      <c r="D3481" t="s">
        <v>17</v>
      </c>
      <c r="E3481">
        <v>8</v>
      </c>
      <c r="F3481">
        <v>5616</v>
      </c>
      <c r="G3481">
        <v>723.42</v>
      </c>
      <c r="H3481">
        <v>2022</v>
      </c>
      <c r="I3481" t="s">
        <v>20</v>
      </c>
      <c r="J3481" s="4">
        <v>0.128814102564103</v>
      </c>
      <c r="K3481" t="s">
        <v>42</v>
      </c>
      <c r="L3481" t="s">
        <v>59</v>
      </c>
      <c r="M3481">
        <v>5</v>
      </c>
      <c r="N3481" t="s">
        <v>20</v>
      </c>
    </row>
    <row r="3482" spans="1:14" x14ac:dyDescent="0.3">
      <c r="A3482" s="1">
        <v>44703</v>
      </c>
      <c r="B3482" t="s">
        <v>37</v>
      </c>
      <c r="C3482" t="s">
        <v>38</v>
      </c>
      <c r="D3482" t="s">
        <v>22</v>
      </c>
      <c r="E3482">
        <v>1</v>
      </c>
      <c r="F3482">
        <v>1148</v>
      </c>
      <c r="G3482">
        <v>89.04</v>
      </c>
      <c r="H3482">
        <v>2022</v>
      </c>
      <c r="I3482" t="s">
        <v>20</v>
      </c>
      <c r="J3482" s="4">
        <v>7.7560975609756097E-2</v>
      </c>
      <c r="K3482" t="s">
        <v>42</v>
      </c>
      <c r="L3482" t="s">
        <v>59</v>
      </c>
      <c r="M3482">
        <v>5</v>
      </c>
      <c r="N3482" t="s">
        <v>20</v>
      </c>
    </row>
    <row r="3483" spans="1:14" x14ac:dyDescent="0.3">
      <c r="A3483" s="1">
        <v>44617</v>
      </c>
      <c r="B3483" t="s">
        <v>37</v>
      </c>
      <c r="C3483" t="s">
        <v>38</v>
      </c>
      <c r="D3483" t="s">
        <v>17</v>
      </c>
      <c r="E3483">
        <v>3</v>
      </c>
      <c r="F3483">
        <v>2571</v>
      </c>
      <c r="G3483">
        <v>510.01</v>
      </c>
      <c r="H3483">
        <v>2022</v>
      </c>
      <c r="I3483" t="s">
        <v>16</v>
      </c>
      <c r="J3483" s="4">
        <v>0.19837028393621201</v>
      </c>
      <c r="K3483" t="s">
        <v>42</v>
      </c>
      <c r="L3483" t="s">
        <v>55</v>
      </c>
      <c r="M3483">
        <v>2</v>
      </c>
      <c r="N3483" t="s">
        <v>57</v>
      </c>
    </row>
    <row r="3484" spans="1:14" x14ac:dyDescent="0.3">
      <c r="A3484" s="1">
        <v>44577</v>
      </c>
      <c r="B3484" t="s">
        <v>37</v>
      </c>
      <c r="C3484" t="s">
        <v>38</v>
      </c>
      <c r="D3484" t="s">
        <v>17</v>
      </c>
      <c r="E3484">
        <v>4</v>
      </c>
      <c r="F3484">
        <v>4428</v>
      </c>
      <c r="G3484">
        <v>600.54999999999995</v>
      </c>
      <c r="H3484">
        <v>2022</v>
      </c>
      <c r="I3484" t="s">
        <v>26</v>
      </c>
      <c r="J3484" s="4">
        <v>0.13562556458897901</v>
      </c>
      <c r="K3484" t="s">
        <v>42</v>
      </c>
      <c r="L3484" t="s">
        <v>55</v>
      </c>
      <c r="M3484">
        <v>1</v>
      </c>
      <c r="N3484" t="s">
        <v>65</v>
      </c>
    </row>
    <row r="3485" spans="1:14" x14ac:dyDescent="0.3">
      <c r="A3485" s="1">
        <v>44587</v>
      </c>
      <c r="B3485" t="s">
        <v>37</v>
      </c>
      <c r="C3485" t="s">
        <v>38</v>
      </c>
      <c r="D3485" t="s">
        <v>19</v>
      </c>
      <c r="E3485">
        <v>6</v>
      </c>
      <c r="F3485">
        <v>2100</v>
      </c>
      <c r="G3485">
        <v>202.86</v>
      </c>
      <c r="H3485">
        <v>2022</v>
      </c>
      <c r="I3485" t="s">
        <v>26</v>
      </c>
      <c r="J3485" s="4">
        <v>9.6600000000000005E-2</v>
      </c>
      <c r="K3485" t="s">
        <v>42</v>
      </c>
      <c r="L3485" t="s">
        <v>55</v>
      </c>
      <c r="M3485">
        <v>1</v>
      </c>
      <c r="N3485" t="s">
        <v>65</v>
      </c>
    </row>
    <row r="3486" spans="1:14" x14ac:dyDescent="0.3">
      <c r="A3486" s="1">
        <v>44627</v>
      </c>
      <c r="B3486" t="s">
        <v>37</v>
      </c>
      <c r="C3486" t="s">
        <v>38</v>
      </c>
      <c r="D3486" t="s">
        <v>19</v>
      </c>
      <c r="E3486">
        <v>7</v>
      </c>
      <c r="F3486">
        <v>637</v>
      </c>
      <c r="G3486">
        <v>68.11</v>
      </c>
      <c r="H3486">
        <v>2022</v>
      </c>
      <c r="I3486" t="s">
        <v>15</v>
      </c>
      <c r="J3486" s="4">
        <v>0.106923076923077</v>
      </c>
      <c r="K3486" t="s">
        <v>42</v>
      </c>
      <c r="L3486" t="s">
        <v>55</v>
      </c>
      <c r="M3486">
        <v>3</v>
      </c>
      <c r="N3486" t="s">
        <v>56</v>
      </c>
    </row>
    <row r="3487" spans="1:14" x14ac:dyDescent="0.3">
      <c r="A3487" s="1">
        <v>44706</v>
      </c>
      <c r="B3487" t="s">
        <v>37</v>
      </c>
      <c r="C3487" t="s">
        <v>38</v>
      </c>
      <c r="D3487" t="s">
        <v>22</v>
      </c>
      <c r="E3487">
        <v>4</v>
      </c>
      <c r="F3487">
        <v>1612</v>
      </c>
      <c r="G3487">
        <v>240.42</v>
      </c>
      <c r="H3487">
        <v>2022</v>
      </c>
      <c r="I3487" t="s">
        <v>20</v>
      </c>
      <c r="J3487" s="4">
        <v>0.149143920595534</v>
      </c>
      <c r="K3487" t="s">
        <v>42</v>
      </c>
      <c r="L3487" t="s">
        <v>59</v>
      </c>
      <c r="M3487">
        <v>5</v>
      </c>
      <c r="N3487" t="s">
        <v>20</v>
      </c>
    </row>
    <row r="3488" spans="1:14" x14ac:dyDescent="0.3">
      <c r="A3488" s="1">
        <v>44862</v>
      </c>
      <c r="B3488" t="s">
        <v>37</v>
      </c>
      <c r="C3488" t="s">
        <v>38</v>
      </c>
      <c r="D3488" t="s">
        <v>19</v>
      </c>
      <c r="E3488">
        <v>9</v>
      </c>
      <c r="F3488">
        <v>1260</v>
      </c>
      <c r="G3488">
        <v>246.6</v>
      </c>
      <c r="H3488">
        <v>2022</v>
      </c>
      <c r="I3488" t="s">
        <v>14</v>
      </c>
      <c r="J3488" s="4">
        <v>0.19571428571428601</v>
      </c>
      <c r="K3488" t="s">
        <v>42</v>
      </c>
      <c r="L3488" t="s">
        <v>52</v>
      </c>
      <c r="M3488">
        <v>10</v>
      </c>
      <c r="N3488" t="s">
        <v>54</v>
      </c>
    </row>
    <row r="3489" spans="1:14" x14ac:dyDescent="0.3">
      <c r="A3489" s="1">
        <v>44861</v>
      </c>
      <c r="B3489" t="s">
        <v>37</v>
      </c>
      <c r="C3489" t="s">
        <v>38</v>
      </c>
      <c r="D3489" t="s">
        <v>12</v>
      </c>
      <c r="E3489">
        <v>3</v>
      </c>
      <c r="F3489">
        <v>3186</v>
      </c>
      <c r="G3489">
        <v>527.75</v>
      </c>
      <c r="H3489">
        <v>2022</v>
      </c>
      <c r="I3489" t="s">
        <v>14</v>
      </c>
      <c r="J3489" s="4">
        <v>0.16564657878217201</v>
      </c>
      <c r="K3489" t="s">
        <v>42</v>
      </c>
      <c r="L3489" t="s">
        <v>52</v>
      </c>
      <c r="M3489">
        <v>10</v>
      </c>
      <c r="N3489" t="s">
        <v>54</v>
      </c>
    </row>
    <row r="3490" spans="1:14" x14ac:dyDescent="0.3">
      <c r="A3490" s="1">
        <v>44851</v>
      </c>
      <c r="B3490" t="s">
        <v>37</v>
      </c>
      <c r="C3490" t="s">
        <v>38</v>
      </c>
      <c r="D3490" t="s">
        <v>12</v>
      </c>
      <c r="E3490">
        <v>8</v>
      </c>
      <c r="F3490">
        <v>4200</v>
      </c>
      <c r="G3490">
        <v>1017.94</v>
      </c>
      <c r="H3490">
        <v>2022</v>
      </c>
      <c r="I3490" t="s">
        <v>14</v>
      </c>
      <c r="J3490" s="4">
        <v>0.24236666666666701</v>
      </c>
      <c r="K3490" t="s">
        <v>42</v>
      </c>
      <c r="L3490" t="s">
        <v>52</v>
      </c>
      <c r="M3490">
        <v>10</v>
      </c>
      <c r="N3490" t="s">
        <v>54</v>
      </c>
    </row>
    <row r="3491" spans="1:14" x14ac:dyDescent="0.3">
      <c r="A3491" s="1">
        <v>44875</v>
      </c>
      <c r="B3491" t="s">
        <v>37</v>
      </c>
      <c r="C3491" t="s">
        <v>38</v>
      </c>
      <c r="D3491" t="s">
        <v>22</v>
      </c>
      <c r="E3491">
        <v>9</v>
      </c>
      <c r="F3491">
        <v>7452</v>
      </c>
      <c r="G3491">
        <v>1259.82</v>
      </c>
      <c r="H3491">
        <v>2022</v>
      </c>
      <c r="I3491" t="s">
        <v>18</v>
      </c>
      <c r="J3491" s="4">
        <v>0.16905797101449299</v>
      </c>
      <c r="K3491" t="s">
        <v>42</v>
      </c>
      <c r="L3491" t="s">
        <v>52</v>
      </c>
      <c r="M3491">
        <v>11</v>
      </c>
      <c r="N3491" t="s">
        <v>58</v>
      </c>
    </row>
    <row r="3492" spans="1:14" x14ac:dyDescent="0.3">
      <c r="A3492" s="1">
        <v>44655</v>
      </c>
      <c r="B3492" t="s">
        <v>37</v>
      </c>
      <c r="C3492" t="s">
        <v>38</v>
      </c>
      <c r="D3492" t="s">
        <v>17</v>
      </c>
      <c r="E3492">
        <v>3</v>
      </c>
      <c r="F3492">
        <v>1254</v>
      </c>
      <c r="G3492">
        <v>221.19</v>
      </c>
      <c r="H3492">
        <v>2022</v>
      </c>
      <c r="I3492" t="s">
        <v>23</v>
      </c>
      <c r="J3492" s="4">
        <v>0.17638755980861201</v>
      </c>
      <c r="K3492" t="s">
        <v>42</v>
      </c>
      <c r="L3492" t="s">
        <v>59</v>
      </c>
      <c r="M3492">
        <v>4</v>
      </c>
      <c r="N3492" t="s">
        <v>62</v>
      </c>
    </row>
    <row r="3493" spans="1:14" x14ac:dyDescent="0.3">
      <c r="A3493" s="1">
        <v>44632</v>
      </c>
      <c r="B3493" t="s">
        <v>37</v>
      </c>
      <c r="C3493" t="s">
        <v>38</v>
      </c>
      <c r="D3493" t="s">
        <v>12</v>
      </c>
      <c r="E3493">
        <v>8</v>
      </c>
      <c r="F3493">
        <v>5168</v>
      </c>
      <c r="G3493">
        <v>672.6</v>
      </c>
      <c r="H3493">
        <v>2022</v>
      </c>
      <c r="I3493" t="s">
        <v>15</v>
      </c>
      <c r="J3493" s="4">
        <v>0.130147058823529</v>
      </c>
      <c r="K3493" t="s">
        <v>42</v>
      </c>
      <c r="L3493" t="s">
        <v>55</v>
      </c>
      <c r="M3493">
        <v>3</v>
      </c>
      <c r="N3493" t="s">
        <v>56</v>
      </c>
    </row>
    <row r="3494" spans="1:14" x14ac:dyDescent="0.3">
      <c r="A3494" s="1">
        <v>44863</v>
      </c>
      <c r="B3494" t="s">
        <v>37</v>
      </c>
      <c r="C3494" t="s">
        <v>38</v>
      </c>
      <c r="D3494" t="s">
        <v>22</v>
      </c>
      <c r="E3494">
        <v>1</v>
      </c>
      <c r="F3494">
        <v>668</v>
      </c>
      <c r="G3494">
        <v>94.08</v>
      </c>
      <c r="H3494">
        <v>2022</v>
      </c>
      <c r="I3494" t="s">
        <v>14</v>
      </c>
      <c r="J3494" s="4">
        <v>0.14083832335329299</v>
      </c>
      <c r="K3494" t="s">
        <v>42</v>
      </c>
      <c r="L3494" t="s">
        <v>52</v>
      </c>
      <c r="M3494">
        <v>10</v>
      </c>
      <c r="N3494" t="s">
        <v>54</v>
      </c>
    </row>
    <row r="3495" spans="1:14" x14ac:dyDescent="0.3">
      <c r="A3495" s="1">
        <v>44588</v>
      </c>
      <c r="B3495" t="s">
        <v>37</v>
      </c>
      <c r="C3495" t="s">
        <v>38</v>
      </c>
      <c r="D3495" t="s">
        <v>17</v>
      </c>
      <c r="E3495">
        <v>2</v>
      </c>
      <c r="F3495">
        <v>1268</v>
      </c>
      <c r="G3495">
        <v>141.76</v>
      </c>
      <c r="H3495">
        <v>2022</v>
      </c>
      <c r="I3495" t="s">
        <v>26</v>
      </c>
      <c r="J3495" s="4">
        <v>0.11179810725552</v>
      </c>
      <c r="K3495" t="s">
        <v>42</v>
      </c>
      <c r="L3495" t="s">
        <v>55</v>
      </c>
      <c r="M3495">
        <v>1</v>
      </c>
      <c r="N3495" t="s">
        <v>65</v>
      </c>
    </row>
    <row r="3496" spans="1:14" x14ac:dyDescent="0.3">
      <c r="A3496" s="1">
        <v>44840</v>
      </c>
      <c r="B3496" t="s">
        <v>37</v>
      </c>
      <c r="C3496" t="s">
        <v>38</v>
      </c>
      <c r="D3496" t="s">
        <v>12</v>
      </c>
      <c r="E3496">
        <v>6</v>
      </c>
      <c r="F3496">
        <v>3774</v>
      </c>
      <c r="G3496">
        <v>606.94000000000005</v>
      </c>
      <c r="H3496">
        <v>2022</v>
      </c>
      <c r="I3496" t="s">
        <v>14</v>
      </c>
      <c r="J3496" s="4">
        <v>0.16082140964493899</v>
      </c>
      <c r="K3496" t="s">
        <v>42</v>
      </c>
      <c r="L3496" t="s">
        <v>52</v>
      </c>
      <c r="M3496">
        <v>10</v>
      </c>
      <c r="N3496" t="s">
        <v>54</v>
      </c>
    </row>
    <row r="3497" spans="1:14" x14ac:dyDescent="0.3">
      <c r="A3497" s="1">
        <v>44567</v>
      </c>
      <c r="B3497" t="s">
        <v>37</v>
      </c>
      <c r="C3497" t="s">
        <v>38</v>
      </c>
      <c r="D3497" t="s">
        <v>17</v>
      </c>
      <c r="E3497">
        <v>1</v>
      </c>
      <c r="F3497">
        <v>232</v>
      </c>
      <c r="G3497">
        <v>34.26</v>
      </c>
      <c r="H3497">
        <v>2022</v>
      </c>
      <c r="I3497" t="s">
        <v>26</v>
      </c>
      <c r="J3497" s="4">
        <v>0.147672413793103</v>
      </c>
      <c r="K3497" t="s">
        <v>42</v>
      </c>
      <c r="L3497" t="s">
        <v>55</v>
      </c>
      <c r="M3497">
        <v>1</v>
      </c>
      <c r="N3497" t="s">
        <v>65</v>
      </c>
    </row>
    <row r="3498" spans="1:14" x14ac:dyDescent="0.3">
      <c r="A3498" s="1">
        <v>44739</v>
      </c>
      <c r="B3498" t="s">
        <v>37</v>
      </c>
      <c r="C3498" t="s">
        <v>38</v>
      </c>
      <c r="D3498" t="s">
        <v>22</v>
      </c>
      <c r="E3498">
        <v>7</v>
      </c>
      <c r="F3498">
        <v>7868</v>
      </c>
      <c r="G3498">
        <v>862.38</v>
      </c>
      <c r="H3498">
        <v>2022</v>
      </c>
      <c r="I3498" t="s">
        <v>27</v>
      </c>
      <c r="J3498" s="4">
        <v>0.109605998983223</v>
      </c>
      <c r="K3498" t="s">
        <v>42</v>
      </c>
      <c r="L3498" t="s">
        <v>59</v>
      </c>
      <c r="M3498">
        <v>6</v>
      </c>
      <c r="N3498" t="s">
        <v>66</v>
      </c>
    </row>
    <row r="3499" spans="1:14" x14ac:dyDescent="0.3">
      <c r="A3499" s="1">
        <v>44824</v>
      </c>
      <c r="B3499" t="s">
        <v>37</v>
      </c>
      <c r="C3499" t="s">
        <v>38</v>
      </c>
      <c r="D3499" t="s">
        <v>12</v>
      </c>
      <c r="E3499">
        <v>4</v>
      </c>
      <c r="F3499">
        <v>700</v>
      </c>
      <c r="G3499">
        <v>120.19</v>
      </c>
      <c r="H3499">
        <v>2022</v>
      </c>
      <c r="I3499" t="s">
        <v>21</v>
      </c>
      <c r="J3499" s="4">
        <v>0.17169999999999999</v>
      </c>
      <c r="K3499" t="s">
        <v>42</v>
      </c>
      <c r="L3499" t="s">
        <v>60</v>
      </c>
      <c r="M3499">
        <v>9</v>
      </c>
      <c r="N3499" t="s">
        <v>61</v>
      </c>
    </row>
    <row r="3500" spans="1:14" x14ac:dyDescent="0.3">
      <c r="A3500" s="1">
        <v>44699</v>
      </c>
      <c r="B3500" t="s">
        <v>37</v>
      </c>
      <c r="C3500" t="s">
        <v>38</v>
      </c>
      <c r="D3500" t="s">
        <v>12</v>
      </c>
      <c r="E3500">
        <v>6</v>
      </c>
      <c r="F3500">
        <v>2604</v>
      </c>
      <c r="G3500">
        <v>305.73</v>
      </c>
      <c r="H3500">
        <v>2022</v>
      </c>
      <c r="I3500" t="s">
        <v>20</v>
      </c>
      <c r="J3500" s="4">
        <v>0.117407834101382</v>
      </c>
      <c r="K3500" t="s">
        <v>42</v>
      </c>
      <c r="L3500" t="s">
        <v>59</v>
      </c>
      <c r="M3500">
        <v>5</v>
      </c>
      <c r="N3500" t="s">
        <v>20</v>
      </c>
    </row>
    <row r="3501" spans="1:14" x14ac:dyDescent="0.3">
      <c r="A3501" s="1">
        <v>44579</v>
      </c>
      <c r="B3501" t="s">
        <v>37</v>
      </c>
      <c r="C3501" t="s">
        <v>38</v>
      </c>
      <c r="D3501" t="s">
        <v>22</v>
      </c>
      <c r="E3501">
        <v>3</v>
      </c>
      <c r="F3501">
        <v>222</v>
      </c>
      <c r="G3501">
        <v>50.28</v>
      </c>
      <c r="H3501">
        <v>2022</v>
      </c>
      <c r="I3501" t="s">
        <v>26</v>
      </c>
      <c r="J3501" s="4">
        <v>0.22648648648648601</v>
      </c>
      <c r="K3501" t="s">
        <v>42</v>
      </c>
      <c r="L3501" t="s">
        <v>55</v>
      </c>
      <c r="M3501">
        <v>1</v>
      </c>
      <c r="N3501" t="s">
        <v>65</v>
      </c>
    </row>
  </sheetData>
  <phoneticPr fontId="2" type="noConversion"/>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4D0CCF-314B-4FBC-BB59-7498B0E1D0C5}">
  <dimension ref="A3:O17"/>
  <sheetViews>
    <sheetView workbookViewId="0">
      <selection activeCell="D21" sqref="D21"/>
    </sheetView>
  </sheetViews>
  <sheetFormatPr defaultRowHeight="14.4" x14ac:dyDescent="0.3"/>
  <cols>
    <col min="1" max="1" width="14.44140625" bestFit="1" customWidth="1"/>
    <col min="2" max="3" width="14.88671875" bestFit="1" customWidth="1"/>
    <col min="4" max="4" width="12.5546875" bestFit="1" customWidth="1"/>
    <col min="5" max="5" width="14.77734375" bestFit="1" customWidth="1"/>
    <col min="6" max="6" width="14.88671875" bestFit="1" customWidth="1"/>
    <col min="7" max="7" width="12.5546875" bestFit="1" customWidth="1"/>
    <col min="8" max="8" width="13.21875" bestFit="1" customWidth="1"/>
    <col min="9" max="9" width="12.109375" bestFit="1" customWidth="1"/>
    <col min="10" max="10" width="12.5546875" bestFit="1" customWidth="1"/>
    <col min="11" max="11" width="14.77734375" bestFit="1" customWidth="1"/>
    <col min="12" max="12" width="13.21875" bestFit="1" customWidth="1"/>
    <col min="13" max="13" width="15.5546875" bestFit="1" customWidth="1"/>
    <col min="14" max="14" width="12.5546875" bestFit="1" customWidth="1"/>
    <col min="15" max="15" width="13.21875" bestFit="1" customWidth="1"/>
    <col min="16" max="35" width="15.5546875" bestFit="1" customWidth="1"/>
    <col min="36" max="36" width="10.77734375" bestFit="1" customWidth="1"/>
    <col min="37" max="1050" width="15.5546875" bestFit="1" customWidth="1"/>
    <col min="1051" max="1051" width="10.77734375" bestFit="1" customWidth="1"/>
  </cols>
  <sheetData>
    <row r="3" spans="1:15" x14ac:dyDescent="0.3">
      <c r="A3" s="2" t="s">
        <v>43</v>
      </c>
      <c r="B3" t="s">
        <v>45</v>
      </c>
      <c r="D3" s="2" t="s">
        <v>43</v>
      </c>
      <c r="E3" t="s">
        <v>44</v>
      </c>
      <c r="G3" s="2" t="s">
        <v>43</v>
      </c>
      <c r="H3" t="s">
        <v>46</v>
      </c>
      <c r="J3" s="2" t="s">
        <v>43</v>
      </c>
      <c r="K3" t="s">
        <v>5</v>
      </c>
      <c r="L3" t="s">
        <v>6</v>
      </c>
      <c r="N3" s="2" t="s">
        <v>43</v>
      </c>
      <c r="O3" t="s">
        <v>46</v>
      </c>
    </row>
    <row r="4" spans="1:15" x14ac:dyDescent="0.3">
      <c r="A4" s="3" t="s">
        <v>42</v>
      </c>
      <c r="B4" s="8">
        <v>3255970</v>
      </c>
      <c r="D4" s="3" t="s">
        <v>19</v>
      </c>
      <c r="E4" s="8">
        <v>2675110</v>
      </c>
      <c r="G4" t="s">
        <v>33</v>
      </c>
      <c r="H4" s="8">
        <v>736084.74</v>
      </c>
      <c r="J4" s="3" t="s">
        <v>10</v>
      </c>
      <c r="K4" s="8">
        <v>1177381</v>
      </c>
      <c r="L4" s="8">
        <v>207630.99</v>
      </c>
      <c r="N4" s="3" t="s">
        <v>10</v>
      </c>
      <c r="O4" s="8">
        <v>207630.99</v>
      </c>
    </row>
    <row r="5" spans="1:15" x14ac:dyDescent="0.3">
      <c r="A5" s="3" t="s">
        <v>40</v>
      </c>
      <c r="B5" s="8">
        <v>3786592</v>
      </c>
      <c r="D5" s="3" t="s">
        <v>17</v>
      </c>
      <c r="E5" s="8">
        <v>2488773</v>
      </c>
      <c r="G5" t="s">
        <v>11</v>
      </c>
      <c r="H5" s="8">
        <v>923185.59</v>
      </c>
      <c r="J5" s="3" t="s">
        <v>32</v>
      </c>
      <c r="K5" s="8">
        <v>988638</v>
      </c>
      <c r="L5" s="8">
        <v>172478.2</v>
      </c>
      <c r="N5" s="3" t="s">
        <v>32</v>
      </c>
      <c r="O5" s="8">
        <v>172478.2</v>
      </c>
    </row>
    <row r="6" spans="1:15" x14ac:dyDescent="0.3">
      <c r="A6" s="3" t="s">
        <v>41</v>
      </c>
      <c r="B6" s="8">
        <v>3625319</v>
      </c>
      <c r="D6" s="3" t="s">
        <v>22</v>
      </c>
      <c r="E6" s="8">
        <v>2659548</v>
      </c>
      <c r="G6" t="s">
        <v>38</v>
      </c>
      <c r="H6" s="8">
        <v>185394.88</v>
      </c>
      <c r="J6" s="3" t="s">
        <v>35</v>
      </c>
      <c r="K6" s="8">
        <v>1024507</v>
      </c>
      <c r="L6" s="8">
        <v>175814.68</v>
      </c>
      <c r="N6" s="3" t="s">
        <v>35</v>
      </c>
      <c r="O6" s="8">
        <v>175814.68</v>
      </c>
    </row>
    <row r="7" spans="1:15" x14ac:dyDescent="0.3">
      <c r="A7" s="3" t="s">
        <v>39</v>
      </c>
      <c r="B7" s="8">
        <v>10667881</v>
      </c>
      <c r="D7" s="3" t="s">
        <v>12</v>
      </c>
      <c r="E7" s="8">
        <v>2844450</v>
      </c>
      <c r="G7" t="s">
        <v>39</v>
      </c>
      <c r="H7" s="8">
        <v>1844665.21</v>
      </c>
      <c r="J7" s="3" t="s">
        <v>30</v>
      </c>
      <c r="K7" s="8">
        <v>1005873</v>
      </c>
      <c r="L7" s="8">
        <v>185756.81</v>
      </c>
      <c r="N7" s="3" t="s">
        <v>30</v>
      </c>
      <c r="O7" s="8">
        <v>185756.81</v>
      </c>
    </row>
    <row r="8" spans="1:15" x14ac:dyDescent="0.3">
      <c r="D8" s="3" t="s">
        <v>39</v>
      </c>
      <c r="E8" s="8">
        <v>10667881</v>
      </c>
      <c r="J8" s="3" t="s">
        <v>36</v>
      </c>
      <c r="K8" s="8">
        <v>1160048</v>
      </c>
      <c r="L8" s="8">
        <v>202028.17</v>
      </c>
      <c r="N8" s="3" t="s">
        <v>36</v>
      </c>
      <c r="O8" s="8">
        <v>202028.17</v>
      </c>
    </row>
    <row r="9" spans="1:15" x14ac:dyDescent="0.3">
      <c r="J9" s="3" t="s">
        <v>34</v>
      </c>
      <c r="K9" s="8">
        <v>1074398</v>
      </c>
      <c r="L9" s="8">
        <v>185763.69</v>
      </c>
      <c r="N9" s="3" t="s">
        <v>34</v>
      </c>
      <c r="O9" s="8">
        <v>185763.69</v>
      </c>
    </row>
    <row r="10" spans="1:15" x14ac:dyDescent="0.3">
      <c r="J10" s="3" t="s">
        <v>37</v>
      </c>
      <c r="K10" s="8">
        <v>1094216</v>
      </c>
      <c r="L10" s="8">
        <v>185394.88</v>
      </c>
      <c r="N10" s="3" t="s">
        <v>37</v>
      </c>
      <c r="O10" s="8">
        <v>185394.88</v>
      </c>
    </row>
    <row r="11" spans="1:15" x14ac:dyDescent="0.3">
      <c r="J11" s="3" t="s">
        <v>31</v>
      </c>
      <c r="K11" s="8">
        <v>1069681</v>
      </c>
      <c r="L11" s="8">
        <v>183296.97</v>
      </c>
      <c r="N11" s="3" t="s">
        <v>31</v>
      </c>
      <c r="O11" s="8">
        <v>183296.97</v>
      </c>
    </row>
    <row r="12" spans="1:15" x14ac:dyDescent="0.3">
      <c r="A12" t="s">
        <v>44</v>
      </c>
      <c r="B12" t="s">
        <v>46</v>
      </c>
      <c r="C12" t="s">
        <v>47</v>
      </c>
      <c r="J12" s="3" t="s">
        <v>28</v>
      </c>
      <c r="K12" s="8">
        <v>1049211</v>
      </c>
      <c r="L12" s="8">
        <v>178995.81</v>
      </c>
      <c r="N12" s="3" t="s">
        <v>28</v>
      </c>
      <c r="O12" s="8">
        <v>178995.81</v>
      </c>
    </row>
    <row r="13" spans="1:15" x14ac:dyDescent="0.3">
      <c r="A13" s="8">
        <v>10667881</v>
      </c>
      <c r="B13" s="8">
        <v>1844665.21</v>
      </c>
      <c r="C13" s="5">
        <v>17261</v>
      </c>
      <c r="E13" s="2" t="s">
        <v>43</v>
      </c>
      <c r="F13" t="s">
        <v>47</v>
      </c>
      <c r="J13" s="3" t="s">
        <v>29</v>
      </c>
      <c r="K13" s="8">
        <v>1023928</v>
      </c>
      <c r="L13" s="8">
        <v>167505.01</v>
      </c>
      <c r="N13" s="3" t="s">
        <v>29</v>
      </c>
      <c r="O13" s="8">
        <v>167505.01</v>
      </c>
    </row>
    <row r="14" spans="1:15" x14ac:dyDescent="0.3">
      <c r="A14" s="8">
        <f>GETPIVOTDATA("[Measures].[Sum of Sales]",$A$12)</f>
        <v>10667881</v>
      </c>
      <c r="B14" s="8">
        <f>GETPIVOTDATA("[Measures].[Sum of Profit]",$A$12)</f>
        <v>1844665.21</v>
      </c>
      <c r="C14" s="5">
        <f>GETPIVOTDATA("[Measures].[Sum of Quantity]",$A$12)</f>
        <v>17261</v>
      </c>
      <c r="D14" s="7">
        <f>B14/A14</f>
        <v>0.17291767784061332</v>
      </c>
      <c r="E14" s="3" t="s">
        <v>33</v>
      </c>
      <c r="F14">
        <v>6917</v>
      </c>
      <c r="J14" s="3" t="s">
        <v>39</v>
      </c>
      <c r="K14" s="8">
        <v>10667881</v>
      </c>
      <c r="L14" s="8">
        <v>1844665.21</v>
      </c>
      <c r="N14" s="3" t="s">
        <v>39</v>
      </c>
      <c r="O14" s="8">
        <v>1844665.21</v>
      </c>
    </row>
    <row r="15" spans="1:15" x14ac:dyDescent="0.3">
      <c r="E15" s="3" t="s">
        <v>11</v>
      </c>
      <c r="F15">
        <v>8610</v>
      </c>
    </row>
    <row r="16" spans="1:15" x14ac:dyDescent="0.3">
      <c r="E16" s="3" t="s">
        <v>38</v>
      </c>
      <c r="F16">
        <v>1734</v>
      </c>
    </row>
    <row r="17" spans="5:6" x14ac:dyDescent="0.3">
      <c r="E17" s="3" t="s">
        <v>39</v>
      </c>
      <c r="F17">
        <v>17261</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648D29-30AA-4FBD-BCE1-06E1FF8B4484}">
  <dimension ref="A1"/>
  <sheetViews>
    <sheetView showGridLines="0" tabSelected="1" zoomScale="89" zoomScaleNormal="89" zoomScaleSheetLayoutView="93" workbookViewId="0">
      <selection activeCell="V42" sqref="V42"/>
    </sheetView>
  </sheetViews>
  <sheetFormatPr defaultRowHeight="14.4" x14ac:dyDescent="0.3"/>
  <cols>
    <col min="1" max="26" width="8.88671875" style="6"/>
    <col min="27" max="27" width="3.21875" style="6" customWidth="1"/>
    <col min="28" max="16384" width="8.88671875" style="6"/>
  </cols>
  <sheetData/>
  <pageMargins left="0.7" right="0.7" top="0.75" bottom="0.75" header="0.3" footer="0.3"/>
  <pageSetup scale="52" orientation="landscape" r:id="rId1"/>
  <drawing r:id="rId2"/>
  <extLst>
    <ext xmlns:x14="http://schemas.microsoft.com/office/spreadsheetml/2009/9/main" uri="{A8765BA9-456A-4dab-B4F3-ACF838C121DE}">
      <x14:slicerList>
        <x14:slicer r:id="rId3"/>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Props1.xml><?xml version="1.0" encoding="utf-8"?>
<ds:datastoreItem xmlns:ds="http://schemas.openxmlformats.org/officeDocument/2006/customXml" ds:itemID="{B70FFE67-03EC-41D0-9F1D-1F0009FF8C32}">
  <ds:schemaRefs/>
</ds:datastoreItem>
</file>

<file path=customXml/itemProps2.xml><?xml version="1.0" encoding="utf-8"?>
<ds:datastoreItem xmlns:ds="http://schemas.openxmlformats.org/officeDocument/2006/customXml" ds:itemID="{876CB993-5F6C-4813-B356-9C65D5BD8FD7}">
  <ds:schemaRefs/>
</ds:datastoreItem>
</file>

<file path=customXml/itemProps3.xml><?xml version="1.0" encoding="utf-8"?>
<ds:datastoreItem xmlns:ds="http://schemas.openxmlformats.org/officeDocument/2006/customXml" ds:itemID="{13182891-D6B2-45D0-BA37-2FB53879139D}">
  <ds:schemaRefs/>
</ds:datastoreItem>
</file>

<file path=customXml/itemProps4.xml><?xml version="1.0" encoding="utf-8"?>
<ds:datastoreItem xmlns:ds="http://schemas.openxmlformats.org/officeDocument/2006/customXml" ds:itemID="{404F1044-F141-411C-B3A9-413C26959158}">
  <ds:schemaRefs>
    <ds:schemaRef ds:uri="http://schemas.microsoft.com/DataMashup"/>
  </ds:schemaRefs>
</ds:datastoreItem>
</file>

<file path=customXml/itemProps5.xml><?xml version="1.0" encoding="utf-8"?>
<ds:datastoreItem xmlns:ds="http://schemas.openxmlformats.org/officeDocument/2006/customXml" ds:itemID="{7E867BD4-0CBE-4D3C-9EF4-E6612B72A02F}">
  <ds:schemaRefs/>
</ds:datastoreItem>
</file>

<file path=customXml/itemProps6.xml><?xml version="1.0" encoding="utf-8"?>
<ds:datastoreItem xmlns:ds="http://schemas.openxmlformats.org/officeDocument/2006/customXml" ds:itemID="{92A44A89-9074-42D5-AC52-2B4862C7AA67}">
  <ds:schemaRefs/>
</ds:datastoreItem>
</file>

<file path=customXml/itemProps7.xml><?xml version="1.0" encoding="utf-8"?>
<ds:datastoreItem xmlns:ds="http://schemas.openxmlformats.org/officeDocument/2006/customXml" ds:itemID="{20E9D97E-81FB-4C8C-A4FA-320CFE85BE94}">
  <ds:schemaRefs/>
</ds:datastoreItem>
</file>

<file path=customXml/itemProps8.xml><?xml version="1.0" encoding="utf-8"?>
<ds:datastoreItem xmlns:ds="http://schemas.openxmlformats.org/officeDocument/2006/customXml" ds:itemID="{AA9F4563-B2D1-4DE0-871B-9877A45189CE}">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3</vt:i4>
      </vt:variant>
      <vt:variant>
        <vt:lpstr>Named Ranges</vt:lpstr>
      </vt:variant>
      <vt:variant>
        <vt:i4>1</vt:i4>
      </vt:variant>
    </vt:vector>
  </HeadingPairs>
  <TitlesOfParts>
    <vt:vector size="4" baseType="lpstr">
      <vt:lpstr>Sheet1</vt:lpstr>
      <vt:lpstr>Pivot Calc</vt:lpstr>
      <vt:lpstr>Dashboard</vt:lpstr>
      <vt:lpstr>Dashboard!Print_Area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Dharmesh Dudhat</dc:creator>
  <cp:lastModifiedBy>Dharmesh Dudhat</cp:lastModifiedBy>
  <cp:lastPrinted>2026-05-17T18:18:31Z</cp:lastPrinted>
  <dcterms:created xsi:type="dcterms:W3CDTF">2015-06-05T18:17:20Z</dcterms:created>
  <dcterms:modified xsi:type="dcterms:W3CDTF">2026-05-17T19:03:32Z</dcterms:modified>
</cp:coreProperties>
</file>